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hysteresis\data\constituents\raw_lab_data\phosphorus\"/>
    </mc:Choice>
  </mc:AlternateContent>
  <xr:revisionPtr revIDLastSave="0" documentId="13_ncr:1_{6E3A75B3-AA94-4C1C-9631-E6D44F91528A}" xr6:coauthVersionLast="47" xr6:coauthVersionMax="47" xr10:uidLastSave="{00000000-0000-0000-0000-000000000000}"/>
  <bookViews>
    <workbookView xWindow="-25320" yWindow="360" windowWidth="25440" windowHeight="15270" activeTab="4" xr2:uid="{CBEDBD6E-F4C7-4255-AFE3-946B66D5A836}"/>
  </bookViews>
  <sheets>
    <sheet name="samples (wrong)" sheetId="1" r:id="rId1"/>
    <sheet name="standards" sheetId="2" r:id="rId2"/>
    <sheet name="Sheet2" sheetId="3" r:id="rId3"/>
    <sheet name="Samples (correct) summer 2021" sheetId="4" r:id="rId4"/>
    <sheet name="Graphs 2021" sheetId="8" r:id="rId5"/>
    <sheet name="Summer 2022" sheetId="5" r:id="rId6"/>
    <sheet name="PP Graphs Summer 2022" sheetId="7" r:id="rId7"/>
    <sheet name="std curves new attempt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/>
  <c r="K97" i="5"/>
  <c r="K98" i="5"/>
  <c r="K99" i="5"/>
  <c r="K100" i="5"/>
  <c r="K101" i="5"/>
  <c r="J101" i="5"/>
  <c r="J100" i="5"/>
  <c r="J99" i="5"/>
  <c r="J98" i="5"/>
  <c r="J97" i="5"/>
  <c r="J92" i="5"/>
  <c r="J93" i="5"/>
  <c r="J94" i="5"/>
  <c r="J95" i="5"/>
  <c r="K95" i="5"/>
  <c r="K94" i="5"/>
  <c r="K93" i="5"/>
  <c r="K92" i="5"/>
  <c r="L58" i="7"/>
  <c r="X4" i="7"/>
  <c r="X5" i="7"/>
  <c r="X6" i="7"/>
  <c r="X7" i="7"/>
  <c r="X8" i="7"/>
  <c r="X9" i="7"/>
  <c r="X10" i="7"/>
  <c r="X11" i="7"/>
  <c r="X12" i="7"/>
  <c r="X13" i="7"/>
  <c r="X14" i="7"/>
  <c r="X15" i="7"/>
  <c r="X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3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2" i="7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2" i="5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F12" i="5" l="1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2" i="5"/>
  <c r="E9" i="5"/>
  <c r="E104" i="5"/>
  <c r="E105" i="5"/>
  <c r="E102" i="5"/>
  <c r="E103" i="5"/>
  <c r="E59" i="5"/>
  <c r="E60" i="5"/>
  <c r="E57" i="5"/>
  <c r="E41" i="5"/>
  <c r="E56" i="5"/>
  <c r="E101" i="5"/>
  <c r="E98" i="5"/>
  <c r="E58" i="5"/>
  <c r="E96" i="5"/>
  <c r="E34" i="5"/>
  <c r="E93" i="5"/>
  <c r="E33" i="5"/>
  <c r="E40" i="5"/>
  <c r="E55" i="5"/>
  <c r="E30" i="5"/>
  <c r="E31" i="5"/>
  <c r="E46" i="5"/>
  <c r="E39" i="5"/>
  <c r="E97" i="5"/>
  <c r="E12" i="5"/>
  <c r="E95" i="5"/>
  <c r="E22" i="5"/>
  <c r="E45" i="5"/>
  <c r="E99" i="5"/>
  <c r="E54" i="5"/>
  <c r="E20" i="5"/>
  <c r="E21" i="5"/>
  <c r="E29" i="5"/>
  <c r="E43" i="5"/>
  <c r="E44" i="5"/>
  <c r="E38" i="5"/>
  <c r="E37" i="5"/>
  <c r="E35" i="5"/>
  <c r="E42" i="5"/>
  <c r="E100" i="5"/>
  <c r="E53" i="5"/>
  <c r="E94" i="5"/>
  <c r="E28" i="5"/>
  <c r="E50" i="5"/>
  <c r="E36" i="5"/>
  <c r="E91" i="5"/>
  <c r="E51" i="5"/>
  <c r="E52" i="5"/>
  <c r="E92" i="5"/>
  <c r="E65" i="5"/>
  <c r="E49" i="5"/>
  <c r="E83" i="5"/>
  <c r="E66" i="5"/>
  <c r="E77" i="5"/>
  <c r="E80" i="5"/>
  <c r="E78" i="5"/>
  <c r="E13" i="5"/>
  <c r="E16" i="5"/>
  <c r="E68" i="5"/>
  <c r="E19" i="5"/>
  <c r="E32" i="5"/>
  <c r="E47" i="5"/>
  <c r="E48" i="5"/>
  <c r="E90" i="5"/>
  <c r="E18" i="5"/>
  <c r="E15" i="5"/>
  <c r="E72" i="5"/>
  <c r="E84" i="5"/>
  <c r="E17" i="5"/>
  <c r="E71" i="5"/>
  <c r="E74" i="5"/>
  <c r="E14" i="5"/>
  <c r="E23" i="5"/>
  <c r="E27" i="5"/>
  <c r="E26" i="5"/>
  <c r="E24" i="5"/>
  <c r="E81" i="5"/>
  <c r="E82" i="5"/>
  <c r="E69" i="5"/>
  <c r="E25" i="5"/>
  <c r="E75" i="5"/>
  <c r="E89" i="5"/>
  <c r="E86" i="5"/>
  <c r="E64" i="5"/>
  <c r="E63" i="5"/>
  <c r="E62" i="5"/>
  <c r="E67" i="5"/>
  <c r="E79" i="5"/>
  <c r="E70" i="5"/>
  <c r="E76" i="5"/>
  <c r="E85" i="5"/>
  <c r="E73" i="5"/>
  <c r="E61" i="5"/>
  <c r="E88" i="5"/>
  <c r="E87" i="5"/>
  <c r="E7" i="5"/>
  <c r="E8" i="5"/>
  <c r="E2" i="5"/>
  <c r="E3" i="5"/>
  <c r="E11" i="5"/>
  <c r="E6" i="5"/>
  <c r="E10" i="5"/>
  <c r="E5" i="5"/>
  <c r="E4" i="5"/>
  <c r="O67" i="4"/>
  <c r="O68" i="4"/>
  <c r="O69" i="4"/>
  <c r="O66" i="4"/>
  <c r="O56" i="4"/>
  <c r="O57" i="4"/>
  <c r="O58" i="4"/>
  <c r="O59" i="4"/>
  <c r="O60" i="4"/>
  <c r="O61" i="4"/>
  <c r="O62" i="4"/>
  <c r="O63" i="4"/>
  <c r="O64" i="4"/>
  <c r="O65" i="4"/>
  <c r="O55" i="4"/>
  <c r="O44" i="4"/>
  <c r="O45" i="4"/>
  <c r="O46" i="4"/>
  <c r="O47" i="4"/>
  <c r="O48" i="4"/>
  <c r="O49" i="4"/>
  <c r="O50" i="4"/>
  <c r="O51" i="4"/>
  <c r="O52" i="4"/>
  <c r="O53" i="4"/>
  <c r="O54" i="4"/>
  <c r="O4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23" i="4"/>
  <c r="L67" i="4"/>
  <c r="L68" i="4"/>
  <c r="L69" i="4"/>
  <c r="L66" i="4"/>
  <c r="L56" i="4"/>
  <c r="L57" i="4"/>
  <c r="L58" i="4"/>
  <c r="L59" i="4"/>
  <c r="L60" i="4"/>
  <c r="L61" i="4"/>
  <c r="L62" i="4"/>
  <c r="L63" i="4"/>
  <c r="L64" i="4"/>
  <c r="L65" i="4"/>
  <c r="L55" i="4"/>
  <c r="L44" i="4"/>
  <c r="L45" i="4"/>
  <c r="L46" i="4"/>
  <c r="L47" i="4"/>
  <c r="L48" i="4"/>
  <c r="L49" i="4"/>
  <c r="L50" i="4"/>
  <c r="L51" i="4"/>
  <c r="L52" i="4"/>
  <c r="L53" i="4"/>
  <c r="L54" i="4"/>
  <c r="L4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23" i="4"/>
  <c r="N67" i="4"/>
  <c r="N68" i="4"/>
  <c r="N69" i="4"/>
  <c r="N66" i="4"/>
  <c r="N44" i="4"/>
  <c r="N45" i="4"/>
  <c r="N46" i="4"/>
  <c r="N47" i="4"/>
  <c r="N48" i="4"/>
  <c r="N49" i="4"/>
  <c r="N50" i="4"/>
  <c r="N51" i="4"/>
  <c r="N52" i="4"/>
  <c r="N53" i="4"/>
  <c r="N54" i="4"/>
  <c r="N43" i="4"/>
  <c r="N56" i="4"/>
  <c r="N57" i="4"/>
  <c r="N58" i="4"/>
  <c r="N59" i="4"/>
  <c r="N60" i="4"/>
  <c r="N61" i="4"/>
  <c r="N62" i="4"/>
  <c r="N63" i="4"/>
  <c r="N64" i="4"/>
  <c r="N65" i="4"/>
  <c r="N55" i="4"/>
  <c r="G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23" i="4"/>
  <c r="N15" i="4"/>
  <c r="N13" i="4"/>
  <c r="N14" i="4"/>
  <c r="N12" i="4"/>
  <c r="N3" i="4"/>
  <c r="N4" i="4"/>
  <c r="N5" i="4"/>
  <c r="N2" i="4"/>
  <c r="D45" i="4"/>
  <c r="I45" i="4"/>
  <c r="D46" i="4"/>
  <c r="I46" i="4"/>
  <c r="D52" i="4"/>
  <c r="I52" i="4"/>
  <c r="D49" i="4"/>
  <c r="I49" i="4"/>
  <c r="J49" i="4" s="1"/>
  <c r="D53" i="4"/>
  <c r="I53" i="4"/>
  <c r="D43" i="4"/>
  <c r="I43" i="4"/>
  <c r="D44" i="4"/>
  <c r="I44" i="4"/>
  <c r="D51" i="4"/>
  <c r="I51" i="4"/>
  <c r="J51" i="4" s="1"/>
  <c r="D54" i="4"/>
  <c r="I54" i="4"/>
  <c r="D47" i="4"/>
  <c r="I47" i="4"/>
  <c r="D48" i="4"/>
  <c r="I48" i="4"/>
  <c r="D50" i="4"/>
  <c r="I50" i="4"/>
  <c r="J50" i="4" s="1"/>
  <c r="T28" i="6"/>
  <c r="T9" i="6"/>
  <c r="C27" i="6"/>
  <c r="C9" i="6"/>
  <c r="AI22" i="5"/>
  <c r="R33" i="5"/>
  <c r="R11" i="5"/>
  <c r="G14" i="4"/>
  <c r="G13" i="4"/>
  <c r="I25" i="4"/>
  <c r="I29" i="4"/>
  <c r="I35" i="4"/>
  <c r="I34" i="4"/>
  <c r="I30" i="4"/>
  <c r="I28" i="4"/>
  <c r="I24" i="4"/>
  <c r="I39" i="4"/>
  <c r="I42" i="4"/>
  <c r="I40" i="4"/>
  <c r="I41" i="4"/>
  <c r="I32" i="4"/>
  <c r="I36" i="4"/>
  <c r="I38" i="4"/>
  <c r="I26" i="4"/>
  <c r="I31" i="4"/>
  <c r="I27" i="4"/>
  <c r="I23" i="4"/>
  <c r="I33" i="4"/>
  <c r="I56" i="4"/>
  <c r="I57" i="4"/>
  <c r="I58" i="4"/>
  <c r="I59" i="4"/>
  <c r="I60" i="4"/>
  <c r="I61" i="4"/>
  <c r="I62" i="4"/>
  <c r="I63" i="4"/>
  <c r="I64" i="4"/>
  <c r="I65" i="4"/>
  <c r="I68" i="4"/>
  <c r="I69" i="4"/>
  <c r="I67" i="4"/>
  <c r="I66" i="4"/>
  <c r="I37" i="4"/>
  <c r="G55" i="4"/>
  <c r="I55" i="4" s="1"/>
  <c r="P54" i="1"/>
  <c r="P55" i="1"/>
  <c r="P56" i="1"/>
  <c r="P53" i="1"/>
  <c r="P31" i="1"/>
  <c r="P32" i="1"/>
  <c r="P33" i="1"/>
  <c r="P34" i="1"/>
  <c r="P35" i="1"/>
  <c r="P36" i="1"/>
  <c r="P37" i="1"/>
  <c r="P38" i="1"/>
  <c r="P39" i="1"/>
  <c r="P40" i="1"/>
  <c r="P41" i="1"/>
  <c r="P30" i="1"/>
  <c r="P7" i="1"/>
  <c r="P8" i="1"/>
  <c r="P9" i="1"/>
  <c r="P6" i="1"/>
  <c r="G2" i="4"/>
  <c r="G12" i="4"/>
  <c r="G3" i="1"/>
  <c r="G4" i="1"/>
  <c r="G5" i="1"/>
  <c r="G6" i="1"/>
  <c r="G7" i="1"/>
  <c r="G8" i="1"/>
  <c r="G9" i="1"/>
  <c r="G2" i="1"/>
  <c r="D66" i="4"/>
  <c r="D67" i="4"/>
  <c r="D69" i="4"/>
  <c r="D68" i="4"/>
  <c r="D65" i="4"/>
  <c r="D64" i="4"/>
  <c r="D63" i="4"/>
  <c r="D62" i="4"/>
  <c r="D61" i="4"/>
  <c r="D60" i="4"/>
  <c r="D59" i="4"/>
  <c r="D58" i="4"/>
  <c r="D57" i="4"/>
  <c r="D56" i="4"/>
  <c r="D55" i="4"/>
  <c r="D33" i="4"/>
  <c r="D23" i="4"/>
  <c r="D27" i="4"/>
  <c r="D31" i="4"/>
  <c r="D26" i="4"/>
  <c r="D38" i="4"/>
  <c r="D36" i="4"/>
  <c r="D32" i="4"/>
  <c r="D41" i="4"/>
  <c r="D40" i="4"/>
  <c r="D42" i="4"/>
  <c r="D39" i="4"/>
  <c r="D24" i="4"/>
  <c r="D28" i="4"/>
  <c r="D30" i="4"/>
  <c r="D34" i="4"/>
  <c r="D35" i="4"/>
  <c r="D29" i="4"/>
  <c r="D25" i="4"/>
  <c r="D37" i="4"/>
  <c r="D15" i="4"/>
  <c r="D14" i="4"/>
  <c r="D13" i="4"/>
  <c r="D12" i="4"/>
  <c r="D5" i="4"/>
  <c r="D4" i="4"/>
  <c r="D3" i="4"/>
  <c r="D2" i="4"/>
  <c r="J48" i="4" l="1"/>
  <c r="J44" i="4"/>
  <c r="J52" i="4"/>
  <c r="J45" i="4"/>
  <c r="J54" i="4"/>
  <c r="J53" i="4"/>
  <c r="J47" i="4"/>
  <c r="J43" i="4"/>
  <c r="J46" i="4"/>
  <c r="J65" i="4"/>
  <c r="J61" i="4"/>
  <c r="J57" i="4"/>
  <c r="J27" i="4"/>
  <c r="J36" i="4"/>
  <c r="J42" i="4"/>
  <c r="J25" i="4"/>
  <c r="J68" i="4"/>
  <c r="J60" i="4"/>
  <c r="J55" i="4"/>
  <c r="J64" i="4"/>
  <c r="J66" i="4"/>
  <c r="J69" i="4"/>
  <c r="J63" i="4"/>
  <c r="J59" i="4"/>
  <c r="J33" i="4"/>
  <c r="J26" i="4"/>
  <c r="J41" i="4"/>
  <c r="J24" i="4"/>
  <c r="J35" i="4"/>
  <c r="J58" i="4"/>
  <c r="J67" i="4"/>
  <c r="J56" i="4"/>
  <c r="J31" i="4"/>
  <c r="J32" i="4"/>
  <c r="J39" i="4"/>
  <c r="J34" i="4"/>
  <c r="J62" i="4"/>
  <c r="J37" i="4"/>
  <c r="J38" i="4"/>
  <c r="J40" i="4"/>
  <c r="J28" i="4"/>
  <c r="J29" i="4"/>
  <c r="J23" i="4"/>
  <c r="J30" i="4"/>
  <c r="E2" i="4"/>
  <c r="E12" i="4"/>
  <c r="H2" i="1" l="1"/>
  <c r="C89" i="2"/>
  <c r="D19" i="2"/>
  <c r="D20" i="2"/>
  <c r="D21" i="2"/>
  <c r="D22" i="2"/>
  <c r="D23" i="2"/>
  <c r="D18" i="2"/>
  <c r="H3" i="2"/>
  <c r="H4" i="2"/>
  <c r="H5" i="2"/>
  <c r="H6" i="2"/>
  <c r="H7" i="2"/>
  <c r="H2" i="2"/>
  <c r="E3" i="2"/>
  <c r="E4" i="2"/>
  <c r="E5" i="2"/>
  <c r="E6" i="2"/>
  <c r="E7" i="2"/>
  <c r="E8" i="2"/>
  <c r="E9" i="2"/>
  <c r="E10" i="2"/>
  <c r="E11" i="2"/>
  <c r="E12" i="2"/>
  <c r="E13" i="2"/>
  <c r="E2" i="2"/>
  <c r="G9" i="2"/>
  <c r="H9" i="2" s="1"/>
  <c r="I9" i="2" s="1"/>
  <c r="G10" i="2"/>
  <c r="H10" i="2" s="1"/>
  <c r="I10" i="2" s="1"/>
  <c r="G11" i="2"/>
  <c r="H11" i="2" s="1"/>
  <c r="I11" i="2" s="1"/>
  <c r="G12" i="2"/>
  <c r="H12" i="2" s="1"/>
  <c r="I12" i="2" s="1"/>
  <c r="G13" i="2"/>
  <c r="H13" i="2" s="1"/>
  <c r="I13" i="2" s="1"/>
  <c r="G8" i="2"/>
  <c r="H8" i="2" s="1"/>
  <c r="I8" i="2" s="1"/>
  <c r="Q3" i="1"/>
  <c r="Q11" i="1"/>
  <c r="Q12" i="1"/>
  <c r="Q20" i="1"/>
  <c r="Q24" i="1"/>
  <c r="Q28" i="1"/>
  <c r="Q43" i="1"/>
  <c r="Q44" i="1"/>
  <c r="Q47" i="1"/>
  <c r="Q48" i="1"/>
  <c r="Q51" i="1"/>
  <c r="Q52" i="1"/>
  <c r="P3" i="1"/>
  <c r="P4" i="1"/>
  <c r="Q4" i="1" s="1"/>
  <c r="P5" i="1"/>
  <c r="Q5" i="1" s="1"/>
  <c r="N42" i="1"/>
  <c r="P43" i="1"/>
  <c r="P44" i="1"/>
  <c r="P45" i="1"/>
  <c r="Q45" i="1" s="1"/>
  <c r="P46" i="1"/>
  <c r="Q46" i="1" s="1"/>
  <c r="P47" i="1"/>
  <c r="P48" i="1"/>
  <c r="P49" i="1"/>
  <c r="Q49" i="1" s="1"/>
  <c r="P50" i="1"/>
  <c r="Q50" i="1" s="1"/>
  <c r="P51" i="1"/>
  <c r="P52" i="1"/>
  <c r="P12" i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P21" i="1"/>
  <c r="Q21" i="1" s="1"/>
  <c r="P22" i="1"/>
  <c r="Q22" i="1" s="1"/>
  <c r="P23" i="1"/>
  <c r="Q23" i="1" s="1"/>
  <c r="P24" i="1"/>
  <c r="P25" i="1"/>
  <c r="Q25" i="1" s="1"/>
  <c r="P26" i="1"/>
  <c r="Q26" i="1" s="1"/>
  <c r="P27" i="1"/>
  <c r="Q27" i="1" s="1"/>
  <c r="P28" i="1"/>
  <c r="P29" i="1"/>
  <c r="Q29" i="1" s="1"/>
  <c r="P11" i="1"/>
  <c r="P10" i="1"/>
  <c r="Q10" i="1" s="1"/>
  <c r="P2" i="1"/>
  <c r="Q2" i="1" s="1"/>
  <c r="H3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21" i="1"/>
  <c r="H4" i="1"/>
  <c r="J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D3" i="1"/>
  <c r="D4" i="1"/>
  <c r="D5" i="1"/>
  <c r="J5" i="1" s="1"/>
  <c r="D6" i="1"/>
  <c r="E6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61" i="1" s="1"/>
  <c r="D62" i="1" s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2" i="1"/>
  <c r="J2" i="1" s="1"/>
  <c r="J37" i="1" l="1"/>
  <c r="E55" i="1"/>
  <c r="E54" i="1"/>
  <c r="K54" i="1" s="1"/>
  <c r="E10" i="1"/>
  <c r="J20" i="1"/>
  <c r="J54" i="1"/>
  <c r="J46" i="1"/>
  <c r="J25" i="1"/>
  <c r="J49" i="1"/>
  <c r="J28" i="1"/>
  <c r="I6" i="1"/>
  <c r="J39" i="1"/>
  <c r="J35" i="1"/>
  <c r="S2" i="1"/>
  <c r="J16" i="1"/>
  <c r="J50" i="1"/>
  <c r="J42" i="1"/>
  <c r="L2" i="1"/>
  <c r="E29" i="1"/>
  <c r="E13" i="1"/>
  <c r="J21" i="1"/>
  <c r="J53" i="1"/>
  <c r="J45" i="1"/>
  <c r="J24" i="1"/>
  <c r="E27" i="1"/>
  <c r="E15" i="1"/>
  <c r="E11" i="1"/>
  <c r="J3" i="1"/>
  <c r="J13" i="1"/>
  <c r="J51" i="1"/>
  <c r="J47" i="1"/>
  <c r="J43" i="1"/>
  <c r="J34" i="1"/>
  <c r="J26" i="1"/>
  <c r="I2" i="1"/>
  <c r="E2" i="1"/>
  <c r="E40" i="1"/>
  <c r="K40" i="1" s="1"/>
  <c r="M40" i="1" s="1"/>
  <c r="E36" i="1"/>
  <c r="J40" i="1"/>
  <c r="J36" i="1"/>
  <c r="K36" i="1" s="1"/>
  <c r="E32" i="1"/>
  <c r="E30" i="1"/>
  <c r="E31" i="1"/>
  <c r="E38" i="1"/>
  <c r="E39" i="1"/>
  <c r="K39" i="1" s="1"/>
  <c r="E35" i="1"/>
  <c r="E34" i="1"/>
  <c r="J30" i="1"/>
  <c r="E41" i="1"/>
  <c r="E37" i="1"/>
  <c r="K37" i="1" s="1"/>
  <c r="E33" i="1"/>
  <c r="J8" i="1"/>
  <c r="J6" i="1"/>
  <c r="L6" i="1" s="1"/>
  <c r="J9" i="1"/>
  <c r="J7" i="1"/>
  <c r="C61" i="1"/>
  <c r="K11" i="1" l="1"/>
  <c r="M11" i="1" s="1"/>
  <c r="M54" i="1"/>
  <c r="M36" i="1"/>
  <c r="J14" i="1"/>
  <c r="J18" i="1"/>
  <c r="J15" i="1"/>
  <c r="E12" i="1"/>
  <c r="E28" i="1"/>
  <c r="K28" i="1" s="1"/>
  <c r="M28" i="1" s="1"/>
  <c r="J23" i="1"/>
  <c r="J11" i="1"/>
  <c r="E24" i="1"/>
  <c r="K24" i="1" s="1"/>
  <c r="M24" i="1" s="1"/>
  <c r="J19" i="1"/>
  <c r="E16" i="1"/>
  <c r="K16" i="1" s="1"/>
  <c r="M16" i="1" s="1"/>
  <c r="J10" i="1"/>
  <c r="K10" i="1" s="1"/>
  <c r="M10" i="1" s="1"/>
  <c r="E20" i="1"/>
  <c r="K20" i="1" s="1"/>
  <c r="M20" i="1" s="1"/>
  <c r="J27" i="1"/>
  <c r="K27" i="1" s="1"/>
  <c r="M27" i="1" s="1"/>
  <c r="J17" i="1"/>
  <c r="E19" i="1"/>
  <c r="E17" i="1"/>
  <c r="K17" i="1" s="1"/>
  <c r="M17" i="1" s="1"/>
  <c r="J29" i="1"/>
  <c r="K29" i="1" s="1"/>
  <c r="M29" i="1" s="1"/>
  <c r="E18" i="1"/>
  <c r="K18" i="1" s="1"/>
  <c r="M18" i="1" s="1"/>
  <c r="E25" i="1"/>
  <c r="K25" i="1" s="1"/>
  <c r="M25" i="1" s="1"/>
  <c r="E14" i="1"/>
  <c r="Q54" i="1"/>
  <c r="Q31" i="1"/>
  <c r="Q35" i="1"/>
  <c r="Q39" i="1"/>
  <c r="Q6" i="1"/>
  <c r="Q56" i="1"/>
  <c r="Q33" i="1"/>
  <c r="Q37" i="1"/>
  <c r="Q41" i="1"/>
  <c r="Q8" i="1"/>
  <c r="Q55" i="1"/>
  <c r="Q32" i="1"/>
  <c r="Q36" i="1"/>
  <c r="Q40" i="1"/>
  <c r="Q7" i="1"/>
  <c r="Q9" i="1"/>
  <c r="Q30" i="1"/>
  <c r="Q53" i="1"/>
  <c r="Q34" i="1"/>
  <c r="Q38" i="1"/>
  <c r="M39" i="1"/>
  <c r="K15" i="1"/>
  <c r="M15" i="1" s="1"/>
  <c r="K13" i="1"/>
  <c r="M13" i="1" s="1"/>
  <c r="K55" i="1"/>
  <c r="M55" i="1" s="1"/>
  <c r="K33" i="1"/>
  <c r="M33" i="1" s="1"/>
  <c r="K34" i="1"/>
  <c r="M34" i="1" s="1"/>
  <c r="M37" i="1"/>
  <c r="K35" i="1"/>
  <c r="M35" i="1" s="1"/>
  <c r="J22" i="1"/>
  <c r="E23" i="1"/>
  <c r="K23" i="1" s="1"/>
  <c r="M23" i="1" s="1"/>
  <c r="E21" i="1"/>
  <c r="K21" i="1" s="1"/>
  <c r="M21" i="1" s="1"/>
  <c r="E26" i="1"/>
  <c r="K26" i="1" s="1"/>
  <c r="M26" i="1" s="1"/>
  <c r="J32" i="1"/>
  <c r="K32" i="1" s="1"/>
  <c r="M32" i="1" s="1"/>
  <c r="J41" i="1"/>
  <c r="K41" i="1" s="1"/>
  <c r="M41" i="1" s="1"/>
  <c r="J44" i="1"/>
  <c r="J56" i="1"/>
  <c r="E56" i="1"/>
  <c r="K56" i="1" s="1"/>
  <c r="M56" i="1" s="1"/>
  <c r="J55" i="1"/>
  <c r="J48" i="1"/>
  <c r="J52" i="1"/>
  <c r="J38" i="1"/>
  <c r="K38" i="1" s="1"/>
  <c r="M38" i="1" s="1"/>
  <c r="J31" i="1"/>
  <c r="K31" i="1" s="1"/>
  <c r="M31" i="1" s="1"/>
  <c r="E53" i="1"/>
  <c r="K53" i="1" s="1"/>
  <c r="M53" i="1" s="1"/>
  <c r="J12" i="1"/>
  <c r="E22" i="1"/>
  <c r="J33" i="1"/>
  <c r="K30" i="1"/>
  <c r="M30" i="1" s="1"/>
  <c r="K22" i="1" l="1"/>
  <c r="M22" i="1" s="1"/>
  <c r="K14" i="1"/>
  <c r="M14" i="1" s="1"/>
  <c r="K12" i="1"/>
  <c r="M12" i="1" s="1"/>
  <c r="K19" i="1"/>
  <c r="M19" i="1" s="1"/>
  <c r="P42" i="1"/>
  <c r="Q42" i="1" s="1"/>
</calcChain>
</file>

<file path=xl/sharedStrings.xml><?xml version="1.0" encoding="utf-8"?>
<sst xmlns="http://schemas.openxmlformats.org/spreadsheetml/2006/main" count="888" uniqueCount="335">
  <si>
    <t>Sample ID</t>
  </si>
  <si>
    <t>Filter+Tin (g)</t>
  </si>
  <si>
    <t>Tin (g)</t>
  </si>
  <si>
    <t>Ashed Tin+ Filter (g)</t>
  </si>
  <si>
    <t>CA 1</t>
  </si>
  <si>
    <t>CA 2</t>
  </si>
  <si>
    <t>CA 3</t>
  </si>
  <si>
    <t>CA 4</t>
  </si>
  <si>
    <t>GF 1</t>
  </si>
  <si>
    <t>GF 2</t>
  </si>
  <si>
    <t>GF 3</t>
  </si>
  <si>
    <t>GF 4</t>
  </si>
  <si>
    <t>EXP 8</t>
  </si>
  <si>
    <t>EXP 11</t>
  </si>
  <si>
    <t>EXP 15</t>
  </si>
  <si>
    <t>EXP 6</t>
  </si>
  <si>
    <t>EXP 5</t>
  </si>
  <si>
    <t>EXP 16</t>
  </si>
  <si>
    <t>EXP 14</t>
  </si>
  <si>
    <t xml:space="preserve">EXP 10 </t>
  </si>
  <si>
    <t>GWW 1</t>
  </si>
  <si>
    <t>GWW 2</t>
  </si>
  <si>
    <t>GWW 8</t>
  </si>
  <si>
    <t>GWW 9</t>
  </si>
  <si>
    <t>EXP 3</t>
  </si>
  <si>
    <t>EXP 7</t>
  </si>
  <si>
    <t>EXP 9</t>
  </si>
  <si>
    <t>EXP 12</t>
  </si>
  <si>
    <t>EXP 2</t>
  </si>
  <si>
    <t>EXP 13</t>
  </si>
  <si>
    <t>EXP 1</t>
  </si>
  <si>
    <t>EXP 4</t>
  </si>
  <si>
    <t>2-5</t>
  </si>
  <si>
    <t>2-6</t>
  </si>
  <si>
    <t>3-11</t>
  </si>
  <si>
    <t>3-1</t>
  </si>
  <si>
    <t>3-15</t>
  </si>
  <si>
    <t>2-1</t>
  </si>
  <si>
    <t>2-2</t>
  </si>
  <si>
    <t>3-8</t>
  </si>
  <si>
    <t>3-24</t>
  </si>
  <si>
    <t>2-10</t>
  </si>
  <si>
    <t>2-18</t>
  </si>
  <si>
    <t>3-3</t>
  </si>
  <si>
    <t>BS 2</t>
  </si>
  <si>
    <t>BS 3</t>
  </si>
  <si>
    <t>BS 4</t>
  </si>
  <si>
    <t>BS 5</t>
  </si>
  <si>
    <t>Gaining</t>
  </si>
  <si>
    <t>GS-5U</t>
  </si>
  <si>
    <t>GS-5L</t>
  </si>
  <si>
    <t>GS-4U</t>
  </si>
  <si>
    <t>GS-4L</t>
  </si>
  <si>
    <t>GS-3L</t>
  </si>
  <si>
    <t>GS-3U</t>
  </si>
  <si>
    <t>GS-2L</t>
  </si>
  <si>
    <t>GS-2U</t>
  </si>
  <si>
    <t>GS-1U</t>
  </si>
  <si>
    <t>GS-1L</t>
  </si>
  <si>
    <t>No post-ash msmt for 3-3 so I took the avg of 3-1 and 3-8, took the diff bw that and the pre-ash filter weight, and then added that to the tin weight</t>
  </si>
  <si>
    <t>Total ashed OM (g)</t>
  </si>
  <si>
    <t>Debris OM (g)</t>
  </si>
  <si>
    <t>Post filter ash, pre-sample ash (g)</t>
  </si>
  <si>
    <t>Mean Ashed filter OM (g)</t>
  </si>
  <si>
    <t>Ashed Filter+Sample (g)</t>
  </si>
  <si>
    <t>Mean Ashed filter (g)</t>
  </si>
  <si>
    <t>Ashed sample weight (g)</t>
  </si>
  <si>
    <t>Tube (g)</t>
  </si>
  <si>
    <t>Tube + Sample (g)</t>
  </si>
  <si>
    <t>Final Sample (g)</t>
  </si>
  <si>
    <t>Target HCl to add mL</t>
  </si>
  <si>
    <t>Actually Added HCl (mL)</t>
  </si>
  <si>
    <t>GFF std 1</t>
  </si>
  <si>
    <t>GFF std 2</t>
  </si>
  <si>
    <t>GFF std 3</t>
  </si>
  <si>
    <t>GFF std 4</t>
  </si>
  <si>
    <t>GFF std 5</t>
  </si>
  <si>
    <t>GFF std 6</t>
  </si>
  <si>
    <t xml:space="preserve">CA std 1 </t>
  </si>
  <si>
    <t>CA std 2</t>
  </si>
  <si>
    <t>CA std 3</t>
  </si>
  <si>
    <t>CA std 4</t>
  </si>
  <si>
    <t>CA std 5</t>
  </si>
  <si>
    <t>CA std 6</t>
  </si>
  <si>
    <t>ID</t>
  </si>
  <si>
    <t>Pre-ash wt (g)</t>
  </si>
  <si>
    <t>Post-ash wt (g)</t>
  </si>
  <si>
    <t>Target HCl to add (mL)</t>
  </si>
  <si>
    <t>Target HCl to add (uL)</t>
  </si>
  <si>
    <t>Crucible + Sample</t>
  </si>
  <si>
    <t>Crucible</t>
  </si>
  <si>
    <t>Sample alone</t>
  </si>
  <si>
    <t>Target DI to add (mL)</t>
  </si>
  <si>
    <t>Actual HCl Added (ul)</t>
  </si>
  <si>
    <t>Target DI to add (uL)</t>
  </si>
  <si>
    <t>Actual DI Added (uL)</t>
  </si>
  <si>
    <t xml:space="preserve">Absorbance </t>
  </si>
  <si>
    <t>E1</t>
  </si>
  <si>
    <t>CA2</t>
  </si>
  <si>
    <t>E13</t>
  </si>
  <si>
    <t>E2</t>
  </si>
  <si>
    <t>CA4</t>
  </si>
  <si>
    <t>GWW9</t>
  </si>
  <si>
    <t>GWW1</t>
  </si>
  <si>
    <t>E8</t>
  </si>
  <si>
    <t>CA3</t>
  </si>
  <si>
    <t>E7</t>
  </si>
  <si>
    <t>B5</t>
  </si>
  <si>
    <t>E9</t>
  </si>
  <si>
    <t>CA1</t>
  </si>
  <si>
    <t>E12</t>
  </si>
  <si>
    <t>E5</t>
  </si>
  <si>
    <t>GWW8</t>
  </si>
  <si>
    <t>E10</t>
  </si>
  <si>
    <t>E14</t>
  </si>
  <si>
    <t>E11</t>
  </si>
  <si>
    <t>E4</t>
  </si>
  <si>
    <t>E15</t>
  </si>
  <si>
    <t>E16</t>
  </si>
  <si>
    <t>E3</t>
  </si>
  <si>
    <t>GWW2</t>
  </si>
  <si>
    <t>E6</t>
  </si>
  <si>
    <t>GF2</t>
  </si>
  <si>
    <t>B3</t>
  </si>
  <si>
    <t>B4</t>
  </si>
  <si>
    <t>GF3</t>
  </si>
  <si>
    <t>GF4</t>
  </si>
  <si>
    <t>GF1</t>
  </si>
  <si>
    <t>B2</t>
  </si>
  <si>
    <t>Standard</t>
  </si>
  <si>
    <t>CA std 7</t>
  </si>
  <si>
    <t>CA std 8</t>
  </si>
  <si>
    <t>CA std 9</t>
  </si>
  <si>
    <t>GFF std 7</t>
  </si>
  <si>
    <t>GFF std 8</t>
  </si>
  <si>
    <t>GFF std 9</t>
  </si>
  <si>
    <t>GFF std 10</t>
  </si>
  <si>
    <t>Absorbance</t>
  </si>
  <si>
    <t>Standard mg p/L</t>
  </si>
  <si>
    <t>after 50 mins</t>
  </si>
  <si>
    <t>Filter not-ashed w/ sample (g)</t>
  </si>
  <si>
    <t>Weight of filter by itself (g) (not ashed)</t>
  </si>
  <si>
    <t>Avg weight of filter by itself (g) (not ashed)</t>
  </si>
  <si>
    <t>Weight of ashed filter by itself (g)</t>
  </si>
  <si>
    <t>Ashed filter (g)</t>
  </si>
  <si>
    <t>Avg Weight of ashed filter by itself (g)</t>
  </si>
  <si>
    <t>ashed tin+Filter w/ sample (g)</t>
  </si>
  <si>
    <t>Filter w/ sample +Tin (g)</t>
  </si>
  <si>
    <t>Ashed Filter+ sample weight (g)</t>
  </si>
  <si>
    <t>Tube weight (g)</t>
  </si>
  <si>
    <t>Tube + Filter weight (g)</t>
  </si>
  <si>
    <t>Weight of total Particulates on filter (g)</t>
  </si>
  <si>
    <t>Abs</t>
  </si>
  <si>
    <t>E1UB9</t>
  </si>
  <si>
    <t>E1UB6</t>
  </si>
  <si>
    <t>GW2 8/11</t>
  </si>
  <si>
    <t>GW9 7/20</t>
  </si>
  <si>
    <t>GW4 8/11</t>
  </si>
  <si>
    <t>GW2 7/20</t>
  </si>
  <si>
    <t>E5B11</t>
  </si>
  <si>
    <t>E5B2</t>
  </si>
  <si>
    <t>E1UB13</t>
  </si>
  <si>
    <t>GW7 7/19</t>
  </si>
  <si>
    <t>E1DB6</t>
  </si>
  <si>
    <t>S3B5</t>
  </si>
  <si>
    <t>GW8 7/20</t>
  </si>
  <si>
    <t>E5B5</t>
  </si>
  <si>
    <t>GW3 8/23</t>
  </si>
  <si>
    <t>GW6 7/20</t>
  </si>
  <si>
    <t>E1DB9</t>
  </si>
  <si>
    <t>E1DB15</t>
  </si>
  <si>
    <t>PU 8/11</t>
  </si>
  <si>
    <t>E1UB5</t>
  </si>
  <si>
    <t>PL 8/11</t>
  </si>
  <si>
    <t>GW2 8/23</t>
  </si>
  <si>
    <t>GW3 7/19</t>
  </si>
  <si>
    <t>E5B13</t>
  </si>
  <si>
    <t>E5B9</t>
  </si>
  <si>
    <t>GW1 8/11</t>
  </si>
  <si>
    <t>E1UB3</t>
  </si>
  <si>
    <t>GSU 8/24</t>
  </si>
  <si>
    <t>E1DB7</t>
  </si>
  <si>
    <t>E1DB5</t>
  </si>
  <si>
    <t>E1DB1</t>
  </si>
  <si>
    <t>E1UB11</t>
  </si>
  <si>
    <t>GSL 8/24</t>
  </si>
  <si>
    <t>E1DB4</t>
  </si>
  <si>
    <t>S2B19</t>
  </si>
  <si>
    <t>SPACE</t>
  </si>
  <si>
    <t>STD 1</t>
  </si>
  <si>
    <t>STD 2</t>
  </si>
  <si>
    <t>STD 3</t>
  </si>
  <si>
    <t>STD 4</t>
  </si>
  <si>
    <t>STD 5</t>
  </si>
  <si>
    <t>STD 6</t>
  </si>
  <si>
    <t>STD 7</t>
  </si>
  <si>
    <t>STD 8</t>
  </si>
  <si>
    <t>STD 9</t>
  </si>
  <si>
    <t>STD 10</t>
  </si>
  <si>
    <t>BLANK 11</t>
  </si>
  <si>
    <t>BLANK 12</t>
  </si>
  <si>
    <t>BLANK 13</t>
  </si>
  <si>
    <t>BLANK 14</t>
  </si>
  <si>
    <t>BLANK 15</t>
  </si>
  <si>
    <t>S1B4</t>
  </si>
  <si>
    <t>S2B3</t>
  </si>
  <si>
    <t>GW5 8/23</t>
  </si>
  <si>
    <t>E5B1</t>
  </si>
  <si>
    <t>E5B4</t>
  </si>
  <si>
    <t>30 MINS</t>
  </si>
  <si>
    <t>E5B7</t>
  </si>
  <si>
    <t>S2B1</t>
  </si>
  <si>
    <t>S3B17</t>
  </si>
  <si>
    <t>GW7 8/23</t>
  </si>
  <si>
    <t>S1B1</t>
  </si>
  <si>
    <t>GW4 8/23</t>
  </si>
  <si>
    <t xml:space="preserve">E5B10 </t>
  </si>
  <si>
    <t>E1UB8</t>
  </si>
  <si>
    <t>E1DB3</t>
  </si>
  <si>
    <t>E1UB14</t>
  </si>
  <si>
    <t>E1UB1</t>
  </si>
  <si>
    <t>S1B14</t>
  </si>
  <si>
    <t>GW1 8/23</t>
  </si>
  <si>
    <t>E5B12</t>
  </si>
  <si>
    <t>E1UB4</t>
  </si>
  <si>
    <t>PU 8/23</t>
  </si>
  <si>
    <t>E1DB10</t>
  </si>
  <si>
    <t>PL 8/23</t>
  </si>
  <si>
    <t>GW8 8/11</t>
  </si>
  <si>
    <t>E5B3</t>
  </si>
  <si>
    <t>E1DB14</t>
  </si>
  <si>
    <t>GW8 8/23</t>
  </si>
  <si>
    <t>GSU 7/12</t>
  </si>
  <si>
    <t>E5B8</t>
  </si>
  <si>
    <t>GW9 8/23</t>
  </si>
  <si>
    <t>S2B5</t>
  </si>
  <si>
    <t>E1UB10</t>
  </si>
  <si>
    <t>E1DB12</t>
  </si>
  <si>
    <t>E1DB2</t>
  </si>
  <si>
    <t>GW9 8/11</t>
  </si>
  <si>
    <t>E1UB12</t>
  </si>
  <si>
    <t>GW7 8/11</t>
  </si>
  <si>
    <t>S3B24</t>
  </si>
  <si>
    <t>GW5 7/20</t>
  </si>
  <si>
    <t>GW6 8/23</t>
  </si>
  <si>
    <t>GSL 7/12</t>
  </si>
  <si>
    <t>GW4 7/19</t>
  </si>
  <si>
    <t>GSU 8/11</t>
  </si>
  <si>
    <t>GW3 8/11</t>
  </si>
  <si>
    <t>GW5 8/11</t>
  </si>
  <si>
    <t>E1DB13</t>
  </si>
  <si>
    <t>E1DB8</t>
  </si>
  <si>
    <t>GW1 7/20</t>
  </si>
  <si>
    <t>S2B10</t>
  </si>
  <si>
    <t>GSL 8/11</t>
  </si>
  <si>
    <t>GW6 8/11</t>
  </si>
  <si>
    <t>E1DB11</t>
  </si>
  <si>
    <t>E5B6</t>
  </si>
  <si>
    <t>S3B13</t>
  </si>
  <si>
    <t>S3B1</t>
  </si>
  <si>
    <t>S1B2</t>
  </si>
  <si>
    <t>E1UB7</t>
  </si>
  <si>
    <t>60 MINS</t>
  </si>
  <si>
    <t>CA</t>
  </si>
  <si>
    <t>GFF std 11</t>
  </si>
  <si>
    <t>GFF std 12</t>
  </si>
  <si>
    <t>CA 5</t>
  </si>
  <si>
    <t>CA 6</t>
  </si>
  <si>
    <t>CA 7</t>
  </si>
  <si>
    <t>CA 8</t>
  </si>
  <si>
    <t>CA 9</t>
  </si>
  <si>
    <t>CA 10</t>
  </si>
  <si>
    <t>CA 11</t>
  </si>
  <si>
    <t>CA 12</t>
  </si>
  <si>
    <t>gff</t>
  </si>
  <si>
    <t>absorbance</t>
  </si>
  <si>
    <t>ca</t>
  </si>
  <si>
    <t>Vol of water filtered through filter (ml)</t>
  </si>
  <si>
    <t>.0602x^2+.028x-.0003</t>
  </si>
  <si>
    <t>.1123x^2+.0398x-.0049</t>
  </si>
  <si>
    <t xml:space="preserve">µmols of P </t>
  </si>
  <si>
    <t xml:space="preserve">µmols P/L </t>
  </si>
  <si>
    <t>Vol of water filtered through filter (L)</t>
  </si>
  <si>
    <t>µmols of P</t>
  </si>
  <si>
    <t>µmols P/L</t>
  </si>
  <si>
    <t>Vol filtered (ml)</t>
  </si>
  <si>
    <t>E1DB16</t>
  </si>
  <si>
    <t>E1UB2</t>
  </si>
  <si>
    <t>Vol filtered (L)</t>
  </si>
  <si>
    <t>umols/L</t>
  </si>
  <si>
    <t>EXPERIMENT 1 DOWN</t>
  </si>
  <si>
    <t>EXPERIMENT 1 UP</t>
  </si>
  <si>
    <t>EXPERIMENT 5</t>
  </si>
  <si>
    <t>Time</t>
  </si>
  <si>
    <t>Pressure[cmH2O]</t>
  </si>
  <si>
    <t>7/17/21</t>
  </si>
  <si>
    <t>7/19/21</t>
  </si>
  <si>
    <t>2-1 7/23/21</t>
  </si>
  <si>
    <t xml:space="preserve">3-1 </t>
  </si>
  <si>
    <t>15:50</t>
  </si>
  <si>
    <t>16:09</t>
  </si>
  <si>
    <t>16:40</t>
  </si>
  <si>
    <t>16:55</t>
  </si>
  <si>
    <t>19:19</t>
  </si>
  <si>
    <t>21:02</t>
  </si>
  <si>
    <t>14:54</t>
  </si>
  <si>
    <t>15:02</t>
  </si>
  <si>
    <t>16:13</t>
  </si>
  <si>
    <t>16:58</t>
  </si>
  <si>
    <t>17:58</t>
  </si>
  <si>
    <t>20:13</t>
  </si>
  <si>
    <t>7/27/21</t>
  </si>
  <si>
    <t>8/5/21</t>
  </si>
  <si>
    <t>8/13/21</t>
  </si>
  <si>
    <t>Q</t>
  </si>
  <si>
    <t>Pressure (cm H2O)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</si>
  <si>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</si>
  <si>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</si>
  <si>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</si>
  <si>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</si>
  <si>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</si>
  <si>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</si>
  <si>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</si>
  <si>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</si>
  <si>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</si>
  <si>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LP</t>
  </si>
  <si>
    <t>UP</t>
  </si>
  <si>
    <t>GSL</t>
  </si>
  <si>
    <t>GSU</t>
  </si>
  <si>
    <t>Upper</t>
  </si>
  <si>
    <t>Lower</t>
  </si>
  <si>
    <t xml:space="preserve">Avg cfs </t>
  </si>
  <si>
    <t xml:space="preserve">Compensated Pressure </t>
  </si>
  <si>
    <t xml:space="preserve">mg/L 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</si>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</sst>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000000000"/>
    <numFmt numFmtId="167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33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49" fontId="0" fillId="3" borderId="1" xfId="0" applyNumberFormat="1" applyFill="1" applyBorder="1"/>
    <xf numFmtId="49" fontId="0" fillId="2" borderId="1" xfId="0" applyNumberFormat="1" applyFill="1" applyBorder="1"/>
    <xf numFmtId="0" fontId="0" fillId="4" borderId="2" xfId="0" applyFill="1" applyBorder="1"/>
    <xf numFmtId="0" fontId="0" fillId="2" borderId="2" xfId="0" applyFill="1" applyBorder="1"/>
    <xf numFmtId="0" fontId="0" fillId="3" borderId="2" xfId="0" applyFill="1" applyBorder="1"/>
    <xf numFmtId="0" fontId="1" fillId="5" borderId="1" xfId="1" applyBorder="1"/>
    <xf numFmtId="0" fontId="1" fillId="5" borderId="3" xfId="1" applyBorder="1"/>
    <xf numFmtId="164" fontId="0" fillId="2" borderId="0" xfId="0" applyNumberFormat="1" applyFill="1"/>
    <xf numFmtId="14" fontId="0" fillId="0" borderId="0" xfId="0" applyNumberFormat="1"/>
    <xf numFmtId="0" fontId="0" fillId="4" borderId="1" xfId="0" applyFill="1" applyBorder="1" applyAlignment="1">
      <alignment wrapText="1"/>
    </xf>
    <xf numFmtId="165" fontId="0" fillId="2" borderId="1" xfId="0" applyNumberFormat="1" applyFill="1" applyBorder="1"/>
    <xf numFmtId="0" fontId="0" fillId="6" borderId="0" xfId="0" applyFill="1"/>
    <xf numFmtId="166" fontId="0" fillId="2" borderId="1" xfId="0" applyNumberFormat="1" applyFill="1" applyBorder="1"/>
    <xf numFmtId="0" fontId="3" fillId="4" borderId="1" xfId="0" applyFont="1" applyFill="1" applyBorder="1"/>
    <xf numFmtId="0" fontId="3" fillId="0" borderId="0" xfId="0" applyFont="1"/>
    <xf numFmtId="21" fontId="0" fillId="0" borderId="0" xfId="0" applyNumberFormat="1"/>
    <xf numFmtId="49" fontId="0" fillId="3" borderId="0" xfId="0" applyNumberFormat="1" applyFill="1"/>
    <xf numFmtId="49" fontId="0" fillId="2" borderId="0" xfId="0" applyNumberFormat="1" applyFill="1"/>
    <xf numFmtId="14" fontId="0" fillId="2" borderId="0" xfId="0" applyNumberFormat="1" applyFill="1"/>
    <xf numFmtId="20" fontId="0" fillId="2" borderId="0" xfId="0" applyNumberFormat="1" applyFill="1"/>
    <xf numFmtId="167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</cellXfs>
  <cellStyles count="2">
    <cellStyle name="40% - Accent6" xfId="1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509755030621171"/>
                  <c:y val="-0.164481991834354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standards!$B$48:$B$54</c:f>
              <c:numCache>
                <c:formatCode>General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0.25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standards!$C$48:$C$54</c:f>
              <c:numCache>
                <c:formatCode>General</c:formatCode>
                <c:ptCount val="7"/>
                <c:pt idx="0">
                  <c:v>9.0999999999999998E-2</c:v>
                </c:pt>
                <c:pt idx="1">
                  <c:v>9.1999999999999998E-2</c:v>
                </c:pt>
                <c:pt idx="2">
                  <c:v>9.2999999999999999E-2</c:v>
                </c:pt>
                <c:pt idx="3">
                  <c:v>9.0999999999999998E-2</c:v>
                </c:pt>
                <c:pt idx="4">
                  <c:v>9.1999999999999998E-2</c:v>
                </c:pt>
                <c:pt idx="5">
                  <c:v>9.6000000000000002E-2</c:v>
                </c:pt>
                <c:pt idx="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F-428E-AE59-381849F2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18840"/>
        <c:axId val="591522448"/>
      </c:scatterChart>
      <c:valAx>
        <c:axId val="59151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22448"/>
        <c:crosses val="autoZero"/>
        <c:crossBetween val="midCat"/>
      </c:valAx>
      <c:valAx>
        <c:axId val="59152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18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standards!$B$33:$B$38</c:f>
              <c:numCache>
                <c:formatCode>General</c:formatCode>
                <c:ptCount val="6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</c:numCache>
            </c:numRef>
          </c:xVal>
          <c:yVal>
            <c:numRef>
              <c:f>standards!$C$33:$C$38</c:f>
              <c:numCache>
                <c:formatCode>General</c:formatCode>
                <c:ptCount val="6"/>
                <c:pt idx="0">
                  <c:v>9.1999999999999998E-2</c:v>
                </c:pt>
                <c:pt idx="1">
                  <c:v>0.124</c:v>
                </c:pt>
                <c:pt idx="2">
                  <c:v>0.18099999999999999</c:v>
                </c:pt>
                <c:pt idx="3">
                  <c:v>0.23699999999999999</c:v>
                </c:pt>
                <c:pt idx="4">
                  <c:v>0.33200000000000002</c:v>
                </c:pt>
                <c:pt idx="5">
                  <c:v>0.379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F-4EEB-9FF8-47EE3071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06720"/>
        <c:axId val="595907048"/>
      </c:scatterChart>
      <c:valAx>
        <c:axId val="59590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07048"/>
        <c:crosses val="autoZero"/>
        <c:crossBetween val="midCat"/>
      </c:valAx>
      <c:valAx>
        <c:axId val="59590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2684120734908136"/>
                  <c:y val="-0.23443533100029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4.6452318460192474E-2"/>
                  <c:y val="-0.18512102653834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standards!$C$69:$C$77</c:f>
              <c:numCache>
                <c:formatCode>General</c:formatCode>
                <c:ptCount val="9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6.8000000000000005E-2</c:v>
                </c:pt>
                <c:pt idx="7">
                  <c:v>0.10199999999999999</c:v>
                </c:pt>
                <c:pt idx="8">
                  <c:v>0.13600000000000001</c:v>
                </c:pt>
              </c:numCache>
            </c:numRef>
          </c:xVal>
          <c:yVal>
            <c:numRef>
              <c:f>standards!$D$69:$D$77</c:f>
              <c:numCache>
                <c:formatCode>General</c:formatCode>
                <c:ptCount val="9"/>
                <c:pt idx="0">
                  <c:v>9.5000000000000001E-2</c:v>
                </c:pt>
                <c:pt idx="1">
                  <c:v>0.14299999999999999</c:v>
                </c:pt>
                <c:pt idx="2">
                  <c:v>0.17399999999999999</c:v>
                </c:pt>
                <c:pt idx="3">
                  <c:v>0.26200000000000001</c:v>
                </c:pt>
                <c:pt idx="4">
                  <c:v>0.33500000000000002</c:v>
                </c:pt>
                <c:pt idx="5">
                  <c:v>0.39900000000000002</c:v>
                </c:pt>
                <c:pt idx="6">
                  <c:v>0.57999999999999996</c:v>
                </c:pt>
                <c:pt idx="7">
                  <c:v>0.67200000000000004</c:v>
                </c:pt>
                <c:pt idx="8">
                  <c:v>0.76200000000000001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1-45B0-A563-ACB629069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917752"/>
        <c:axId val="578918080"/>
      </c:scatterChart>
      <c:valAx>
        <c:axId val="57891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18080"/>
        <c:crosses val="autoZero"/>
        <c:crossBetween val="midCat"/>
      </c:valAx>
      <c:valAx>
        <c:axId val="57891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1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2684120734908136"/>
                  <c:y val="-0.23443533100029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4.6452318460192474E-2"/>
                  <c:y val="-0.18512102653834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standards!$C$83:$C$90</c:f>
              <c:numCache>
                <c:formatCode>General</c:formatCode>
                <c:ptCount val="8"/>
                <c:pt idx="0">
                  <c:v>0</c:v>
                </c:pt>
                <c:pt idx="1">
                  <c:v>6.7999999999999996E-3</c:v>
                </c:pt>
                <c:pt idx="2">
                  <c:v>1.3599999999999999E-2</c:v>
                </c:pt>
                <c:pt idx="3">
                  <c:v>2.7199999999999998E-2</c:v>
                </c:pt>
                <c:pt idx="4">
                  <c:v>4.7600000000000003E-2</c:v>
                </c:pt>
                <c:pt idx="5">
                  <c:v>6.8000000000000005E-2</c:v>
                </c:pt>
                <c:pt idx="6">
                  <c:v>0.20400000000000001</c:v>
                </c:pt>
                <c:pt idx="7">
                  <c:v>0.13600000000000001</c:v>
                </c:pt>
              </c:numCache>
            </c:numRef>
          </c:xVal>
          <c:yVal>
            <c:numRef>
              <c:f>standards!$D$83:$D$90</c:f>
              <c:numCache>
                <c:formatCode>General</c:formatCode>
                <c:ptCount val="8"/>
                <c:pt idx="0">
                  <c:v>0.127</c:v>
                </c:pt>
                <c:pt idx="1">
                  <c:v>0.155</c:v>
                </c:pt>
                <c:pt idx="2">
                  <c:v>0.159</c:v>
                </c:pt>
                <c:pt idx="3">
                  <c:v>0.216</c:v>
                </c:pt>
                <c:pt idx="4">
                  <c:v>0.25900000000000001</c:v>
                </c:pt>
                <c:pt idx="5">
                  <c:v>0.28799999999999998</c:v>
                </c:pt>
                <c:pt idx="6">
                  <c:v>0.45200000000000001</c:v>
                </c:pt>
                <c:pt idx="7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89-4E32-84D1-214C5D3E7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917752"/>
        <c:axId val="578918080"/>
      </c:scatterChart>
      <c:valAx>
        <c:axId val="57891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18080"/>
        <c:crosses val="autoZero"/>
        <c:crossBetween val="midCat"/>
      </c:valAx>
      <c:valAx>
        <c:axId val="57891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1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23381452318461"/>
          <c:y val="0.16708333333333336"/>
          <c:w val="0.83132174103237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v>ISCO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7097331583552059E-2"/>
                  <c:y val="-3.9317220764071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44-4B1D-BD40-2DC14648F635}"/>
                </c:ext>
              </c:extLst>
            </c:dLbl>
            <c:dLbl>
              <c:idx val="1"/>
              <c:layout>
                <c:manualLayout>
                  <c:x val="-6.8763998250218727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44-4B1D-BD40-2DC14648F635}"/>
                </c:ext>
              </c:extLst>
            </c:dLbl>
            <c:dLbl>
              <c:idx val="2"/>
              <c:layout>
                <c:manualLayout>
                  <c:x val="-8.7430664916885392E-2"/>
                  <c:y val="-1.1539442986293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44-4B1D-BD40-2DC14648F635}"/>
                </c:ext>
              </c:extLst>
            </c:dLbl>
            <c:dLbl>
              <c:idx val="3"/>
              <c:layout>
                <c:manualLayout>
                  <c:x val="-8.4652887139107708E-2"/>
                  <c:y val="-2.5428331875182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44-4B1D-BD40-2DC14648F635}"/>
                </c:ext>
              </c:extLst>
            </c:dLbl>
            <c:dLbl>
              <c:idx val="4"/>
              <c:layout>
                <c:manualLayout>
                  <c:x val="-4.5763998250218721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44-4B1D-BD40-2DC14648F635}"/>
                </c:ext>
              </c:extLst>
            </c:dLbl>
            <c:dLbl>
              <c:idx val="5"/>
              <c:layout>
                <c:manualLayout>
                  <c:x val="-6.7986220472440989E-2"/>
                  <c:y val="-3.9317220764071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44-4B1D-BD40-2DC14648F63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'Graphs 2021'!$E$2:$E$7</c:f>
              <c:numCache>
                <c:formatCode>0.000</c:formatCode>
                <c:ptCount val="6"/>
                <c:pt idx="0">
                  <c:v>3.3090000000000002</c:v>
                </c:pt>
                <c:pt idx="1">
                  <c:v>3.7970000000000002</c:v>
                </c:pt>
                <c:pt idx="2">
                  <c:v>4.0960000000000001</c:v>
                </c:pt>
                <c:pt idx="3">
                  <c:v>3.9940000000000002</c:v>
                </c:pt>
                <c:pt idx="4">
                  <c:v>2.4950000000000001</c:v>
                </c:pt>
                <c:pt idx="5">
                  <c:v>2.0139999999999998</c:v>
                </c:pt>
              </c:numCache>
            </c:numRef>
          </c:xVal>
          <c:yVal>
            <c:numRef>
              <c:f>'Graphs 2021'!$C$2:$C$7</c:f>
              <c:numCache>
                <c:formatCode>General</c:formatCode>
                <c:ptCount val="6"/>
                <c:pt idx="0">
                  <c:v>1.1928068313043476</c:v>
                </c:pt>
                <c:pt idx="1">
                  <c:v>1.6331821562499997</c:v>
                </c:pt>
                <c:pt idx="2">
                  <c:v>0.77054282625000015</c:v>
                </c:pt>
                <c:pt idx="3">
                  <c:v>0.50378816000000004</c:v>
                </c:pt>
                <c:pt idx="4">
                  <c:v>9.5605748571428575E-2</c:v>
                </c:pt>
                <c:pt idx="5">
                  <c:v>7.0899395199999993E-2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B4-4521-9125-B719079B7B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81039432"/>
        <c:axId val="681043040"/>
      </c:scatterChart>
      <c:valAx>
        <c:axId val="681039432"/>
        <c:scaling>
          <c:orientation val="minMax"/>
          <c:max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43040"/>
        <c:crosses val="autoZero"/>
        <c:crossBetween val="midCat"/>
        <c:majorUnit val="2"/>
      </c:valAx>
      <c:valAx>
        <c:axId val="68104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PP (µmols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/L)</a:t>
                </a:r>
                <a:endParaRPr lang="en-US"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39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26220472440945"/>
          <c:y val="0.16245370370370371"/>
          <c:w val="0.1592001312335958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ISCO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986220472441045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DF-4F0E-BF88-4788900A0C48}"/>
                </c:ext>
              </c:extLst>
            </c:dLbl>
            <c:dLbl>
              <c:idx val="2"/>
              <c:layout>
                <c:manualLayout>
                  <c:x val="-7.6319553805774279E-2"/>
                  <c:y val="-3.0057961504811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DF-4F0E-BF88-4788900A0C48}"/>
                </c:ext>
              </c:extLst>
            </c:dLbl>
            <c:dLbl>
              <c:idx val="3"/>
              <c:layout>
                <c:manualLayout>
                  <c:x val="-7.6319553805774376E-2"/>
                  <c:y val="-2.5428331875182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DF-4F0E-BF88-4788900A0C48}"/>
                </c:ext>
              </c:extLst>
            </c:dLbl>
            <c:dLbl>
              <c:idx val="4"/>
              <c:layout>
                <c:manualLayout>
                  <c:x val="-4.5763998250218721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DF-4F0E-BF88-4788900A0C48}"/>
                </c:ext>
              </c:extLst>
            </c:dLbl>
            <c:dLbl>
              <c:idx val="5"/>
              <c:layout>
                <c:manualLayout>
                  <c:x val="-4.0208442694663268E-2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DF-4F0E-BF88-4788900A0C4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'Graphs 2021'!$E$8:$E$13</c:f>
              <c:numCache>
                <c:formatCode>0.000</c:formatCode>
                <c:ptCount val="6"/>
                <c:pt idx="0">
                  <c:v>1.851</c:v>
                </c:pt>
                <c:pt idx="1">
                  <c:v>2.0659999999999998</c:v>
                </c:pt>
                <c:pt idx="2">
                  <c:v>3.867</c:v>
                </c:pt>
                <c:pt idx="3">
                  <c:v>3.9740000000000002</c:v>
                </c:pt>
                <c:pt idx="4">
                  <c:v>3.1560000000000001</c:v>
                </c:pt>
                <c:pt idx="5">
                  <c:v>2.1930000000000001</c:v>
                </c:pt>
              </c:numCache>
            </c:numRef>
          </c:xVal>
          <c:yVal>
            <c:numRef>
              <c:f>'Graphs 2021'!$C$8:$C$13</c:f>
              <c:numCache>
                <c:formatCode>General</c:formatCode>
                <c:ptCount val="6"/>
                <c:pt idx="0">
                  <c:v>0.15268799999999996</c:v>
                </c:pt>
                <c:pt idx="1">
                  <c:v>0.27913451076923079</c:v>
                </c:pt>
                <c:pt idx="2">
                  <c:v>1.6553536762499999</c:v>
                </c:pt>
                <c:pt idx="3">
                  <c:v>0.37727331866666669</c:v>
                </c:pt>
                <c:pt idx="4">
                  <c:v>0.12690463120000001</c:v>
                </c:pt>
                <c:pt idx="5">
                  <c:v>6.0366220800000002E-2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4A-43A1-AD63-5FE9EAE2F3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81039432"/>
        <c:axId val="681043040"/>
      </c:scatterChart>
      <c:valAx>
        <c:axId val="681039432"/>
        <c:scaling>
          <c:orientation val="minMax"/>
          <c:max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43040"/>
        <c:crosses val="autoZero"/>
        <c:crossBetween val="midCat"/>
        <c:majorUnit val="2"/>
      </c:valAx>
      <c:valAx>
        <c:axId val="68104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PP (µmols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/L)</a:t>
                </a:r>
                <a:endParaRPr lang="en-US"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39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98442694663167"/>
          <c:y val="0.17171296296296298"/>
          <c:w val="0.1592001312335958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Armor Removal Experiment-PP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'Graphs 2021'!$E$24:$E$39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'Graphs 2021'!$C$24:$C$39</c:f>
              <c:numCache>
                <c:formatCode>General</c:formatCode>
                <c:ptCount val="16"/>
                <c:pt idx="0">
                  <c:v>-1.6651719999999999E-3</c:v>
                </c:pt>
                <c:pt idx="1">
                  <c:v>9.3759881818181838E-3</c:v>
                </c:pt>
                <c:pt idx="2">
                  <c:v>2.1342669523809529E-2</c:v>
                </c:pt>
                <c:pt idx="3">
                  <c:v>7.1751607272727266E-2</c:v>
                </c:pt>
                <c:pt idx="4">
                  <c:v>6.6353188181818193E-2</c:v>
                </c:pt>
                <c:pt idx="5">
                  <c:v>7.7250075454545444E-2</c:v>
                </c:pt>
                <c:pt idx="6">
                  <c:v>8.1949845454545502E-3</c:v>
                </c:pt>
                <c:pt idx="7">
                  <c:v>1.2404176521739134E-2</c:v>
                </c:pt>
                <c:pt idx="8">
                  <c:v>-1.5137927272727252E-3</c:v>
                </c:pt>
                <c:pt idx="9">
                  <c:v>4.1257890909090931E-3</c:v>
                </c:pt>
                <c:pt idx="10">
                  <c:v>1.4358916666667247E-4</c:v>
                </c:pt>
                <c:pt idx="11">
                  <c:v>-1.5137927272727252E-3</c:v>
                </c:pt>
                <c:pt idx="12">
                  <c:v>4.8383566666666648E-3</c:v>
                </c:pt>
                <c:pt idx="13">
                  <c:v>-1.6651719999999978E-3</c:v>
                </c:pt>
                <c:pt idx="14">
                  <c:v>1.581395666666667E-2</c:v>
                </c:pt>
                <c:pt idx="15">
                  <c:v>-1.5858780952380932E-3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0B-46B4-B055-AC5E33613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378784"/>
        <c:axId val="958379768"/>
      </c:scatterChart>
      <c:valAx>
        <c:axId val="9583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79768"/>
        <c:crosses val="autoZero"/>
        <c:crossBetween val="midCat"/>
      </c:valAx>
      <c:valAx>
        <c:axId val="958379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7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GWWs Summer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2021'!$A$40:$A$43</c:f>
              <c:strCache>
                <c:ptCount val="4"/>
                <c:pt idx="0">
                  <c:v>GWW 1</c:v>
                </c:pt>
                <c:pt idx="1">
                  <c:v>GWW 2</c:v>
                </c:pt>
                <c:pt idx="2">
                  <c:v>GWW 8</c:v>
                </c:pt>
                <c:pt idx="3">
                  <c:v>GWW 9</c:v>
                </c:pt>
              </c:strCache>
            </c:strRef>
          </c:cat>
          <c:val>
            <c:numRef>
              <c:f>'Graphs 2021'!$C$40:$C$43</c:f>
              <c:numCache>
                <c:formatCode>General</c:formatCode>
                <c:ptCount val="4"/>
                <c:pt idx="0">
                  <c:v>14.042816120000001</c:v>
                </c:pt>
                <c:pt idx="1">
                  <c:v>12.755082799999998</c:v>
                </c:pt>
                <c:pt idx="2">
                  <c:v>18.515120853999996</c:v>
                </c:pt>
                <c:pt idx="3">
                  <c:v>38.367838026666682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6-4CA0-A41F-F67D19A21B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167024"/>
        <c:axId val="839169648"/>
      </c:barChart>
      <c:catAx>
        <c:axId val="8391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69648"/>
        <c:crosses val="autoZero"/>
        <c:auto val="1"/>
        <c:lblAlgn val="ctr"/>
        <c:lblOffset val="100"/>
        <c:noMultiLvlLbl val="0"/>
      </c:catAx>
      <c:valAx>
        <c:axId val="839169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6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 PP-</a:t>
            </a:r>
            <a:r>
              <a:rPr lang="en-US" baseline="0"/>
              <a:t> Summer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Upper Reach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2021'!$X$34:$X$37</c:f>
              <c:numCache>
                <c:formatCode>m/d/yyyy</c:formatCode>
                <c:ptCount val="4"/>
                <c:pt idx="0">
                  <c:v>44394</c:v>
                </c:pt>
                <c:pt idx="1">
                  <c:v>44396</c:v>
                </c:pt>
                <c:pt idx="2">
                  <c:v>44404</c:v>
                </c:pt>
                <c:pt idx="3">
                  <c:v>44421</c:v>
                </c:pt>
              </c:numCache>
            </c:numRef>
          </c:cat>
          <c:val>
            <c:numRef>
              <c:f>'Graphs 2021'!$Y$34:$Y$37</c:f>
              <c:numCache>
                <c:formatCode>General</c:formatCode>
                <c:ptCount val="4"/>
                <c:pt idx="0">
                  <c:v>2.2132108800000001E-2</c:v>
                </c:pt>
                <c:pt idx="1">
                  <c:v>2.2695664800000001E-2</c:v>
                </c:pt>
                <c:pt idx="2">
                  <c:v>3.1571680000000435E-4</c:v>
                </c:pt>
                <c:pt idx="3">
                  <c:v>1.4682706666666668E-2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4-4460-BB5D-8F2CB61ABF02}"/>
            </c:ext>
          </c:extLst>
        </c:ser>
        <c:ser>
          <c:idx val="1"/>
          <c:order val="1"/>
          <c:tx>
            <c:v>Lower Reach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2021'!$Y$38:$Y$41</c:f>
              <c:numCache>
                <c:formatCode>General</c:formatCode>
                <c:ptCount val="4"/>
                <c:pt idx="0">
                  <c:v>2.7761379999999999E-2</c:v>
                </c:pt>
                <c:pt idx="1">
                  <c:v>2.2695664800000001E-2</c:v>
                </c:pt>
                <c:pt idx="2">
                  <c:v>8.1200000000000022E-4</c:v>
                </c:pt>
                <c:pt idx="3">
                  <c:v>6.5774333333334239E-4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14-4460-BB5D-8F2CB61ABF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1518920"/>
        <c:axId val="791519576"/>
      </c:barChart>
      <c:catAx>
        <c:axId val="791518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19576"/>
        <c:crosses val="autoZero"/>
        <c:auto val="0"/>
        <c:lblAlgn val="ctr"/>
        <c:lblOffset val="100"/>
        <c:noMultiLvlLbl val="0"/>
      </c:catAx>
      <c:valAx>
        <c:axId val="791519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1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03696412948386"/>
          <c:y val="0.2554159375911344"/>
          <c:w val="0.17496303587051618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'Summer 2022'!$T$4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84365704286964"/>
                  <c:y val="-9.03164187809857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2022'!$R$5:$R$16</c:f>
              <c:numCache>
                <c:formatCode>General</c:formatCode>
                <c:ptCount val="12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  <c:pt idx="7">
                  <c:v>6.8000000000000005E-2</c:v>
                </c:pt>
                <c:pt idx="8">
                  <c:v>0.10199999999999999</c:v>
                </c:pt>
                <c:pt idx="9">
                  <c:v>0.13600000000000001</c:v>
                </c:pt>
                <c:pt idx="10">
                  <c:v>0.27200000000000002</c:v>
                </c:pt>
                <c:pt idx="11">
                  <c:v>0.40799999999999997</c:v>
                </c:pt>
              </c:numCache>
            </c:numRef>
          </c:xVal>
          <c:yVal>
            <c:numRef>
              <c:f>'Summer 2022'!$T$5:$T$16</c:f>
              <c:numCache>
                <c:formatCode>General</c:formatCode>
                <c:ptCount val="12"/>
                <c:pt idx="0">
                  <c:v>9.7000000000000003E-2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0.27700000000000002</c:v>
                </c:pt>
                <c:pt idx="4">
                  <c:v>0.371</c:v>
                </c:pt>
                <c:pt idx="5">
                  <c:v>0.46600000000000003</c:v>
                </c:pt>
                <c:pt idx="6">
                  <c:v>0.92400000000000004</c:v>
                </c:pt>
                <c:pt idx="7">
                  <c:v>0.96299999999999997</c:v>
                </c:pt>
                <c:pt idx="8">
                  <c:v>1.1180000000000001</c:v>
                </c:pt>
                <c:pt idx="9">
                  <c:v>1.073</c:v>
                </c:pt>
                <c:pt idx="10">
                  <c:v>1.556</c:v>
                </c:pt>
                <c:pt idx="11">
                  <c:v>1.633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0-46E3-845B-E5A6B1EDD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605208"/>
        <c:axId val="672602912"/>
      </c:scatterChart>
      <c:valAx>
        <c:axId val="67260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02912"/>
        <c:crosses val="autoZero"/>
        <c:crossBetween val="midCat"/>
      </c:valAx>
      <c:valAx>
        <c:axId val="67260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05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389982502187227E-2"/>
                  <c:y val="-2.356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2022'!$R$27:$R$33</c:f>
              <c:numCache>
                <c:formatCode>General</c:formatCode>
                <c:ptCount val="7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</c:numCache>
            </c:numRef>
          </c:xVal>
          <c:yVal>
            <c:numRef>
              <c:f>'Summer 2022'!$S$27:$S$33</c:f>
              <c:numCache>
                <c:formatCode>General</c:formatCode>
                <c:ptCount val="7"/>
                <c:pt idx="0">
                  <c:v>9.2999999999999999E-2</c:v>
                </c:pt>
                <c:pt idx="1">
                  <c:v>0.13700000000000001</c:v>
                </c:pt>
                <c:pt idx="2">
                  <c:v>0.182</c:v>
                </c:pt>
                <c:pt idx="3">
                  <c:v>0.27800000000000002</c:v>
                </c:pt>
                <c:pt idx="4">
                  <c:v>0.36099999999999999</c:v>
                </c:pt>
                <c:pt idx="5">
                  <c:v>0.46800000000000003</c:v>
                </c:pt>
                <c:pt idx="6">
                  <c:v>0.61599999999999999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6-4596-AD4A-46008F387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786416"/>
        <c:axId val="702792648"/>
      </c:scatterChart>
      <c:valAx>
        <c:axId val="70278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92648"/>
        <c:crosses val="autoZero"/>
        <c:crossBetween val="midCat"/>
      </c:valAx>
      <c:valAx>
        <c:axId val="702792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8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1-Upstream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49633414841752"/>
          <c:y val="0.17171296296296298"/>
          <c:w val="0.81483905959257974"/>
          <c:h val="0.6736420968212306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'PP Graphs Summer 2022'!$O$3:$O$16</c:f>
              <c:numCache>
                <c:formatCode>General</c:formatCode>
                <c:ptCount val="14"/>
                <c:pt idx="0">
                  <c:v>9.2749999999999773</c:v>
                </c:pt>
                <c:pt idx="1">
                  <c:v>22.75</c:v>
                </c:pt>
                <c:pt idx="2">
                  <c:v>19.25</c:v>
                </c:pt>
                <c:pt idx="3">
                  <c:v>16.099999999999909</c:v>
                </c:pt>
                <c:pt idx="4">
                  <c:v>13.708999999999946</c:v>
                </c:pt>
                <c:pt idx="5">
                  <c:v>12.774999999999977</c:v>
                </c:pt>
                <c:pt idx="6">
                  <c:v>12.134000000000015</c:v>
                </c:pt>
                <c:pt idx="7">
                  <c:v>11.958999999999946</c:v>
                </c:pt>
                <c:pt idx="8">
                  <c:v>11.958999999999946</c:v>
                </c:pt>
                <c:pt idx="9">
                  <c:v>11.783999999999992</c:v>
                </c:pt>
                <c:pt idx="10">
                  <c:v>11.958999999999946</c:v>
                </c:pt>
                <c:pt idx="11">
                  <c:v>11.666999999999916</c:v>
                </c:pt>
                <c:pt idx="12">
                  <c:v>11.491999999999962</c:v>
                </c:pt>
                <c:pt idx="13">
                  <c:v>11.666999999999916</c:v>
                </c:pt>
              </c:numCache>
            </c:numRef>
          </c:xVal>
          <c:yVal>
            <c:numRef>
              <c:f>'PP Graphs Summer 2022'!$P$3:$P$16</c:f>
              <c:numCache>
                <c:formatCode>General</c:formatCode>
                <c:ptCount val="14"/>
                <c:pt idx="0">
                  <c:v>0.32412415076923073</c:v>
                </c:pt>
                <c:pt idx="1">
                  <c:v>0.72120350933333333</c:v>
                </c:pt>
                <c:pt idx="2">
                  <c:v>0.31671889999999997</c:v>
                </c:pt>
                <c:pt idx="3">
                  <c:v>0.33314329599999998</c:v>
                </c:pt>
                <c:pt idx="4">
                  <c:v>0.20049732571428569</c:v>
                </c:pt>
                <c:pt idx="5">
                  <c:v>0.16926151733333333</c:v>
                </c:pt>
                <c:pt idx="6">
                  <c:v>0.10653170882352941</c:v>
                </c:pt>
                <c:pt idx="7">
                  <c:v>8.3959424000000005E-2</c:v>
                </c:pt>
                <c:pt idx="8">
                  <c:v>8.4539316000000003E-2</c:v>
                </c:pt>
                <c:pt idx="9">
                  <c:v>0.141052544</c:v>
                </c:pt>
                <c:pt idx="10">
                  <c:v>0.10064624307692306</c:v>
                </c:pt>
                <c:pt idx="11">
                  <c:v>8.301085250000001E-2</c:v>
                </c:pt>
                <c:pt idx="12">
                  <c:v>8.3959424000000005E-2</c:v>
                </c:pt>
                <c:pt idx="13">
                  <c:v>7.3889240000000009E-2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80-44D4-87E9-61DEDFF12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10464"/>
        <c:axId val="734605544"/>
      </c:scatterChart>
      <c:valAx>
        <c:axId val="73461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(cm)</a:t>
                </a:r>
              </a:p>
            </c:rich>
          </c:tx>
          <c:layout>
            <c:manualLayout>
              <c:xMode val="edge"/>
              <c:yMode val="edge"/>
              <c:x val="0.35801869300644962"/>
              <c:y val="0.92497666958296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05544"/>
        <c:crosses val="autoZero"/>
        <c:crossBetween val="midCat"/>
      </c:valAx>
      <c:valAx>
        <c:axId val="734605544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</a:t>
                </a:r>
                <a:r>
                  <a:rPr lang="en-US" baseline="0"/>
                  <a:t> (</a:t>
                </a:r>
                <a:r>
                  <a:rPr lang="en-US"/>
                  <a:t>µmols/L)</a:t>
                </a:r>
              </a:p>
            </c:rich>
          </c:tx>
          <c:layout>
            <c:manualLayout>
              <c:xMode val="edge"/>
              <c:yMode val="edge"/>
              <c:x val="9.6969684629643251E-3"/>
              <c:y val="0.37552456984543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1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7734993050766"/>
          <c:y val="0.17171296296296298"/>
          <c:w val="0.80381219526397074"/>
          <c:h val="0.687530985710119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xVal>
            <c:numRef>
              <c:f>'PP Graphs Summer 2022'!$V$3:$V$15</c:f>
              <c:numCache>
                <c:formatCode>General</c:formatCode>
                <c:ptCount val="13"/>
                <c:pt idx="0">
                  <c:v>3.5610000000000355</c:v>
                </c:pt>
                <c:pt idx="1">
                  <c:v>7.52800000000002</c:v>
                </c:pt>
                <c:pt idx="2">
                  <c:v>12.136000000000081</c:v>
                </c:pt>
                <c:pt idx="3">
                  <c:v>21.994000000000028</c:v>
                </c:pt>
                <c:pt idx="4">
                  <c:v>23.27800000000002</c:v>
                </c:pt>
                <c:pt idx="5">
                  <c:v>16.103000000000065</c:v>
                </c:pt>
                <c:pt idx="6">
                  <c:v>13.711000000000013</c:v>
                </c:pt>
                <c:pt idx="7">
                  <c:v>12.48599999999999</c:v>
                </c:pt>
                <c:pt idx="8">
                  <c:v>11.378000000000043</c:v>
                </c:pt>
                <c:pt idx="9">
                  <c:v>10.561000000000035</c:v>
                </c:pt>
                <c:pt idx="10">
                  <c:v>10.853000000000065</c:v>
                </c:pt>
                <c:pt idx="11">
                  <c:v>10.853000000000065</c:v>
                </c:pt>
                <c:pt idx="12">
                  <c:v>10.386000000000081</c:v>
                </c:pt>
              </c:numCache>
            </c:numRef>
          </c:xVal>
          <c:yVal>
            <c:numRef>
              <c:f>'PP Graphs Summer 2022'!$W$3:$W$15</c:f>
              <c:numCache>
                <c:formatCode>General</c:formatCode>
                <c:ptCount val="13"/>
                <c:pt idx="0">
                  <c:v>0.26068769538461534</c:v>
                </c:pt>
                <c:pt idx="1">
                  <c:v>0.75294281600000001</c:v>
                </c:pt>
                <c:pt idx="2">
                  <c:v>0.61999283368421043</c:v>
                </c:pt>
                <c:pt idx="3">
                  <c:v>0.37175619999999998</c:v>
                </c:pt>
                <c:pt idx="4">
                  <c:v>0.31820747692307688</c:v>
                </c:pt>
                <c:pt idx="5">
                  <c:v>0.37747340000000001</c:v>
                </c:pt>
                <c:pt idx="6">
                  <c:v>0.39657697250000001</c:v>
                </c:pt>
                <c:pt idx="7">
                  <c:v>0.28267674153846145</c:v>
                </c:pt>
                <c:pt idx="8">
                  <c:v>0.18537896399999998</c:v>
                </c:pt>
                <c:pt idx="9">
                  <c:v>0.14788307250000002</c:v>
                </c:pt>
                <c:pt idx="10">
                  <c:v>0.13100376631578944</c:v>
                </c:pt>
                <c:pt idx="11">
                  <c:v>0.10899065249999999</c:v>
                </c:pt>
                <c:pt idx="12">
                  <c:v>0.11233687000000001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61-4255-9324-7456A23C8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57344"/>
        <c:axId val="747151768"/>
      </c:scatterChart>
      <c:valAx>
        <c:axId val="74715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(cm)</a:t>
                </a:r>
              </a:p>
            </c:rich>
          </c:tx>
          <c:layout>
            <c:manualLayout>
              <c:xMode val="edge"/>
              <c:yMode val="edge"/>
              <c:x val="0.47636510019880707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51768"/>
        <c:crosses val="autoZero"/>
        <c:crossBetween val="midCat"/>
      </c:valAx>
      <c:valAx>
        <c:axId val="747151768"/>
        <c:scaling>
          <c:orientation val="minMax"/>
          <c:max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layout>
            <c:manualLayout>
              <c:xMode val="edge"/>
              <c:yMode val="edge"/>
              <c:x val="6.4025602174652262E-3"/>
              <c:y val="0.38499234470691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2495636516577"/>
          <c:y val="0.17171296296296298"/>
          <c:w val="0.82397258834342191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13-440B-B1C8-C94D848E35E1}"/>
                </c:ext>
              </c:extLst>
            </c:dLbl>
            <c:dLbl>
              <c:idx val="3"/>
              <c:layout>
                <c:manualLayout>
                  <c:x val="-5.3926519384991404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13-440B-B1C8-C94D848E35E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'PP Graphs Summer 2022'!$I$58:$I$61</c:f>
              <c:numCache>
                <c:formatCode>General</c:formatCode>
                <c:ptCount val="4"/>
                <c:pt idx="0">
                  <c:v>1.0624567579942639</c:v>
                </c:pt>
                <c:pt idx="1">
                  <c:v>2.9504046144412648</c:v>
                </c:pt>
                <c:pt idx="2">
                  <c:v>2.4119111160649758</c:v>
                </c:pt>
                <c:pt idx="3">
                  <c:v>2.0481544713461397</c:v>
                </c:pt>
              </c:numCache>
            </c:numRef>
          </c:xVal>
          <c:yVal>
            <c:numRef>
              <c:f>'PP Graphs Summer 2022'!$K$58:$K$61</c:f>
              <c:numCache>
                <c:formatCode>General</c:formatCode>
                <c:ptCount val="4"/>
                <c:pt idx="0">
                  <c:v>0.47855972571428568</c:v>
                </c:pt>
                <c:pt idx="1">
                  <c:v>0.39552839999999995</c:v>
                </c:pt>
                <c:pt idx="2">
                  <c:v>0.13813607</c:v>
                </c:pt>
                <c:pt idx="3">
                  <c:v>7.9452600000000012E-2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13-440B-B1C8-C94D848E35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73212840"/>
        <c:axId val="873214152"/>
      </c:scatterChart>
      <c:valAx>
        <c:axId val="873212840"/>
        <c:scaling>
          <c:orientation val="minMax"/>
          <c:max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4152"/>
        <c:crosses val="autoZero"/>
        <c:crossBetween val="midCat"/>
        <c:majorUnit val="2"/>
      </c:valAx>
      <c:valAx>
        <c:axId val="873214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56714785651795"/>
          <c:y val="0.17171296296296298"/>
          <c:w val="0.80598840769903757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'PP Graphs Summer 2022'!$I$62:$I$66</c:f>
              <c:numCache>
                <c:formatCode>General</c:formatCode>
                <c:ptCount val="5"/>
                <c:pt idx="0">
                  <c:v>2.5798708531756338</c:v>
                </c:pt>
                <c:pt idx="1">
                  <c:v>4.6330754582608034</c:v>
                </c:pt>
                <c:pt idx="2">
                  <c:v>4.1567339061509294</c:v>
                </c:pt>
                <c:pt idx="3">
                  <c:v>3.1618702067139566</c:v>
                </c:pt>
                <c:pt idx="4">
                  <c:v>2.9743309048210591</c:v>
                </c:pt>
              </c:numCache>
            </c:numRef>
          </c:xVal>
          <c:yVal>
            <c:numRef>
              <c:f>'PP Graphs Summer 2022'!$K$62:$K$66</c:f>
              <c:numCache>
                <c:formatCode>General</c:formatCode>
                <c:ptCount val="5"/>
                <c:pt idx="0">
                  <c:v>9.6374912727272721E-2</c:v>
                </c:pt>
                <c:pt idx="1">
                  <c:v>0.16967160754716981</c:v>
                </c:pt>
                <c:pt idx="2">
                  <c:v>0.29422207</c:v>
                </c:pt>
                <c:pt idx="3">
                  <c:v>0.10715204571428572</c:v>
                </c:pt>
                <c:pt idx="4">
                  <c:v>6.05604525E-2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6-4E69-AE06-4A8C11CD18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73212840"/>
        <c:axId val="873214152"/>
      </c:scatterChart>
      <c:valAx>
        <c:axId val="873212840"/>
        <c:scaling>
          <c:orientation val="minMax"/>
          <c:max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4152"/>
        <c:crosses val="autoZero"/>
        <c:crossBetween val="midCat"/>
        <c:majorUnit val="2"/>
      </c:valAx>
      <c:valAx>
        <c:axId val="873214152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12270341207349"/>
          <c:y val="0.24115740740740746"/>
          <c:w val="0.79332174103237096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'PP Graphs Summer 2022'!$I$67:$I$71</c:f>
              <c:numCache>
                <c:formatCode>General</c:formatCode>
                <c:ptCount val="5"/>
                <c:pt idx="0">
                  <c:v>0.92354460999561794</c:v>
                </c:pt>
                <c:pt idx="1">
                  <c:v>0.8336560798174788</c:v>
                </c:pt>
                <c:pt idx="2">
                  <c:v>0.87742750896381172</c:v>
                </c:pt>
                <c:pt idx="3">
                  <c:v>0.8676976225576909</c:v>
                </c:pt>
                <c:pt idx="4">
                  <c:v>0.93455313839525411</c:v>
                </c:pt>
              </c:numCache>
            </c:numRef>
          </c:xVal>
          <c:yVal>
            <c:numRef>
              <c:f>'PP Graphs Summer 2022'!$K$67:$K$71</c:f>
              <c:numCache>
                <c:formatCode>General</c:formatCode>
                <c:ptCount val="5"/>
                <c:pt idx="0">
                  <c:v>5.888061E-2</c:v>
                </c:pt>
                <c:pt idx="1">
                  <c:v>6.4644769811320765E-2</c:v>
                </c:pt>
                <c:pt idx="2">
                  <c:v>6.5419550943396229E-2</c:v>
                </c:pt>
                <c:pt idx="3">
                  <c:v>6.4970740740740746E-2</c:v>
                </c:pt>
                <c:pt idx="4">
                  <c:v>6.4453235999999997E-2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4F-4FFE-AB09-0C18E2A29E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73212840"/>
        <c:axId val="873214152"/>
      </c:scatterChart>
      <c:valAx>
        <c:axId val="87321284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4152"/>
        <c:crosses val="autoZero"/>
        <c:crossBetween val="midCat"/>
      </c:valAx>
      <c:valAx>
        <c:axId val="873214152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1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Groundwater Well PP- 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7/20/2022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 Graphs Summer 2022'!$M$81:$M$89</c:f>
              <c:strCache>
                <c:ptCount val="9"/>
                <c:pt idx="0">
                  <c:v>GW1</c:v>
                </c:pt>
                <c:pt idx="1">
                  <c:v>GW2</c:v>
                </c:pt>
                <c:pt idx="2">
                  <c:v>GW3</c:v>
                </c:pt>
                <c:pt idx="3">
                  <c:v>GW4</c:v>
                </c:pt>
                <c:pt idx="4">
                  <c:v>GW5</c:v>
                </c:pt>
                <c:pt idx="5">
                  <c:v>GW6</c:v>
                </c:pt>
                <c:pt idx="6">
                  <c:v>GW7</c:v>
                </c:pt>
                <c:pt idx="7">
                  <c:v>GW8</c:v>
                </c:pt>
                <c:pt idx="8">
                  <c:v>GW9</c:v>
                </c:pt>
              </c:strCache>
            </c:strRef>
          </c:cat>
          <c:val>
            <c:numRef>
              <c:f>'PP Graphs Summer 2022'!$N$81:$N$89</c:f>
              <c:numCache>
                <c:formatCode>General</c:formatCode>
                <c:ptCount val="9"/>
                <c:pt idx="0">
                  <c:v>4.3828761257142848</c:v>
                </c:pt>
                <c:pt idx="1">
                  <c:v>3.5655463288888889</c:v>
                </c:pt>
                <c:pt idx="2">
                  <c:v>2.1011482349514568</c:v>
                </c:pt>
                <c:pt idx="3">
                  <c:v>2.668821802105263</c:v>
                </c:pt>
                <c:pt idx="4">
                  <c:v>4.6822435107692302</c:v>
                </c:pt>
                <c:pt idx="5">
                  <c:v>4.9271422145454533</c:v>
                </c:pt>
                <c:pt idx="6">
                  <c:v>2.3425750499999993</c:v>
                </c:pt>
                <c:pt idx="7">
                  <c:v>1.0543789379999999</c:v>
                </c:pt>
                <c:pt idx="8">
                  <c:v>2.9194779779999993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4-4F9C-AC69-E6A905E4B6BF}"/>
            </c:ext>
          </c:extLst>
        </c:ser>
        <c:ser>
          <c:idx val="1"/>
          <c:order val="1"/>
          <c:tx>
            <c:v>8/11/2022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'PP Graphs Summer 2022'!$N$90:$N$98</c:f>
              <c:numCache>
                <c:formatCode>General</c:formatCode>
                <c:ptCount val="9"/>
                <c:pt idx="0">
                  <c:v>8.5374588479999982</c:v>
                </c:pt>
                <c:pt idx="1">
                  <c:v>1.712936</c:v>
                </c:pt>
                <c:pt idx="2">
                  <c:v>2.5077014399999995</c:v>
                </c:pt>
                <c:pt idx="3">
                  <c:v>2.2280088631578949</c:v>
                </c:pt>
                <c:pt idx="4">
                  <c:v>3.4275017999999999</c:v>
                </c:pt>
                <c:pt idx="5">
                  <c:v>1.0282397049999998</c:v>
                </c:pt>
                <c:pt idx="6">
                  <c:v>1.4765238733333332</c:v>
                </c:pt>
                <c:pt idx="7">
                  <c:v>1.1456654914285713</c:v>
                </c:pt>
                <c:pt idx="8">
                  <c:v>7.9891269333333348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4-4F9C-AC69-E6A905E4B6BF}"/>
            </c:ext>
          </c:extLst>
        </c:ser>
        <c:ser>
          <c:idx val="2"/>
          <c:order val="2"/>
          <c:tx>
            <c:v>8/23/2022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'PP Graphs Summer 2022'!$N$99:$N$107</c:f>
              <c:numCache>
                <c:formatCode>General</c:formatCode>
                <c:ptCount val="9"/>
                <c:pt idx="0">
                  <c:v>3.9590124359999992</c:v>
                </c:pt>
                <c:pt idx="1">
                  <c:v>1.6121435279999998</c:v>
                </c:pt>
                <c:pt idx="2">
                  <c:v>2.2637023999999997</c:v>
                </c:pt>
                <c:pt idx="3">
                  <c:v>1.5477521160000001</c:v>
                </c:pt>
                <c:pt idx="4">
                  <c:v>2.5210225730769231</c:v>
                </c:pt>
                <c:pt idx="5">
                  <c:v>1.0107506666666668</c:v>
                </c:pt>
                <c:pt idx="6">
                  <c:v>2.6278531049999998</c:v>
                </c:pt>
                <c:pt idx="7">
                  <c:v>1.5673566240000003</c:v>
                </c:pt>
                <c:pt idx="8">
                  <c:v>8.1260281600000006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04-4F9C-AC69-E6A905E4B6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9985520"/>
        <c:axId val="969982568"/>
      </c:barChart>
      <c:catAx>
        <c:axId val="9699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82568"/>
        <c:crosses val="autoZero"/>
        <c:auto val="1"/>
        <c:lblAlgn val="ctr"/>
        <c:lblOffset val="100"/>
        <c:noMultiLvlLbl val="0"/>
      </c:catAx>
      <c:valAx>
        <c:axId val="969982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8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Flux- Piezometers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Lower Piezometer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Graphs Summer 2022'!$L$119:$L$120</c:f>
              <c:numCache>
                <c:formatCode>m/d/yyyy</c:formatCode>
                <c:ptCount val="2"/>
                <c:pt idx="0">
                  <c:v>44784</c:v>
                </c:pt>
                <c:pt idx="1">
                  <c:v>44796</c:v>
                </c:pt>
              </c:numCache>
            </c:numRef>
          </c:cat>
          <c:val>
            <c:numRef>
              <c:f>'PP Graphs Summer 2022'!$M$119:$M$120</c:f>
              <c:numCache>
                <c:formatCode>General</c:formatCode>
                <c:ptCount val="2"/>
                <c:pt idx="0">
                  <c:v>10.318036693333333</c:v>
                </c:pt>
                <c:pt idx="1">
                  <c:v>1.3289984579999996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0-4DCA-B4A7-1424949937CD}"/>
            </c:ext>
          </c:extLst>
        </c:ser>
        <c:ser>
          <c:idx val="1"/>
          <c:order val="1"/>
          <c:tx>
            <c:v>Upper Piezometer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'PP Graphs Summer 2022'!$H$121:$H$122</c:f>
              <c:numCache>
                <c:formatCode>General</c:formatCode>
                <c:ptCount val="2"/>
                <c:pt idx="0">
                  <c:v>1.52371664</c:v>
                </c:pt>
                <c:pt idx="1">
                  <c:v>0.2250843984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0-4DCA-B4A7-1424949937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9982408"/>
        <c:axId val="869982736"/>
      </c:barChart>
      <c:catAx>
        <c:axId val="869982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82736"/>
        <c:crosses val="autoZero"/>
        <c:auto val="0"/>
        <c:lblAlgn val="ctr"/>
        <c:lblOffset val="100"/>
        <c:noMultiLvlLbl val="0"/>
      </c:catAx>
      <c:valAx>
        <c:axId val="86998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PP (µmoles/L)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8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 PP- 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90048118985127"/>
          <c:y val="0.16708333333333336"/>
          <c:w val="0.8249884076990375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Lower Reach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Graphs Summer 2022'!$L$126:$L$128</c:f>
              <c:numCache>
                <c:formatCode>m/d/yyyy</c:formatCode>
                <c:ptCount val="3"/>
                <c:pt idx="0">
                  <c:v>44754</c:v>
                </c:pt>
                <c:pt idx="1">
                  <c:v>44784</c:v>
                </c:pt>
                <c:pt idx="2">
                  <c:v>44797</c:v>
                </c:pt>
              </c:numCache>
            </c:numRef>
          </c:cat>
          <c:val>
            <c:numRef>
              <c:f>'PP Graphs Summer 2022'!$M$126:$M$128</c:f>
              <c:numCache>
                <c:formatCode>General</c:formatCode>
                <c:ptCount val="3"/>
                <c:pt idx="0">
                  <c:v>2.3865277777777773E-2</c:v>
                </c:pt>
                <c:pt idx="1">
                  <c:v>8.4539316000000003E-2</c:v>
                </c:pt>
                <c:pt idx="2">
                  <c:v>4.0976352000000001E-2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5-407A-970F-B76882B6CB44}"/>
            </c:ext>
          </c:extLst>
        </c:ser>
        <c:ser>
          <c:idx val="1"/>
          <c:order val="1"/>
          <c:tx>
            <c:v>Upper Reach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'PP Graphs Summer 2022'!$M$129:$M$131</c:f>
              <c:numCache>
                <c:formatCode>General</c:formatCode>
                <c:ptCount val="3"/>
                <c:pt idx="0">
                  <c:v>2.1579673191489363E-2</c:v>
                </c:pt>
                <c:pt idx="1">
                  <c:v>7.3487183999999997E-2</c:v>
                </c:pt>
                <c:pt idx="2">
                  <c:v>3.2781081600000005E-2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5-407A-970F-B76882B6C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9407616"/>
        <c:axId val="959415488"/>
      </c:barChart>
      <c:catAx>
        <c:axId val="959407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5488"/>
        <c:crosses val="autoZero"/>
        <c:auto val="0"/>
        <c:lblAlgn val="ctr"/>
        <c:lblOffset val="100"/>
        <c:noMultiLvlLbl val="0"/>
      </c:catAx>
      <c:valAx>
        <c:axId val="959415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 (µmols/L)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2"/>
          <c:y val="0.21837890055409737"/>
          <c:w val="0.1749630358705161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1-Downstream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9513482674133"/>
          <c:y val="0.15621653261385954"/>
          <c:w val="0.7949492239396001"/>
          <c:h val="0.701419874599008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'PP Graphs Summer 2022'!$I$2</c:f>
              <c:strCache>
                <c:ptCount val="1"/>
                <c:pt idx="0">
                  <c:v>umols/L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'PP Graphs Summer 2022'!$H$3:$H$18</c:f>
              <c:numCache>
                <c:formatCode>General</c:formatCode>
                <c:ptCount val="16"/>
                <c:pt idx="0">
                  <c:v>5.7169999999999845</c:v>
                </c:pt>
                <c:pt idx="1">
                  <c:v>5.7169999999999845</c:v>
                </c:pt>
                <c:pt idx="2">
                  <c:v>5.8919999999999391</c:v>
                </c:pt>
                <c:pt idx="3">
                  <c:v>6.0670000000000073</c:v>
                </c:pt>
                <c:pt idx="4">
                  <c:v>8.3999999999999773</c:v>
                </c:pt>
                <c:pt idx="5">
                  <c:v>14.524999999999977</c:v>
                </c:pt>
                <c:pt idx="6">
                  <c:v>16.449999999999932</c:v>
                </c:pt>
                <c:pt idx="7">
                  <c:v>16.099999999999909</c:v>
                </c:pt>
                <c:pt idx="8">
                  <c:v>15.75</c:v>
                </c:pt>
                <c:pt idx="9">
                  <c:v>14.875</c:v>
                </c:pt>
                <c:pt idx="10">
                  <c:v>13.116999999999962</c:v>
                </c:pt>
                <c:pt idx="11">
                  <c:v>12.192000000000007</c:v>
                </c:pt>
                <c:pt idx="12">
                  <c:v>11.666999999999916</c:v>
                </c:pt>
                <c:pt idx="13">
                  <c:v>11.259000000000015</c:v>
                </c:pt>
                <c:pt idx="14">
                  <c:v>10.733999999999924</c:v>
                </c:pt>
                <c:pt idx="15">
                  <c:v>10.384000000000015</c:v>
                </c:pt>
              </c:numCache>
            </c:numRef>
          </c:xVal>
          <c:yVal>
            <c:numRef>
              <c:f>'PP Graphs Summer 2022'!$I$3:$I$18</c:f>
              <c:numCache>
                <c:formatCode>General</c:formatCode>
                <c:ptCount val="16"/>
                <c:pt idx="0">
                  <c:v>0.106968629333333</c:v>
                </c:pt>
                <c:pt idx="1">
                  <c:v>0.13241354571428571</c:v>
                </c:pt>
                <c:pt idx="2">
                  <c:v>0.1083025452631579</c:v>
                </c:pt>
                <c:pt idx="3">
                  <c:v>0.11336993333333335</c:v>
                </c:pt>
                <c:pt idx="4">
                  <c:v>0.68187311538461526</c:v>
                </c:pt>
                <c:pt idx="5">
                  <c:v>0.89478374727272725</c:v>
                </c:pt>
                <c:pt idx="6">
                  <c:v>1.26507488</c:v>
                </c:pt>
                <c:pt idx="7">
                  <c:v>1.1267443124999998</c:v>
                </c:pt>
                <c:pt idx="8">
                  <c:v>1.1099070900000001</c:v>
                </c:pt>
                <c:pt idx="9">
                  <c:v>0.9750184466666667</c:v>
                </c:pt>
                <c:pt idx="10">
                  <c:v>1.0004216000000001</c:v>
                </c:pt>
                <c:pt idx="11">
                  <c:v>0.66115879733333316</c:v>
                </c:pt>
                <c:pt idx="12">
                  <c:v>0.84871622365591393</c:v>
                </c:pt>
                <c:pt idx="13">
                  <c:v>0.81090783333333349</c:v>
                </c:pt>
                <c:pt idx="14">
                  <c:v>0.6870319359999999</c:v>
                </c:pt>
                <c:pt idx="15">
                  <c:v>0.52732565333333326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C-4137-9525-DDDFE36AF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215656"/>
        <c:axId val="630215984"/>
      </c:scatterChart>
      <c:valAx>
        <c:axId val="630215656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(cm)</a:t>
                </a:r>
              </a:p>
            </c:rich>
          </c:tx>
          <c:layout>
            <c:manualLayout>
              <c:xMode val="edge"/>
              <c:yMode val="edge"/>
              <c:x val="0.40147992612034605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15984"/>
        <c:crosses val="autoZero"/>
        <c:crossBetween val="midCat"/>
      </c:valAx>
      <c:valAx>
        <c:axId val="63021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PP (µmols/L)</a:t>
                </a:r>
              </a:p>
            </c:rich>
          </c:tx>
          <c:layout>
            <c:manualLayout>
              <c:xMode val="edge"/>
              <c:yMode val="edge"/>
              <c:x val="6.5843621399176953E-3"/>
              <c:y val="0.37552456984543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15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741688538932633"/>
                  <c:y val="-5.55839895013123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curves new attempt'!$C$3:$C$14</c:f>
              <c:numCache>
                <c:formatCode>General</c:formatCode>
                <c:ptCount val="12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  <c:pt idx="7">
                  <c:v>6.8000000000000005E-2</c:v>
                </c:pt>
                <c:pt idx="8">
                  <c:v>0.10199999999999999</c:v>
                </c:pt>
                <c:pt idx="9">
                  <c:v>0.13600000000000001</c:v>
                </c:pt>
                <c:pt idx="10">
                  <c:v>0.27200000000000002</c:v>
                </c:pt>
                <c:pt idx="11">
                  <c:v>0.40799999999999997</c:v>
                </c:pt>
              </c:numCache>
            </c:numRef>
          </c:xVal>
          <c:yVal>
            <c:numRef>
              <c:f>'std curves new attempt'!$F$3:$F$14</c:f>
              <c:numCache>
                <c:formatCode>General</c:formatCode>
                <c:ptCount val="12"/>
                <c:pt idx="0">
                  <c:v>9.1999999999999998E-2</c:v>
                </c:pt>
                <c:pt idx="1">
                  <c:v>0.14399999999999999</c:v>
                </c:pt>
                <c:pt idx="2">
                  <c:v>0.191</c:v>
                </c:pt>
                <c:pt idx="3">
                  <c:v>0.28100000000000003</c:v>
                </c:pt>
                <c:pt idx="4">
                  <c:v>0.378</c:v>
                </c:pt>
                <c:pt idx="5">
                  <c:v>0.495</c:v>
                </c:pt>
                <c:pt idx="7">
                  <c:v>0.83799999999999997</c:v>
                </c:pt>
                <c:pt idx="8">
                  <c:v>1.1299999999999999</c:v>
                </c:pt>
                <c:pt idx="9">
                  <c:v>1.1879999999999999</c:v>
                </c:pt>
                <c:pt idx="10">
                  <c:v>2.0880000000000001</c:v>
                </c:pt>
                <c:pt idx="11">
                  <c:v>2.258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8-422B-BCF5-B1F5884B8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12904"/>
        <c:axId val="686913232"/>
      </c:scatterChart>
      <c:valAx>
        <c:axId val="68691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13232"/>
        <c:crosses val="autoZero"/>
        <c:crossBetween val="midCat"/>
      </c:valAx>
      <c:valAx>
        <c:axId val="68691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1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587510936132981"/>
                  <c:y val="-4.77194517351997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curves new attempt'!$C$21:$C$32</c:f>
              <c:numCache>
                <c:formatCode>General</c:formatCode>
                <c:ptCount val="12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  <c:pt idx="7">
                  <c:v>6.8000000000000005E-2</c:v>
                </c:pt>
                <c:pt idx="8">
                  <c:v>0.10199999999999999</c:v>
                </c:pt>
                <c:pt idx="9">
                  <c:v>0.13600000000000001</c:v>
                </c:pt>
                <c:pt idx="10">
                  <c:v>0.27200000000000002</c:v>
                </c:pt>
                <c:pt idx="11">
                  <c:v>0.40799999999999997</c:v>
                </c:pt>
              </c:numCache>
            </c:numRef>
          </c:xVal>
          <c:yVal>
            <c:numRef>
              <c:f>'std curves new attempt'!$E$21:$E$32</c:f>
              <c:numCache>
                <c:formatCode>General</c:formatCode>
                <c:ptCount val="12"/>
                <c:pt idx="0">
                  <c:v>9.5000000000000001E-2</c:v>
                </c:pt>
                <c:pt idx="1">
                  <c:v>0.26</c:v>
                </c:pt>
                <c:pt idx="4">
                  <c:v>0.30099999999999999</c:v>
                </c:pt>
                <c:pt idx="5">
                  <c:v>0.373</c:v>
                </c:pt>
                <c:pt idx="7">
                  <c:v>0.68600000000000005</c:v>
                </c:pt>
                <c:pt idx="8">
                  <c:v>0.80500000000000005</c:v>
                </c:pt>
                <c:pt idx="9">
                  <c:v>0.89</c:v>
                </c:pt>
                <c:pt idx="10">
                  <c:v>1.173</c:v>
                </c:pt>
                <c:pt idx="11">
                  <c:v>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4-4832-8158-4B19C888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750848"/>
        <c:axId val="710753800"/>
      </c:scatterChart>
      <c:valAx>
        <c:axId val="7107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53800"/>
        <c:crosses val="autoZero"/>
        <c:crossBetween val="midCat"/>
      </c:valAx>
      <c:valAx>
        <c:axId val="710753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5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1420844269466317"/>
                  <c:y val="-0.158376713327500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curves new attempt'!$T$22:$T$33</c:f>
              <c:numCache>
                <c:formatCode>General</c:formatCode>
                <c:ptCount val="12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  <c:pt idx="7">
                  <c:v>6.8000000000000005E-2</c:v>
                </c:pt>
                <c:pt idx="8">
                  <c:v>0.10199999999999999</c:v>
                </c:pt>
                <c:pt idx="9">
                  <c:v>0.13600000000000001</c:v>
                </c:pt>
                <c:pt idx="10">
                  <c:v>0.27200000000000002</c:v>
                </c:pt>
                <c:pt idx="11">
                  <c:v>0.40799999999999997</c:v>
                </c:pt>
              </c:numCache>
            </c:numRef>
          </c:xVal>
          <c:yVal>
            <c:numRef>
              <c:f>'std curves new attempt'!$V$22:$V$33</c:f>
              <c:numCache>
                <c:formatCode>General</c:formatCode>
                <c:ptCount val="12"/>
                <c:pt idx="0">
                  <c:v>9.5000000000000001E-2</c:v>
                </c:pt>
                <c:pt idx="2">
                  <c:v>0.21199999999999999</c:v>
                </c:pt>
                <c:pt idx="4">
                  <c:v>0.30299999999999999</c:v>
                </c:pt>
                <c:pt idx="5">
                  <c:v>0.375</c:v>
                </c:pt>
                <c:pt idx="7">
                  <c:v>0.68600000000000005</c:v>
                </c:pt>
                <c:pt idx="8">
                  <c:v>0.81499999999999995</c:v>
                </c:pt>
                <c:pt idx="9">
                  <c:v>0.93700000000000006</c:v>
                </c:pt>
                <c:pt idx="11">
                  <c:v>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C-4C94-8551-B009727A2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075168"/>
        <c:axId val="669071232"/>
      </c:scatterChart>
      <c:valAx>
        <c:axId val="6690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71232"/>
        <c:crosses val="autoZero"/>
        <c:crossBetween val="midCat"/>
      </c:valAx>
      <c:valAx>
        <c:axId val="66907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7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equation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741688538932633"/>
                  <c:y val="-5.55839895013123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curves new attempt'!$F$3:$F$14</c:f>
              <c:numCache>
                <c:formatCode>General</c:formatCode>
                <c:ptCount val="12"/>
                <c:pt idx="0">
                  <c:v>9.1999999999999998E-2</c:v>
                </c:pt>
                <c:pt idx="1">
                  <c:v>0.14399999999999999</c:v>
                </c:pt>
                <c:pt idx="2">
                  <c:v>0.191</c:v>
                </c:pt>
                <c:pt idx="3">
                  <c:v>0.28100000000000003</c:v>
                </c:pt>
                <c:pt idx="4">
                  <c:v>0.378</c:v>
                </c:pt>
                <c:pt idx="5">
                  <c:v>0.495</c:v>
                </c:pt>
                <c:pt idx="7">
                  <c:v>0.83799999999999997</c:v>
                </c:pt>
                <c:pt idx="8">
                  <c:v>1.1299999999999999</c:v>
                </c:pt>
                <c:pt idx="9">
                  <c:v>1.1879999999999999</c:v>
                </c:pt>
                <c:pt idx="10">
                  <c:v>2.0880000000000001</c:v>
                </c:pt>
                <c:pt idx="11">
                  <c:v>2.258</c:v>
                </c:pt>
              </c:numCache>
            </c:numRef>
          </c:xVal>
          <c:yVal>
            <c:numRef>
              <c:f>'std curves new attempt'!$C$3:$C$14</c:f>
              <c:numCache>
                <c:formatCode>General</c:formatCode>
                <c:ptCount val="12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  <c:pt idx="7">
                  <c:v>6.8000000000000005E-2</c:v>
                </c:pt>
                <c:pt idx="8">
                  <c:v>0.10199999999999999</c:v>
                </c:pt>
                <c:pt idx="9">
                  <c:v>0.13600000000000001</c:v>
                </c:pt>
                <c:pt idx="10">
                  <c:v>0.27200000000000002</c:v>
                </c:pt>
                <c:pt idx="11">
                  <c:v>0.40799999999999997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8B-4B80-A7FE-C8EF57E96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12904"/>
        <c:axId val="686913232"/>
      </c:scatterChart>
      <c:valAx>
        <c:axId val="68691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13232"/>
        <c:crosses val="autoZero"/>
        <c:crossBetween val="midCat"/>
      </c:valAx>
      <c:valAx>
        <c:axId val="68691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1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equation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754177602799651"/>
                  <c:y val="-1.1006488772236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curves new attempt'!$V$22:$V$33</c:f>
              <c:numCache>
                <c:formatCode>General</c:formatCode>
                <c:ptCount val="12"/>
                <c:pt idx="0">
                  <c:v>9.5000000000000001E-2</c:v>
                </c:pt>
                <c:pt idx="2">
                  <c:v>0.21199999999999999</c:v>
                </c:pt>
                <c:pt idx="4">
                  <c:v>0.30299999999999999</c:v>
                </c:pt>
                <c:pt idx="5">
                  <c:v>0.375</c:v>
                </c:pt>
                <c:pt idx="7">
                  <c:v>0.68600000000000005</c:v>
                </c:pt>
                <c:pt idx="8">
                  <c:v>0.81499999999999995</c:v>
                </c:pt>
                <c:pt idx="9">
                  <c:v>0.93700000000000006</c:v>
                </c:pt>
                <c:pt idx="11">
                  <c:v>1.75</c:v>
                </c:pt>
              </c:numCache>
            </c:numRef>
          </c:xVal>
          <c:yVal>
            <c:numRef>
              <c:f>'std curves new attempt'!$T$22:$T$33</c:f>
              <c:numCache>
                <c:formatCode>General</c:formatCode>
                <c:ptCount val="12"/>
                <c:pt idx="0">
                  <c:v>0</c:v>
                </c:pt>
                <c:pt idx="1">
                  <c:v>3.3999999999999998E-3</c:v>
                </c:pt>
                <c:pt idx="2">
                  <c:v>6.7999999999999996E-3</c:v>
                </c:pt>
                <c:pt idx="3">
                  <c:v>1.3599999999999999E-2</c:v>
                </c:pt>
                <c:pt idx="4">
                  <c:v>2.0400000000000001E-2</c:v>
                </c:pt>
                <c:pt idx="5">
                  <c:v>2.7199999999999998E-2</c:v>
                </c:pt>
                <c:pt idx="6">
                  <c:v>4.759999999999999E-2</c:v>
                </c:pt>
                <c:pt idx="7">
                  <c:v>6.8000000000000005E-2</c:v>
                </c:pt>
                <c:pt idx="8">
                  <c:v>0.10199999999999999</c:v>
                </c:pt>
                <c:pt idx="9">
                  <c:v>0.13600000000000001</c:v>
                </c:pt>
                <c:pt idx="10">
                  <c:v>0.27200000000000002</c:v>
                </c:pt>
                <c:pt idx="11">
                  <c:v>0.40799999999999997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E-4A8D-BAF4-A28156C80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075168"/>
        <c:axId val="669071232"/>
      </c:scatterChart>
      <c:valAx>
        <c:axId val="6690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71232"/>
        <c:crosses val="autoZero"/>
        <c:crossBetween val="midCat"/>
      </c:valAx>
      <c:valAx>
        <c:axId val="66907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7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46</xdr:row>
      <xdr:rowOff>157162</xdr:rowOff>
    </xdr:from>
    <xdr:to>
      <xdr:col>7</xdr:col>
      <xdr:colOff>1304925</xdr:colOff>
      <xdr:row>61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DA587-1045-4351-B693-20CE99B74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566737</xdr:colOff>
      <xdr:row>27</xdr:row>
      <xdr:rowOff>90487</xdr:rowOff>
    </xdr:from>
    <xdr:to>
      <xdr:col>7</xdr:col>
      <xdr:colOff>1023937</xdr:colOff>
      <xdr:row>40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8758F-B2F3-4B27-99C4-909DAC6F1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1104900</xdr:colOff>
      <xdr:row>61</xdr:row>
      <xdr:rowOff>166687</xdr:rowOff>
    </xdr:from>
    <xdr:to>
      <xdr:col>9</xdr:col>
      <xdr:colOff>304800</xdr:colOff>
      <xdr:row>75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D67D01-BE51-4D71-A030-E3A2A86C4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82</xdr:row>
      <xdr:rowOff>0</xdr:rowOff>
    </xdr:from>
    <xdr:to>
      <xdr:col>8</xdr:col>
      <xdr:colOff>485775</xdr:colOff>
      <xdr:row>94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1CEA95-BE50-4B6D-A57F-0AD9ED344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23812</xdr:rowOff>
    </xdr:from>
    <xdr:to>
      <xdr:col>14</xdr:col>
      <xdr:colOff>285750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FE9A2-441C-9700-51DB-7B56BCA0A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76200</xdr:rowOff>
    </xdr:from>
    <xdr:to>
      <xdr:col>22</xdr:col>
      <xdr:colOff>304800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194436-B372-48A6-864E-841D2E7CD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18</xdr:row>
      <xdr:rowOff>166687</xdr:rowOff>
    </xdr:from>
    <xdr:to>
      <xdr:col>16</xdr:col>
      <xdr:colOff>481012</xdr:colOff>
      <xdr:row>33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ED070A-B5A4-1B52-4128-33393C13B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119062</xdr:colOff>
      <xdr:row>35</xdr:row>
      <xdr:rowOff>176212</xdr:rowOff>
    </xdr:from>
    <xdr:to>
      <xdr:col>15</xdr:col>
      <xdr:colOff>423862</xdr:colOff>
      <xdr:row>50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304ABF-E33D-A0A5-3819-7B7E32EC6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204787</xdr:colOff>
      <xdr:row>17</xdr:row>
      <xdr:rowOff>128587</xdr:rowOff>
    </xdr:from>
    <xdr:to>
      <xdr:col>25</xdr:col>
      <xdr:colOff>471487</xdr:colOff>
      <xdr:row>32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D211E1-F7E5-9C2A-B46A-01B0AA628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0.69653</cdr:x>
      <cdr:y>0.14352</cdr:y>
    </cdr:from>
    <cdr:to>
      <cdr:x>0.82153</cdr:x>
      <cdr:y>0.76157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51C4BBFB-501C-4703-9ECC-9A791779ABBD}"/>
            </a:ext>
          </a:extLst>
        </cdr:cNvPr>
        <cdr:cNvSpPr/>
      </cdr:nvSpPr>
      <cdr:spPr>
        <a:xfrm xmlns:a="http://schemas.openxmlformats.org/drawingml/2006/main" rot="21325173">
          <a:off x="3184526" y="393700"/>
          <a:ext cx="571500" cy="1695450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0.68611</cdr:x>
      <cdr:y>0.12269</cdr:y>
    </cdr:from>
    <cdr:to>
      <cdr:x>0.81111</cdr:x>
      <cdr:y>0.79561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B1B7F391-528A-4B77-9D91-4DDB9263EB23}"/>
            </a:ext>
          </a:extLst>
        </cdr:cNvPr>
        <cdr:cNvSpPr/>
      </cdr:nvSpPr>
      <cdr:spPr>
        <a:xfrm xmlns:a="http://schemas.openxmlformats.org/drawingml/2006/main">
          <a:off x="3136900" y="336550"/>
          <a:ext cx="571500" cy="1845956"/>
        </a:xfrm>
        <a:prstGeom xmlns:a="http://schemas.openxmlformats.org/drawingml/2006/main" prst="curvedLef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4</xdr:row>
      <xdr:rowOff>90487</xdr:rowOff>
    </xdr:from>
    <xdr:to>
      <xdr:col>28</xdr:col>
      <xdr:colOff>304800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9E599-EA10-4548-99A4-78D402BA5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52387</xdr:colOff>
      <xdr:row>21</xdr:row>
      <xdr:rowOff>100012</xdr:rowOff>
    </xdr:from>
    <xdr:to>
      <xdr:col>28</xdr:col>
      <xdr:colOff>357187</xdr:colOff>
      <xdr:row>35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8B905-A580-4B0D-9786-665190325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544512</xdr:colOff>
      <xdr:row>18</xdr:row>
      <xdr:rowOff>128587</xdr:rowOff>
    </xdr:from>
    <xdr:to>
      <xdr:col>14</xdr:col>
      <xdr:colOff>454025</xdr:colOff>
      <xdr:row>33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C3885-5F81-4821-8CF9-D7C781E60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392112</xdr:colOff>
      <xdr:row>18</xdr:row>
      <xdr:rowOff>55562</xdr:rowOff>
    </xdr:from>
    <xdr:to>
      <xdr:col>27</xdr:col>
      <xdr:colOff>92075</xdr:colOff>
      <xdr:row>32</xdr:row>
      <xdr:rowOff>131762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92F83D-7D68-48B2-A921-134505D01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39686</xdr:colOff>
      <xdr:row>36</xdr:row>
      <xdr:rowOff>84137</xdr:rowOff>
    </xdr:from>
    <xdr:to>
      <xdr:col>10</xdr:col>
      <xdr:colOff>406400</xdr:colOff>
      <xdr:row>50</xdr:row>
      <xdr:rowOff>160337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75E5DB-F545-B223-DCC2-C1B249EAE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603251</xdr:colOff>
      <xdr:row>36</xdr:row>
      <xdr:rowOff>88900</xdr:rowOff>
    </xdr:from>
    <xdr:to>
      <xdr:col>17</xdr:col>
      <xdr:colOff>342901</xdr:colOff>
      <xdr:row>51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4511D6-D00F-4174-B47B-E41291BB6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323850</xdr:colOff>
      <xdr:row>36</xdr:row>
      <xdr:rowOff>114300</xdr:rowOff>
    </xdr:from>
    <xdr:to>
      <xdr:col>25</xdr:col>
      <xdr:colOff>133350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C809D2-43DB-4E4F-AEE3-EF240279C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442912</xdr:colOff>
      <xdr:row>80</xdr:row>
      <xdr:rowOff>176212</xdr:rowOff>
    </xdr:from>
    <xdr:to>
      <xdr:col>23</xdr:col>
      <xdr:colOff>171450</xdr:colOff>
      <xdr:row>95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BF8023-E7AF-7A76-598A-6770CF1D4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604837</xdr:colOff>
      <xdr:row>107</xdr:row>
      <xdr:rowOff>138112</xdr:rowOff>
    </xdr:from>
    <xdr:to>
      <xdr:col>21</xdr:col>
      <xdr:colOff>414337</xdr:colOff>
      <xdr:row>122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93E673-FD8E-7C6D-A7A0-01A505D88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4762</xdr:colOff>
      <xdr:row>122</xdr:row>
      <xdr:rowOff>166687</xdr:rowOff>
    </xdr:from>
    <xdr:to>
      <xdr:col>21</xdr:col>
      <xdr:colOff>423862</xdr:colOff>
      <xdr:row>137</xdr:row>
      <xdr:rowOff>52387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AC43C6-9C27-E5B6-97B8-8F332537F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193674</xdr:colOff>
      <xdr:row>18</xdr:row>
      <xdr:rowOff>147637</xdr:rowOff>
    </xdr:from>
    <xdr:to>
      <xdr:col>8</xdr:col>
      <xdr:colOff>536575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20D53-AB12-4C74-82B8-AD03FB35A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0.85051</cdr:x>
      <cdr:y>0.55984</cdr:y>
    </cdr:from>
    <cdr:to>
      <cdr:x>0.94344</cdr:x>
      <cdr:y>0.80259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A39FC994-2E7C-4040-8FAB-2A5992BEC8C8}"/>
            </a:ext>
          </a:extLst>
        </cdr:cNvPr>
        <cdr:cNvSpPr/>
      </cdr:nvSpPr>
      <cdr:spPr>
        <a:xfrm xmlns:a="http://schemas.openxmlformats.org/drawingml/2006/main" flipH="1">
          <a:off x="3109490" y="1535758"/>
          <a:ext cx="339751" cy="665916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0.83593</cdr:x>
      <cdr:y>0.58623</cdr:y>
    </cdr:from>
    <cdr:to>
      <cdr:x>0.93517</cdr:x>
      <cdr:y>0.8483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A39FC994-2E7C-4040-8FAB-2A5992BEC8C8}"/>
            </a:ext>
          </a:extLst>
        </cdr:cNvPr>
        <cdr:cNvSpPr/>
      </cdr:nvSpPr>
      <cdr:spPr>
        <a:xfrm xmlns:a="http://schemas.openxmlformats.org/drawingml/2006/main" flipH="1">
          <a:off x="3316287" y="1608137"/>
          <a:ext cx="393684" cy="718919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bg2">
            <a:lumMod val="75000"/>
          </a:schemeClr>
        </a:solidFill>
        <a:ln xmlns:a="http://schemas.openxmlformats.org/drawingml/2006/main">
          <a:solidFill>
            <a:schemeClr val="bg2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0.86927</cdr:x>
      <cdr:y>0.57118</cdr:y>
    </cdr:from>
    <cdr:to>
      <cdr:x>0.93776</cdr:x>
      <cdr:y>0.76562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3B72FEE1-1347-B172-6818-C4A71AD0171C}"/>
            </a:ext>
          </a:extLst>
        </cdr:cNvPr>
        <cdr:cNvSpPr/>
      </cdr:nvSpPr>
      <cdr:spPr>
        <a:xfrm xmlns:a="http://schemas.openxmlformats.org/drawingml/2006/main">
          <a:off x="3884614" y="1566863"/>
          <a:ext cx="306061" cy="533386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0.84139</cdr:x>
      <cdr:y>0.54078</cdr:y>
    </cdr:from>
    <cdr:to>
      <cdr:x>0.91402</cdr:x>
      <cdr:y>0.76706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5DF99EE6-7D0C-E01F-D0E2-EB69FF9A5A82}"/>
            </a:ext>
          </a:extLst>
        </cdr:cNvPr>
        <cdr:cNvSpPr/>
      </cdr:nvSpPr>
      <cdr:spPr>
        <a:xfrm xmlns:a="http://schemas.openxmlformats.org/drawingml/2006/main" rot="10800000" flipH="1">
          <a:off x="4319696" y="1517795"/>
          <a:ext cx="372853" cy="635105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0.72342</cdr:x>
      <cdr:y>0</cdr:y>
    </cdr:from>
    <cdr:to>
      <cdr:x>0.93588</cdr:x>
      <cdr:y>0.70833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FDE4D1B7-6DC5-F693-5CE0-578BDD48E170}"/>
            </a:ext>
          </a:extLst>
        </cdr:cNvPr>
        <cdr:cNvSpPr/>
      </cdr:nvSpPr>
      <cdr:spPr>
        <a:xfrm xmlns:a="http://schemas.openxmlformats.org/drawingml/2006/main" rot="20445054">
          <a:off x="3307469" y="0"/>
          <a:ext cx="971387" cy="1943099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0.80476</cdr:x>
      <cdr:y>0.63271</cdr:y>
    </cdr:from>
    <cdr:to>
      <cdr:x>0.90786</cdr:x>
      <cdr:y>0.83522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3279BB1B-B03E-4363-AC54-6C7CAB22233E}"/>
            </a:ext>
          </a:extLst>
        </cdr:cNvPr>
        <cdr:cNvSpPr/>
      </cdr:nvSpPr>
      <cdr:spPr>
        <a:xfrm xmlns:a="http://schemas.openxmlformats.org/drawingml/2006/main" flipH="1">
          <a:off x="3577174" y="2100263"/>
          <a:ext cx="458252" cy="672227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3</xdr:row>
      <xdr:rowOff>80962</xdr:rowOff>
    </xdr:from>
    <xdr:to>
      <xdr:col>15</xdr:col>
      <xdr:colOff>114300</xdr:colOff>
      <xdr:row>17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549C4-AF7E-48E9-A7B8-D2378AE5D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528637</xdr:colOff>
      <xdr:row>19</xdr:row>
      <xdr:rowOff>61912</xdr:rowOff>
    </xdr:from>
    <xdr:to>
      <xdr:col>14</xdr:col>
      <xdr:colOff>223837</xdr:colOff>
      <xdr:row>33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72A55-F44B-4C2F-B82A-F3825D609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376237</xdr:colOff>
      <xdr:row>18</xdr:row>
      <xdr:rowOff>157162</xdr:rowOff>
    </xdr:from>
    <xdr:to>
      <xdr:col>30</xdr:col>
      <xdr:colOff>71437</xdr:colOff>
      <xdr:row>33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37F1B7-43CB-479D-9B7B-C086C5868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29</xdr:col>
      <xdr:colOff>304800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02F1BD-44E8-45D8-8D9A-1F55B5A40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19</xdr:row>
      <xdr:rowOff>0</xdr:rowOff>
    </xdr:from>
    <xdr:to>
      <xdr:col>38</xdr:col>
      <xdr:colOff>304800</xdr:colOff>
      <xdr:row>33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C5391A-34E4-4760-A991-731153A15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58A1-C968-4BC1-BF9C-2E381D233E92}">
  <sheetPr codeName="Sheet1"/>
  <dimension ref="A1:V68"/>
  <sheetViews>
    <sheetView topLeftCell="A20" workbookViewId="0">
      <pane xSplit="1" topLeftCell="B1" activePane="topRight" state="frozen"/>
      <selection pane="topRight" activeCell="Q21" sqref="Q21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2.28515625" bestFit="1" customWidth="1"/>
    <col min="4" max="4" width="28.28515625" bestFit="1" customWidth="1"/>
    <col min="5" max="5" width="31.28515625" bestFit="1" customWidth="1"/>
    <col min="6" max="6" width="19" bestFit="1" customWidth="1"/>
    <col min="7" max="7" width="19" customWidth="1"/>
    <col min="8" max="8" width="17.85546875" bestFit="1" customWidth="1"/>
    <col min="9" max="9" width="24.140625" customWidth="1"/>
    <col min="10" max="10" width="14.7109375" customWidth="1"/>
    <col min="11" max="11" width="22.5703125" bestFit="1" customWidth="1"/>
    <col min="12" max="12" width="22.5703125" customWidth="1"/>
    <col min="13" max="13" width="27" bestFit="1" customWidth="1"/>
    <col min="14" max="14" width="14" bestFit="1" customWidth="1"/>
    <col min="15" max="15" width="17.140625" customWidth="1"/>
    <col min="16" max="16" width="15.28515625" bestFit="1" customWidth="1"/>
    <col min="17" max="17" width="19.28515625" bestFit="1" customWidth="1"/>
    <col min="18" max="18" width="22.7109375" bestFit="1" customWidth="1"/>
  </cols>
  <sheetData>
    <row r="1" spans="1:19" s="4" customFormat="1" x14ac:dyDescent="0.25">
      <c r="A1" s="5" t="s">
        <v>0</v>
      </c>
      <c r="B1" s="5" t="s">
        <v>2</v>
      </c>
      <c r="C1" s="5" t="s">
        <v>1</v>
      </c>
      <c r="D1" s="5" t="s">
        <v>140</v>
      </c>
      <c r="E1" s="5" t="s">
        <v>62</v>
      </c>
      <c r="F1" s="5" t="s">
        <v>3</v>
      </c>
      <c r="G1" s="5" t="s">
        <v>144</v>
      </c>
      <c r="H1" s="5" t="s">
        <v>60</v>
      </c>
      <c r="I1" s="5" t="s">
        <v>63</v>
      </c>
      <c r="J1" s="5" t="s">
        <v>61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10" t="s">
        <v>69</v>
      </c>
      <c r="Q1" s="5" t="s">
        <v>70</v>
      </c>
      <c r="R1" s="5" t="s">
        <v>71</v>
      </c>
    </row>
    <row r="2" spans="1:19" s="2" customFormat="1" x14ac:dyDescent="0.25">
      <c r="A2" s="6" t="s">
        <v>4</v>
      </c>
      <c r="B2" s="6">
        <v>0.71372000000000002</v>
      </c>
      <c r="C2" s="6">
        <v>0.77702000000000004</v>
      </c>
      <c r="D2" s="6">
        <f>C2-B2</f>
        <v>6.3300000000000023E-2</v>
      </c>
      <c r="E2" s="6">
        <f>AVERAGE(D2:D5)</f>
        <v>6.0397499999999993E-2</v>
      </c>
      <c r="F2" s="6">
        <v>0.71328000000000003</v>
      </c>
      <c r="G2" s="6">
        <f>F2-B2</f>
        <v>-4.3999999999999595E-4</v>
      </c>
      <c r="H2" s="6">
        <f>C2-F2</f>
        <v>6.3740000000000019E-2</v>
      </c>
      <c r="I2" s="6">
        <f>AVERAGE(H2:H5)</f>
        <v>6.0067499999999996E-2</v>
      </c>
      <c r="J2" s="6">
        <f>D2-H2</f>
        <v>-4.3999999999999595E-4</v>
      </c>
      <c r="K2" s="6"/>
      <c r="L2" s="6">
        <f>AVERAGE(J2:J4)</f>
        <v>-2.9000000000001247E-4</v>
      </c>
      <c r="M2" s="6"/>
      <c r="N2" s="6">
        <v>5.4912000000000001</v>
      </c>
      <c r="O2" s="6">
        <v>5.4916099999999997</v>
      </c>
      <c r="P2" s="11">
        <f>O2-N2</f>
        <v>4.0999999999957737E-4</v>
      </c>
      <c r="Q2" s="6">
        <f>P2*20</f>
        <v>8.1999999999915474E-3</v>
      </c>
      <c r="R2" s="6"/>
      <c r="S2" s="15">
        <f>AVERAGE(Q2:Q5)</f>
        <v>9.3999999999994088E-3</v>
      </c>
    </row>
    <row r="3" spans="1:19" s="2" customFormat="1" x14ac:dyDescent="0.25">
      <c r="A3" s="6" t="s">
        <v>5</v>
      </c>
      <c r="B3" s="6">
        <v>0.72397</v>
      </c>
      <c r="C3" s="6">
        <v>0.77785000000000004</v>
      </c>
      <c r="D3" s="6">
        <f t="shared" ref="D3:D56" si="0">C3-B3</f>
        <v>5.3880000000000039E-2</v>
      </c>
      <c r="E3" s="6"/>
      <c r="F3" s="6">
        <v>0.72367999999999999</v>
      </c>
      <c r="G3" s="6">
        <f t="shared" ref="G3:G9" si="1">F3-B3</f>
        <v>-2.9000000000001247E-4</v>
      </c>
      <c r="H3" s="6">
        <f t="shared" ref="H3:H40" si="2">C3-F3</f>
        <v>5.4170000000000051E-2</v>
      </c>
      <c r="I3" s="6"/>
      <c r="J3" s="6">
        <f t="shared" ref="J3:J9" si="3">D3-H3</f>
        <v>-2.9000000000001247E-4</v>
      </c>
      <c r="K3" s="6"/>
      <c r="L3" s="6"/>
      <c r="M3" s="6"/>
      <c r="N3" s="6">
        <v>5.4210399999999996</v>
      </c>
      <c r="O3" s="6">
        <v>5.42164</v>
      </c>
      <c r="P3" s="11">
        <f t="shared" ref="P3:P5" si="4">O3-N3</f>
        <v>6.0000000000037801E-4</v>
      </c>
      <c r="Q3" s="6">
        <f t="shared" ref="Q3:Q56" si="5">P3*20</f>
        <v>1.200000000000756E-2</v>
      </c>
      <c r="R3" s="6"/>
    </row>
    <row r="4" spans="1:19" s="2" customFormat="1" x14ac:dyDescent="0.25">
      <c r="A4" s="6" t="s">
        <v>6</v>
      </c>
      <c r="B4" s="6">
        <v>0.69796000000000002</v>
      </c>
      <c r="C4" s="6">
        <v>0.75749999999999995</v>
      </c>
      <c r="D4" s="6">
        <f t="shared" si="0"/>
        <v>5.9539999999999926E-2</v>
      </c>
      <c r="E4" s="6"/>
      <c r="F4" s="6">
        <v>0.69782</v>
      </c>
      <c r="G4" s="6">
        <f t="shared" si="1"/>
        <v>-1.4000000000002899E-4</v>
      </c>
      <c r="H4" s="6">
        <f t="shared" si="2"/>
        <v>5.9679999999999955E-2</v>
      </c>
      <c r="I4" s="6"/>
      <c r="J4" s="6">
        <f t="shared" si="3"/>
        <v>-1.4000000000002899E-4</v>
      </c>
      <c r="K4" s="6"/>
      <c r="L4" s="6"/>
      <c r="M4" s="6"/>
      <c r="N4" s="6">
        <v>5.4346899999999998</v>
      </c>
      <c r="O4" s="6">
        <v>5.4350199999999997</v>
      </c>
      <c r="P4" s="11">
        <f t="shared" si="4"/>
        <v>3.2999999999994145E-4</v>
      </c>
      <c r="Q4" s="6">
        <f t="shared" si="5"/>
        <v>6.599999999998829E-3</v>
      </c>
      <c r="R4" s="6"/>
    </row>
    <row r="5" spans="1:19" s="2" customFormat="1" x14ac:dyDescent="0.25">
      <c r="A5" s="6" t="s">
        <v>7</v>
      </c>
      <c r="B5" s="6">
        <v>0.72021000000000002</v>
      </c>
      <c r="C5" s="6">
        <v>0.78508</v>
      </c>
      <c r="D5" s="6">
        <f t="shared" si="0"/>
        <v>6.4869999999999983E-2</v>
      </c>
      <c r="E5" s="6"/>
      <c r="F5" s="6">
        <v>0.72240000000000004</v>
      </c>
      <c r="G5" s="6">
        <f t="shared" si="1"/>
        <v>2.1900000000000253E-3</v>
      </c>
      <c r="H5" s="6">
        <f t="shared" si="2"/>
        <v>6.2679999999999958E-2</v>
      </c>
      <c r="I5" s="6"/>
      <c r="J5" s="6">
        <f t="shared" si="3"/>
        <v>2.1900000000000253E-3</v>
      </c>
      <c r="K5" s="6"/>
      <c r="L5" s="6"/>
      <c r="M5" s="6"/>
      <c r="N5" s="6">
        <v>5.4462900000000003</v>
      </c>
      <c r="O5" s="6">
        <v>5.4468300000000003</v>
      </c>
      <c r="P5" s="11">
        <f t="shared" si="4"/>
        <v>5.3999999999998494E-4</v>
      </c>
      <c r="Q5" s="6">
        <f t="shared" si="5"/>
        <v>1.0799999999999699E-2</v>
      </c>
      <c r="R5" s="6"/>
    </row>
    <row r="6" spans="1:19" s="3" customFormat="1" x14ac:dyDescent="0.25">
      <c r="A6" s="7" t="s">
        <v>8</v>
      </c>
      <c r="B6" s="7">
        <v>0.70913000000000004</v>
      </c>
      <c r="C6" s="7">
        <v>0.84338999999999997</v>
      </c>
      <c r="D6" s="7">
        <f t="shared" si="0"/>
        <v>0.13425999999999993</v>
      </c>
      <c r="E6" s="7">
        <f>AVERAGE(D6:D9)</f>
        <v>0.13139500000000001</v>
      </c>
      <c r="F6" s="7">
        <v>0.84075999999999995</v>
      </c>
      <c r="G6" s="7">
        <f t="shared" si="1"/>
        <v>0.13162999999999991</v>
      </c>
      <c r="H6" s="7">
        <f t="shared" si="2"/>
        <v>2.6300000000000212E-3</v>
      </c>
      <c r="I6" s="7">
        <f>AVERAGE(H6:H8)</f>
        <v>2.3466666666666822E-3</v>
      </c>
      <c r="J6" s="7">
        <f>D6-H6</f>
        <v>0.13162999999999991</v>
      </c>
      <c r="K6" s="7"/>
      <c r="L6" s="7">
        <f>AVERAGE(J6:J9)</f>
        <v>0.12664249999999999</v>
      </c>
      <c r="M6" s="7"/>
      <c r="N6" s="7">
        <v>5.5335799999999997</v>
      </c>
      <c r="O6" s="7">
        <v>5.6661299999999999</v>
      </c>
      <c r="P6" s="12">
        <f>O6-N6</f>
        <v>0.13255000000000017</v>
      </c>
      <c r="Q6" s="13">
        <f t="shared" si="5"/>
        <v>2.6510000000000034</v>
      </c>
      <c r="R6" s="7"/>
    </row>
    <row r="7" spans="1:19" s="3" customFormat="1" x14ac:dyDescent="0.25">
      <c r="A7" s="7" t="s">
        <v>9</v>
      </c>
      <c r="B7" s="7">
        <v>0.70272999999999997</v>
      </c>
      <c r="C7" s="7">
        <v>0.83438999999999997</v>
      </c>
      <c r="D7" s="7">
        <f t="shared" si="0"/>
        <v>0.13166</v>
      </c>
      <c r="E7" s="7"/>
      <c r="F7" s="7">
        <v>0.83177999999999996</v>
      </c>
      <c r="G7" s="7">
        <f t="shared" si="1"/>
        <v>0.12905</v>
      </c>
      <c r="H7" s="7">
        <f t="shared" si="2"/>
        <v>2.6100000000000012E-3</v>
      </c>
      <c r="I7" s="7"/>
      <c r="J7" s="7">
        <f>D7-H7</f>
        <v>0.12905</v>
      </c>
      <c r="K7" s="7"/>
      <c r="L7" s="7"/>
      <c r="M7" s="7"/>
      <c r="N7" s="7">
        <v>5.4712399999999999</v>
      </c>
      <c r="O7" s="7">
        <v>5.6013299999999999</v>
      </c>
      <c r="P7" s="12">
        <f t="shared" ref="P7:P9" si="6">O7-N7</f>
        <v>0.13009000000000004</v>
      </c>
      <c r="Q7" s="13">
        <f t="shared" si="5"/>
        <v>2.6018000000000008</v>
      </c>
      <c r="R7" s="7"/>
    </row>
    <row r="8" spans="1:19" s="3" customFormat="1" x14ac:dyDescent="0.25">
      <c r="A8" s="7" t="s">
        <v>10</v>
      </c>
      <c r="B8" s="7">
        <v>0.70531999999999995</v>
      </c>
      <c r="C8" s="7">
        <v>0.83381000000000005</v>
      </c>
      <c r="D8" s="7">
        <f t="shared" si="0"/>
        <v>0.1284900000000001</v>
      </c>
      <c r="E8" s="7"/>
      <c r="F8" s="7">
        <v>0.83201000000000003</v>
      </c>
      <c r="G8" s="7">
        <f t="shared" si="1"/>
        <v>0.12669000000000008</v>
      </c>
      <c r="H8" s="7">
        <f t="shared" si="2"/>
        <v>1.8000000000000238E-3</v>
      </c>
      <c r="I8" s="7"/>
      <c r="J8" s="7">
        <f t="shared" si="3"/>
        <v>0.12669000000000008</v>
      </c>
      <c r="K8" s="7"/>
      <c r="L8" s="7"/>
      <c r="M8" s="7"/>
      <c r="N8" s="7">
        <v>5.4536699999999998</v>
      </c>
      <c r="O8" s="7">
        <v>5.5804499999999999</v>
      </c>
      <c r="P8" s="12">
        <f t="shared" si="6"/>
        <v>0.12678000000000011</v>
      </c>
      <c r="Q8" s="13">
        <f t="shared" si="5"/>
        <v>2.5356000000000023</v>
      </c>
      <c r="R8" s="7"/>
    </row>
    <row r="9" spans="1:19" s="3" customFormat="1" x14ac:dyDescent="0.25">
      <c r="A9" s="7" t="s">
        <v>11</v>
      </c>
      <c r="B9" s="7">
        <v>0.70852000000000004</v>
      </c>
      <c r="C9" s="7">
        <v>0.83969000000000005</v>
      </c>
      <c r="D9" s="7">
        <f t="shared" si="0"/>
        <v>0.13117000000000001</v>
      </c>
      <c r="E9" s="7"/>
      <c r="F9" s="7">
        <v>0.82772000000000001</v>
      </c>
      <c r="G9" s="7">
        <f t="shared" si="1"/>
        <v>0.11919999999999997</v>
      </c>
      <c r="H9" s="7">
        <f t="shared" si="2"/>
        <v>1.1970000000000036E-2</v>
      </c>
      <c r="I9" s="7"/>
      <c r="J9" s="7">
        <f t="shared" si="3"/>
        <v>0.11919999999999997</v>
      </c>
      <c r="K9" s="7"/>
      <c r="L9" s="7"/>
      <c r="M9" s="7"/>
      <c r="N9" s="7">
        <v>5.4708899999999998</v>
      </c>
      <c r="O9" s="7">
        <v>5.6005599999999998</v>
      </c>
      <c r="P9" s="12">
        <f t="shared" si="6"/>
        <v>0.12966999999999995</v>
      </c>
      <c r="Q9" s="13">
        <f t="shared" si="5"/>
        <v>2.593399999999999</v>
      </c>
      <c r="R9" s="7"/>
    </row>
    <row r="10" spans="1:19" s="2" customFormat="1" x14ac:dyDescent="0.25">
      <c r="A10" s="6" t="s">
        <v>12</v>
      </c>
      <c r="B10" s="6">
        <v>0.70426</v>
      </c>
      <c r="C10" s="6">
        <v>0.77914000000000005</v>
      </c>
      <c r="D10" s="6">
        <f t="shared" si="0"/>
        <v>7.4880000000000058E-2</v>
      </c>
      <c r="E10" s="6">
        <f>D10-I$2</f>
        <v>1.4812500000000062E-2</v>
      </c>
      <c r="F10" s="6">
        <v>0.70555000000000001</v>
      </c>
      <c r="G10" s="6"/>
      <c r="H10" s="6">
        <f t="shared" si="2"/>
        <v>7.3590000000000044E-2</v>
      </c>
      <c r="I10" s="6"/>
      <c r="J10" s="6">
        <f>H10-I$2</f>
        <v>1.3522500000000048E-2</v>
      </c>
      <c r="K10" s="6">
        <f>E10-J10</f>
        <v>1.2900000000000134E-3</v>
      </c>
      <c r="L10" s="6"/>
      <c r="M10" s="6">
        <f>K10-L$2</f>
        <v>1.5800000000000258E-3</v>
      </c>
      <c r="N10" s="6">
        <v>5.3980199999999998</v>
      </c>
      <c r="O10" s="6">
        <v>5.3992100000000001</v>
      </c>
      <c r="P10" s="11">
        <f>O10-N10</f>
        <v>1.1900000000002464E-3</v>
      </c>
      <c r="Q10" s="6">
        <f>P10*20</f>
        <v>2.3800000000004928E-2</v>
      </c>
      <c r="R10" s="6"/>
    </row>
    <row r="11" spans="1:19" s="2" customFormat="1" x14ac:dyDescent="0.25">
      <c r="A11" s="6" t="s">
        <v>13</v>
      </c>
      <c r="B11" s="6">
        <v>0.69008999999999998</v>
      </c>
      <c r="C11" s="6">
        <v>0.75199000000000005</v>
      </c>
      <c r="D11" s="6">
        <f t="shared" si="0"/>
        <v>6.1900000000000066E-2</v>
      </c>
      <c r="E11" s="6">
        <f t="shared" ref="E11:E29" si="7">D11-I$2</f>
        <v>1.8325000000000702E-3</v>
      </c>
      <c r="F11" s="6">
        <v>0.68972999999999995</v>
      </c>
      <c r="G11" s="6"/>
      <c r="H11" s="6">
        <f t="shared" si="2"/>
        <v>6.2260000000000093E-2</v>
      </c>
      <c r="I11" s="6"/>
      <c r="J11" s="6">
        <f t="shared" ref="J11:J29" si="8">H11-I$2</f>
        <v>2.1925000000000971E-3</v>
      </c>
      <c r="K11" s="6">
        <f>E11-J11</f>
        <v>-3.6000000000002697E-4</v>
      </c>
      <c r="L11" s="6"/>
      <c r="M11" s="6">
        <f t="shared" ref="M11:M29" si="9">K11-L$2</f>
        <v>-7.0000000000014495E-5</v>
      </c>
      <c r="N11" s="6">
        <v>5.3943899999999996</v>
      </c>
      <c r="O11" s="6">
        <v>5.3946500000000004</v>
      </c>
      <c r="P11" s="11">
        <f>O11-N11</f>
        <v>2.6000000000081513E-4</v>
      </c>
      <c r="Q11" s="6">
        <f t="shared" si="5"/>
        <v>5.2000000000163027E-3</v>
      </c>
      <c r="R11" s="6"/>
    </row>
    <row r="12" spans="1:19" s="2" customFormat="1" x14ac:dyDescent="0.25">
      <c r="A12" s="6" t="s">
        <v>14</v>
      </c>
      <c r="B12" s="6">
        <v>0.70857000000000003</v>
      </c>
      <c r="C12" s="6">
        <v>0.78686</v>
      </c>
      <c r="D12" s="6">
        <f t="shared" si="0"/>
        <v>7.8289999999999971E-2</v>
      </c>
      <c r="E12" s="6">
        <f t="shared" si="7"/>
        <v>1.8222499999999975E-2</v>
      </c>
      <c r="F12" s="6">
        <v>0.70984999999999998</v>
      </c>
      <c r="G12" s="6"/>
      <c r="H12" s="6">
        <f t="shared" si="2"/>
        <v>7.7010000000000023E-2</v>
      </c>
      <c r="I12" s="6"/>
      <c r="J12" s="6">
        <f t="shared" si="8"/>
        <v>1.6942500000000027E-2</v>
      </c>
      <c r="K12" s="6">
        <f t="shared" ref="K12:K29" si="10">E12-J12</f>
        <v>1.2799999999999478E-3</v>
      </c>
      <c r="L12" s="6"/>
      <c r="M12" s="6">
        <f t="shared" si="9"/>
        <v>1.5699999999999603E-3</v>
      </c>
      <c r="N12" s="6">
        <v>5.4087500000000004</v>
      </c>
      <c r="O12" s="6">
        <v>5.4100700000000002</v>
      </c>
      <c r="P12" s="11">
        <f t="shared" ref="P12:P29" si="11">O12-N12</f>
        <v>1.3199999999997658E-3</v>
      </c>
      <c r="Q12" s="6">
        <f t="shared" si="5"/>
        <v>2.6399999999995316E-2</v>
      </c>
      <c r="R12" s="6"/>
    </row>
    <row r="13" spans="1:19" s="2" customFormat="1" x14ac:dyDescent="0.25">
      <c r="A13" s="6" t="s">
        <v>15</v>
      </c>
      <c r="B13" s="6">
        <v>0.69596000000000002</v>
      </c>
      <c r="C13" s="6">
        <v>0.77188000000000001</v>
      </c>
      <c r="D13" s="6">
        <f t="shared" si="0"/>
        <v>7.5919999999999987E-2</v>
      </c>
      <c r="E13" s="6">
        <f t="shared" si="7"/>
        <v>1.5852499999999992E-2</v>
      </c>
      <c r="F13" s="6">
        <v>0.70052999999999999</v>
      </c>
      <c r="G13" s="6"/>
      <c r="H13" s="6">
        <f t="shared" si="2"/>
        <v>7.1350000000000025E-2</v>
      </c>
      <c r="I13" s="6"/>
      <c r="J13" s="6">
        <f t="shared" si="8"/>
        <v>1.1282500000000029E-2</v>
      </c>
      <c r="K13" s="6">
        <f t="shared" si="10"/>
        <v>4.569999999999963E-3</v>
      </c>
      <c r="L13" s="6"/>
      <c r="M13" s="6">
        <f t="shared" si="9"/>
        <v>4.8599999999999755E-3</v>
      </c>
      <c r="N13" s="6">
        <v>5.4323399999999999</v>
      </c>
      <c r="O13" s="6">
        <v>5.4345299999999996</v>
      </c>
      <c r="P13" s="11">
        <f t="shared" si="11"/>
        <v>2.1899999999996922E-3</v>
      </c>
      <c r="Q13" s="6">
        <f t="shared" si="5"/>
        <v>4.3799999999993844E-2</v>
      </c>
      <c r="R13" s="6"/>
    </row>
    <row r="14" spans="1:19" s="2" customFormat="1" x14ac:dyDescent="0.25">
      <c r="A14" s="6" t="s">
        <v>16</v>
      </c>
      <c r="B14" s="6">
        <v>0.69145000000000001</v>
      </c>
      <c r="C14" s="6">
        <v>0.78317000000000003</v>
      </c>
      <c r="D14" s="6">
        <f t="shared" si="0"/>
        <v>9.1720000000000024E-2</v>
      </c>
      <c r="E14" s="6">
        <f t="shared" si="7"/>
        <v>3.1652500000000028E-2</v>
      </c>
      <c r="F14" s="6">
        <v>0.69403999999999999</v>
      </c>
      <c r="G14" s="6"/>
      <c r="H14" s="6">
        <f t="shared" si="2"/>
        <v>8.9130000000000043E-2</v>
      </c>
      <c r="I14" s="6"/>
      <c r="J14" s="6">
        <f t="shared" si="8"/>
        <v>2.9062500000000047E-2</v>
      </c>
      <c r="K14" s="6">
        <f t="shared" si="10"/>
        <v>2.5899999999999812E-3</v>
      </c>
      <c r="L14" s="6"/>
      <c r="M14" s="6">
        <f t="shared" si="9"/>
        <v>2.8799999999999937E-3</v>
      </c>
      <c r="N14" s="6">
        <v>5.5357900000000004</v>
      </c>
      <c r="O14" s="6">
        <v>5.5363800000000003</v>
      </c>
      <c r="P14" s="11">
        <f t="shared" si="11"/>
        <v>5.8999999999986841E-4</v>
      </c>
      <c r="Q14" s="6">
        <f t="shared" si="5"/>
        <v>1.1799999999997368E-2</v>
      </c>
      <c r="R14" s="6"/>
    </row>
    <row r="15" spans="1:19" s="2" customFormat="1" x14ac:dyDescent="0.25">
      <c r="A15" s="6" t="s">
        <v>17</v>
      </c>
      <c r="B15" s="6">
        <v>0.70518999999999998</v>
      </c>
      <c r="C15" s="6">
        <v>0.76787000000000005</v>
      </c>
      <c r="D15" s="6">
        <f t="shared" si="0"/>
        <v>6.2680000000000069E-2</v>
      </c>
      <c r="E15" s="6">
        <f t="shared" si="7"/>
        <v>2.6125000000000731E-3</v>
      </c>
      <c r="F15" s="6">
        <v>0.70508000000000004</v>
      </c>
      <c r="G15" s="6"/>
      <c r="H15" s="6">
        <f t="shared" si="2"/>
        <v>6.2790000000000012E-2</v>
      </c>
      <c r="I15" s="6"/>
      <c r="J15" s="6">
        <f t="shared" si="8"/>
        <v>2.7225000000000166E-3</v>
      </c>
      <c r="K15" s="6">
        <f t="shared" si="10"/>
        <v>-1.0999999999994348E-4</v>
      </c>
      <c r="L15" s="6"/>
      <c r="M15" s="6">
        <f t="shared" si="9"/>
        <v>1.8000000000006899E-4</v>
      </c>
      <c r="N15" s="6">
        <v>5.4463299999999997</v>
      </c>
      <c r="O15" s="6">
        <v>5.4465599999999998</v>
      </c>
      <c r="P15" s="11">
        <f t="shared" si="11"/>
        <v>2.3000000000017451E-4</v>
      </c>
      <c r="Q15" s="6">
        <f t="shared" si="5"/>
        <v>4.6000000000034902E-3</v>
      </c>
      <c r="R15" s="6"/>
    </row>
    <row r="16" spans="1:19" s="2" customFormat="1" x14ac:dyDescent="0.25">
      <c r="A16" s="6" t="s">
        <v>18</v>
      </c>
      <c r="B16" s="6">
        <v>0.70060999999999996</v>
      </c>
      <c r="C16" s="6">
        <v>0.76356000000000002</v>
      </c>
      <c r="D16" s="6">
        <f t="shared" si="0"/>
        <v>6.2950000000000061E-2</v>
      </c>
      <c r="E16" s="6">
        <f t="shared" si="7"/>
        <v>2.8825000000000656E-3</v>
      </c>
      <c r="F16" s="6">
        <v>0.70015000000000005</v>
      </c>
      <c r="G16" s="6"/>
      <c r="H16" s="6">
        <f t="shared" si="2"/>
        <v>6.3409999999999966E-2</v>
      </c>
      <c r="I16" s="6"/>
      <c r="J16" s="6">
        <f t="shared" si="8"/>
        <v>3.3424999999999705E-3</v>
      </c>
      <c r="K16" s="6">
        <f t="shared" si="10"/>
        <v>-4.5999999999990493E-4</v>
      </c>
      <c r="L16" s="6"/>
      <c r="M16" s="6">
        <f t="shared" si="9"/>
        <v>-1.6999999999989246E-4</v>
      </c>
      <c r="N16" s="6">
        <v>5.48447</v>
      </c>
      <c r="O16" s="6">
        <v>5.4848400000000002</v>
      </c>
      <c r="P16" s="11">
        <f t="shared" si="11"/>
        <v>3.700000000002035E-4</v>
      </c>
      <c r="Q16" s="6">
        <f t="shared" si="5"/>
        <v>7.40000000000407E-3</v>
      </c>
      <c r="R16" s="6"/>
    </row>
    <row r="17" spans="1:18" s="2" customFormat="1" x14ac:dyDescent="0.25">
      <c r="A17" s="6" t="s">
        <v>19</v>
      </c>
      <c r="B17" s="6">
        <v>0.70326999999999995</v>
      </c>
      <c r="C17" s="6">
        <v>0.77983999999999998</v>
      </c>
      <c r="D17" s="6">
        <f t="shared" si="0"/>
        <v>7.6570000000000027E-2</v>
      </c>
      <c r="E17" s="6">
        <f t="shared" si="7"/>
        <v>1.6502500000000031E-2</v>
      </c>
      <c r="F17" s="6">
        <v>0.70374000000000003</v>
      </c>
      <c r="G17" s="6"/>
      <c r="H17" s="6">
        <f t="shared" si="2"/>
        <v>7.6099999999999945E-2</v>
      </c>
      <c r="I17" s="6"/>
      <c r="J17" s="6">
        <f t="shared" si="8"/>
        <v>1.603249999999995E-2</v>
      </c>
      <c r="K17" s="6">
        <f t="shared" si="10"/>
        <v>4.7000000000008146E-4</v>
      </c>
      <c r="L17" s="6"/>
      <c r="M17" s="6">
        <f t="shared" si="9"/>
        <v>7.6000000000009393E-4</v>
      </c>
      <c r="N17" s="6">
        <v>5.3822700000000001</v>
      </c>
      <c r="O17" s="6">
        <v>5.3826900000000002</v>
      </c>
      <c r="P17" s="11">
        <f t="shared" si="11"/>
        <v>4.2000000000008697E-4</v>
      </c>
      <c r="Q17" s="6">
        <f t="shared" si="5"/>
        <v>8.4000000000017394E-3</v>
      </c>
      <c r="R17" s="6"/>
    </row>
    <row r="18" spans="1:18" s="2" customFormat="1" x14ac:dyDescent="0.25">
      <c r="A18" s="6" t="s">
        <v>20</v>
      </c>
      <c r="B18" s="6">
        <v>0.70672000000000001</v>
      </c>
      <c r="C18" s="6">
        <v>1.1351599999999999</v>
      </c>
      <c r="D18" s="6">
        <f t="shared" si="0"/>
        <v>0.42843999999999993</v>
      </c>
      <c r="E18" s="6">
        <f t="shared" si="7"/>
        <v>0.36837249999999994</v>
      </c>
      <c r="F18" s="6">
        <v>1.01264</v>
      </c>
      <c r="G18" s="6"/>
      <c r="H18" s="6">
        <f t="shared" si="2"/>
        <v>0.12251999999999996</v>
      </c>
      <c r="I18" s="6"/>
      <c r="J18" s="6">
        <f t="shared" si="8"/>
        <v>6.2452499999999966E-2</v>
      </c>
      <c r="K18" s="6">
        <f t="shared" si="10"/>
        <v>0.30591999999999997</v>
      </c>
      <c r="L18" s="6"/>
      <c r="M18" s="6">
        <f t="shared" si="9"/>
        <v>0.30620999999999998</v>
      </c>
      <c r="N18" s="6">
        <v>5.4600999999999997</v>
      </c>
      <c r="O18" s="6">
        <v>5.7035799999999997</v>
      </c>
      <c r="P18" s="11">
        <f t="shared" si="11"/>
        <v>0.24347999999999992</v>
      </c>
      <c r="Q18" s="6">
        <f t="shared" si="5"/>
        <v>4.8695999999999984</v>
      </c>
      <c r="R18" s="6"/>
    </row>
    <row r="19" spans="1:18" s="2" customFormat="1" x14ac:dyDescent="0.25">
      <c r="A19" s="6" t="s">
        <v>23</v>
      </c>
      <c r="B19" s="6">
        <v>0.71016999999999997</v>
      </c>
      <c r="C19" s="6">
        <v>2.2509000000000001</v>
      </c>
      <c r="D19" s="6">
        <f t="shared" si="0"/>
        <v>1.5407300000000002</v>
      </c>
      <c r="E19" s="6">
        <f t="shared" si="7"/>
        <v>1.4806625000000002</v>
      </c>
      <c r="F19" s="6">
        <v>1.9720200000000001</v>
      </c>
      <c r="G19" s="6"/>
      <c r="H19" s="6">
        <f t="shared" si="2"/>
        <v>0.27888000000000002</v>
      </c>
      <c r="I19" s="6"/>
      <c r="J19" s="6">
        <f t="shared" si="8"/>
        <v>0.21881250000000002</v>
      </c>
      <c r="K19" s="6">
        <f t="shared" si="10"/>
        <v>1.2618500000000001</v>
      </c>
      <c r="L19" s="6"/>
      <c r="M19" s="6">
        <f t="shared" si="9"/>
        <v>1.26214</v>
      </c>
      <c r="N19" s="6">
        <v>5.4303299999999997</v>
      </c>
      <c r="O19" s="6">
        <v>6.6592200000000004</v>
      </c>
      <c r="P19" s="11">
        <f t="shared" si="11"/>
        <v>1.2288900000000007</v>
      </c>
      <c r="Q19" s="6">
        <f t="shared" si="5"/>
        <v>24.577800000000014</v>
      </c>
      <c r="R19" s="6"/>
    </row>
    <row r="20" spans="1:18" s="2" customFormat="1" x14ac:dyDescent="0.25">
      <c r="A20" s="6" t="s">
        <v>21</v>
      </c>
      <c r="B20" s="6">
        <v>0.70748999999999995</v>
      </c>
      <c r="C20" s="6">
        <v>1.1315599999999999</v>
      </c>
      <c r="D20" s="6">
        <f t="shared" si="0"/>
        <v>0.42406999999999995</v>
      </c>
      <c r="E20" s="6">
        <f t="shared" si="7"/>
        <v>0.36400249999999995</v>
      </c>
      <c r="F20" s="6">
        <v>0.96840000000000004</v>
      </c>
      <c r="G20" s="6"/>
      <c r="H20" s="6">
        <f t="shared" si="2"/>
        <v>0.16315999999999986</v>
      </c>
      <c r="I20" s="6"/>
      <c r="J20" s="6">
        <f t="shared" si="8"/>
        <v>0.10309249999999986</v>
      </c>
      <c r="K20" s="6">
        <f t="shared" si="10"/>
        <v>0.26091000000000009</v>
      </c>
      <c r="L20" s="6"/>
      <c r="M20" s="6">
        <f t="shared" si="9"/>
        <v>0.2612000000000001</v>
      </c>
      <c r="N20" s="6">
        <v>5.4668599999999996</v>
      </c>
      <c r="O20" s="6">
        <v>5.7186399999999997</v>
      </c>
      <c r="P20" s="11">
        <f t="shared" si="11"/>
        <v>0.25178000000000011</v>
      </c>
      <c r="Q20" s="6">
        <f t="shared" si="5"/>
        <v>5.0356000000000023</v>
      </c>
      <c r="R20" s="6"/>
    </row>
    <row r="21" spans="1:18" s="2" customFormat="1" x14ac:dyDescent="0.25">
      <c r="A21" s="6" t="s">
        <v>22</v>
      </c>
      <c r="B21" s="6">
        <v>0.69632000000000005</v>
      </c>
      <c r="C21" s="6">
        <v>2.3454199999999998</v>
      </c>
      <c r="D21" s="6">
        <f t="shared" si="0"/>
        <v>1.6490999999999998</v>
      </c>
      <c r="E21" s="6">
        <f t="shared" si="7"/>
        <v>1.5890324999999998</v>
      </c>
      <c r="F21" s="6">
        <v>2.1224099999999999</v>
      </c>
      <c r="G21" s="6"/>
      <c r="H21" s="6">
        <f t="shared" si="2"/>
        <v>0.22300999999999993</v>
      </c>
      <c r="I21" s="6"/>
      <c r="J21" s="6">
        <f t="shared" si="8"/>
        <v>0.16294249999999993</v>
      </c>
      <c r="K21" s="6">
        <f t="shared" si="10"/>
        <v>1.4260899999999999</v>
      </c>
      <c r="L21" s="6"/>
      <c r="M21" s="6">
        <f t="shared" si="9"/>
        <v>1.42638</v>
      </c>
      <c r="N21" s="6">
        <v>5.54209</v>
      </c>
      <c r="O21" s="6">
        <v>6.9299299999999997</v>
      </c>
      <c r="P21" s="11">
        <f t="shared" si="11"/>
        <v>1.3878399999999997</v>
      </c>
      <c r="Q21" s="6">
        <f t="shared" si="5"/>
        <v>27.756799999999995</v>
      </c>
      <c r="R21" s="6"/>
    </row>
    <row r="22" spans="1:18" s="2" customFormat="1" x14ac:dyDescent="0.25">
      <c r="A22" s="6" t="s">
        <v>24</v>
      </c>
      <c r="B22" s="6">
        <v>0.72031999999999996</v>
      </c>
      <c r="C22" s="6">
        <v>0.79615000000000002</v>
      </c>
      <c r="D22" s="6">
        <f t="shared" si="0"/>
        <v>7.5830000000000064E-2</v>
      </c>
      <c r="E22" s="6">
        <f t="shared" si="7"/>
        <v>1.5762500000000068E-2</v>
      </c>
      <c r="F22" s="6">
        <v>0.72167000000000003</v>
      </c>
      <c r="G22" s="6"/>
      <c r="H22" s="6">
        <f t="shared" si="2"/>
        <v>7.4479999999999991E-2</v>
      </c>
      <c r="I22" s="6"/>
      <c r="J22" s="6">
        <f t="shared" si="8"/>
        <v>1.4412499999999995E-2</v>
      </c>
      <c r="K22" s="6">
        <f t="shared" si="10"/>
        <v>1.3500000000000734E-3</v>
      </c>
      <c r="L22" s="6"/>
      <c r="M22" s="6">
        <f t="shared" si="9"/>
        <v>1.6400000000000858E-3</v>
      </c>
      <c r="N22" s="6">
        <v>5.4288400000000001</v>
      </c>
      <c r="O22" s="6">
        <v>5.4301300000000001</v>
      </c>
      <c r="P22" s="11">
        <f t="shared" si="11"/>
        <v>1.2900000000000134E-3</v>
      </c>
      <c r="Q22" s="6">
        <f t="shared" si="5"/>
        <v>2.5800000000000267E-2</v>
      </c>
      <c r="R22" s="6"/>
    </row>
    <row r="23" spans="1:18" s="2" customFormat="1" x14ac:dyDescent="0.25">
      <c r="A23" s="6" t="s">
        <v>25</v>
      </c>
      <c r="B23" s="6">
        <v>0.71204999999999996</v>
      </c>
      <c r="C23" s="6">
        <v>0.79098999999999997</v>
      </c>
      <c r="D23" s="6">
        <f t="shared" si="0"/>
        <v>7.894000000000001E-2</v>
      </c>
      <c r="E23" s="6">
        <f t="shared" si="7"/>
        <v>1.8872500000000014E-2</v>
      </c>
      <c r="F23" s="6">
        <v>0.71233000000000002</v>
      </c>
      <c r="G23" s="6"/>
      <c r="H23" s="6">
        <f t="shared" si="2"/>
        <v>7.8659999999999952E-2</v>
      </c>
      <c r="I23" s="6"/>
      <c r="J23" s="6">
        <f t="shared" si="8"/>
        <v>1.8592499999999956E-2</v>
      </c>
      <c r="K23" s="6">
        <f t="shared" si="10"/>
        <v>2.8000000000005798E-4</v>
      </c>
      <c r="L23" s="6"/>
      <c r="M23" s="6">
        <f t="shared" si="9"/>
        <v>5.7000000000007045E-4</v>
      </c>
      <c r="N23" s="6">
        <v>5.4574100000000003</v>
      </c>
      <c r="O23" s="6">
        <v>5.4582499999999996</v>
      </c>
      <c r="P23" s="11">
        <f t="shared" si="11"/>
        <v>8.3999999999928576E-4</v>
      </c>
      <c r="Q23" s="6">
        <f t="shared" si="5"/>
        <v>1.6799999999985715E-2</v>
      </c>
      <c r="R23" s="6"/>
    </row>
    <row r="24" spans="1:18" s="2" customFormat="1" x14ac:dyDescent="0.25">
      <c r="A24" s="6" t="s">
        <v>26</v>
      </c>
      <c r="B24" s="6">
        <v>0.70538999999999996</v>
      </c>
      <c r="C24" s="6">
        <v>0.7742</v>
      </c>
      <c r="D24" s="6">
        <f t="shared" si="0"/>
        <v>6.8810000000000038E-2</v>
      </c>
      <c r="E24" s="6">
        <f t="shared" si="7"/>
        <v>8.7425000000000419E-3</v>
      </c>
      <c r="F24" s="6">
        <v>0.70509999999999995</v>
      </c>
      <c r="G24" s="6"/>
      <c r="H24" s="6">
        <f t="shared" si="2"/>
        <v>6.910000000000005E-2</v>
      </c>
      <c r="I24" s="6"/>
      <c r="J24" s="6">
        <f t="shared" si="8"/>
        <v>9.0325000000000544E-3</v>
      </c>
      <c r="K24" s="6">
        <f t="shared" si="10"/>
        <v>-2.9000000000001247E-4</v>
      </c>
      <c r="L24" s="6"/>
      <c r="M24" s="6">
        <f t="shared" si="9"/>
        <v>0</v>
      </c>
      <c r="N24" s="6">
        <v>5.4683200000000003</v>
      </c>
      <c r="O24" s="6">
        <v>5.4687700000000001</v>
      </c>
      <c r="P24" s="11">
        <f t="shared" si="11"/>
        <v>4.4999999999983942E-4</v>
      </c>
      <c r="Q24" s="6">
        <f t="shared" si="5"/>
        <v>8.9999999999967883E-3</v>
      </c>
      <c r="R24" s="6"/>
    </row>
    <row r="25" spans="1:18" s="2" customFormat="1" x14ac:dyDescent="0.25">
      <c r="A25" s="6" t="s">
        <v>27</v>
      </c>
      <c r="B25" s="6">
        <v>0.71331999999999995</v>
      </c>
      <c r="C25" s="6">
        <v>0.78390000000000004</v>
      </c>
      <c r="D25" s="6">
        <f t="shared" si="0"/>
        <v>7.0580000000000087E-2</v>
      </c>
      <c r="E25" s="6">
        <f t="shared" si="7"/>
        <v>1.0512500000000091E-2</v>
      </c>
      <c r="F25" s="6">
        <v>0.71657999999999999</v>
      </c>
      <c r="G25" s="6"/>
      <c r="H25" s="6">
        <f t="shared" si="2"/>
        <v>6.7320000000000046E-2</v>
      </c>
      <c r="I25" s="6"/>
      <c r="J25" s="6">
        <f t="shared" si="8"/>
        <v>7.2525000000000506E-3</v>
      </c>
      <c r="K25" s="6">
        <f t="shared" si="10"/>
        <v>3.2600000000000406E-3</v>
      </c>
      <c r="L25" s="6"/>
      <c r="M25" s="6">
        <f t="shared" si="9"/>
        <v>3.5500000000000531E-3</v>
      </c>
      <c r="N25" s="6">
        <v>5.4470400000000003</v>
      </c>
      <c r="O25" s="6">
        <v>5.4475199999999999</v>
      </c>
      <c r="P25" s="11">
        <f t="shared" si="11"/>
        <v>4.7999999999959186E-4</v>
      </c>
      <c r="Q25" s="6">
        <f t="shared" si="5"/>
        <v>9.5999999999918373E-3</v>
      </c>
      <c r="R25" s="6"/>
    </row>
    <row r="26" spans="1:18" s="2" customFormat="1" x14ac:dyDescent="0.25">
      <c r="A26" s="6" t="s">
        <v>28</v>
      </c>
      <c r="B26" s="6">
        <v>0.71799999999999997</v>
      </c>
      <c r="C26" s="6">
        <v>0.78295000000000003</v>
      </c>
      <c r="D26" s="6">
        <f t="shared" si="0"/>
        <v>6.4950000000000063E-2</v>
      </c>
      <c r="E26" s="6">
        <f t="shared" si="7"/>
        <v>4.8825000000000673E-3</v>
      </c>
      <c r="F26" s="6">
        <v>0.71847000000000005</v>
      </c>
      <c r="G26" s="6"/>
      <c r="H26" s="6">
        <f t="shared" si="2"/>
        <v>6.4479999999999982E-2</v>
      </c>
      <c r="I26" s="6"/>
      <c r="J26" s="6">
        <f t="shared" si="8"/>
        <v>4.4124999999999859E-3</v>
      </c>
      <c r="K26" s="6">
        <f t="shared" si="10"/>
        <v>4.7000000000008146E-4</v>
      </c>
      <c r="L26" s="6"/>
      <c r="M26" s="6">
        <f t="shared" si="9"/>
        <v>7.6000000000009393E-4</v>
      </c>
      <c r="N26" s="6">
        <v>5.4569599999999996</v>
      </c>
      <c r="O26" s="6">
        <v>5.4582199999999998</v>
      </c>
      <c r="P26" s="11">
        <f t="shared" si="11"/>
        <v>1.2600000000002609E-3</v>
      </c>
      <c r="Q26" s="6">
        <f t="shared" si="5"/>
        <v>2.5200000000005218E-2</v>
      </c>
      <c r="R26" s="6"/>
    </row>
    <row r="27" spans="1:18" s="2" customFormat="1" x14ac:dyDescent="0.25">
      <c r="A27" s="6" t="s">
        <v>29</v>
      </c>
      <c r="B27" s="6">
        <v>0.74416000000000004</v>
      </c>
      <c r="C27" s="6">
        <v>0.82121</v>
      </c>
      <c r="D27" s="6">
        <f t="shared" si="0"/>
        <v>7.7049999999999952E-2</v>
      </c>
      <c r="E27" s="6">
        <f t="shared" si="7"/>
        <v>1.6982499999999956E-2</v>
      </c>
      <c r="F27" s="6">
        <v>0.74475000000000002</v>
      </c>
      <c r="G27" s="6"/>
      <c r="H27" s="6">
        <f t="shared" si="2"/>
        <v>7.6459999999999972E-2</v>
      </c>
      <c r="I27" s="6"/>
      <c r="J27" s="6">
        <f t="shared" si="8"/>
        <v>1.6392499999999977E-2</v>
      </c>
      <c r="K27" s="6">
        <f t="shared" si="10"/>
        <v>5.8999999999997943E-4</v>
      </c>
      <c r="L27" s="6"/>
      <c r="M27" s="6">
        <f t="shared" si="9"/>
        <v>8.799999999999919E-4</v>
      </c>
      <c r="N27" s="6">
        <v>5.4485400000000004</v>
      </c>
      <c r="O27" s="6">
        <v>5.4491100000000001</v>
      </c>
      <c r="P27" s="11">
        <f t="shared" si="11"/>
        <v>5.6999999999973738E-4</v>
      </c>
      <c r="Q27" s="6">
        <f t="shared" si="5"/>
        <v>1.1399999999994748E-2</v>
      </c>
      <c r="R27" s="6"/>
    </row>
    <row r="28" spans="1:18" s="2" customFormat="1" x14ac:dyDescent="0.25">
      <c r="A28" s="6" t="s">
        <v>30</v>
      </c>
      <c r="B28" s="6">
        <v>0.70782999999999996</v>
      </c>
      <c r="C28" s="6">
        <v>0.77581</v>
      </c>
      <c r="D28" s="6">
        <f t="shared" si="0"/>
        <v>6.798000000000004E-2</v>
      </c>
      <c r="E28" s="6">
        <f t="shared" si="7"/>
        <v>7.9125000000000445E-3</v>
      </c>
      <c r="F28" s="6">
        <v>0.70750000000000002</v>
      </c>
      <c r="G28" s="6"/>
      <c r="H28" s="6">
        <f t="shared" si="2"/>
        <v>6.8309999999999982E-2</v>
      </c>
      <c r="I28" s="6"/>
      <c r="J28" s="6">
        <f t="shared" si="8"/>
        <v>8.2424999999999859E-3</v>
      </c>
      <c r="K28" s="6">
        <f t="shared" si="10"/>
        <v>-3.2999999999994145E-4</v>
      </c>
      <c r="L28" s="6"/>
      <c r="M28" s="6">
        <f t="shared" si="9"/>
        <v>-3.9999999999928981E-5</v>
      </c>
      <c r="N28" s="6">
        <v>5.4370799999999999</v>
      </c>
      <c r="O28" s="6">
        <v>5.4371400000000003</v>
      </c>
      <c r="P28" s="11">
        <f t="shared" si="11"/>
        <v>6.0000000000393072E-5</v>
      </c>
      <c r="Q28" s="6">
        <f t="shared" si="5"/>
        <v>1.2000000000078614E-3</v>
      </c>
      <c r="R28" s="6"/>
    </row>
    <row r="29" spans="1:18" s="2" customFormat="1" x14ac:dyDescent="0.25">
      <c r="A29" s="6" t="s">
        <v>31</v>
      </c>
      <c r="B29" s="6">
        <v>0.69952999999999999</v>
      </c>
      <c r="C29" s="6">
        <v>0.77066999999999997</v>
      </c>
      <c r="D29" s="6">
        <f t="shared" si="0"/>
        <v>7.1139999999999981E-2</v>
      </c>
      <c r="E29" s="6">
        <f t="shared" si="7"/>
        <v>1.1072499999999985E-2</v>
      </c>
      <c r="F29" s="6">
        <v>0.70182999999999995</v>
      </c>
      <c r="G29" s="6"/>
      <c r="H29" s="6">
        <f t="shared" si="2"/>
        <v>6.8840000000000012E-2</v>
      </c>
      <c r="I29" s="6"/>
      <c r="J29" s="6">
        <f t="shared" si="8"/>
        <v>8.7725000000000164E-3</v>
      </c>
      <c r="K29" s="6">
        <f t="shared" si="10"/>
        <v>2.2999999999999687E-3</v>
      </c>
      <c r="L29" s="6"/>
      <c r="M29" s="6">
        <f t="shared" si="9"/>
        <v>2.5899999999999812E-3</v>
      </c>
      <c r="N29" s="6">
        <v>5.5442200000000001</v>
      </c>
      <c r="O29" s="6">
        <v>5.54596</v>
      </c>
      <c r="P29" s="11">
        <f t="shared" si="11"/>
        <v>1.7399999999998528E-3</v>
      </c>
      <c r="Q29" s="6">
        <f t="shared" si="5"/>
        <v>3.4799999999997056E-2</v>
      </c>
      <c r="R29" s="6"/>
    </row>
    <row r="30" spans="1:18" s="3" customFormat="1" x14ac:dyDescent="0.25">
      <c r="A30" s="8" t="s">
        <v>32</v>
      </c>
      <c r="B30" s="7">
        <v>0.69603000000000004</v>
      </c>
      <c r="C30" s="7">
        <v>0.84953000000000001</v>
      </c>
      <c r="D30" s="7">
        <f t="shared" si="0"/>
        <v>0.15349999999999997</v>
      </c>
      <c r="E30" s="7">
        <f>D30-I$6</f>
        <v>0.15115333333333328</v>
      </c>
      <c r="F30" s="7">
        <v>0.84265000000000001</v>
      </c>
      <c r="G30" s="7"/>
      <c r="H30" s="7">
        <f t="shared" si="2"/>
        <v>6.8799999999999972E-3</v>
      </c>
      <c r="I30" s="7"/>
      <c r="J30" s="7">
        <f>H30-I$6</f>
        <v>4.5333333333333146E-3</v>
      </c>
      <c r="K30" s="7">
        <f>E30-J30</f>
        <v>0.14661999999999997</v>
      </c>
      <c r="L30" s="7"/>
      <c r="M30" s="7">
        <f>K30-L$6</f>
        <v>1.9977499999999981E-2</v>
      </c>
      <c r="N30" s="7">
        <v>5.4278000000000004</v>
      </c>
      <c r="O30" s="7">
        <v>5.5750999999999999</v>
      </c>
      <c r="P30" s="12">
        <f>O30-N30</f>
        <v>0.14729999999999954</v>
      </c>
      <c r="Q30" s="13">
        <f t="shared" si="5"/>
        <v>2.9459999999999908</v>
      </c>
      <c r="R30" s="7"/>
    </row>
    <row r="31" spans="1:18" s="3" customFormat="1" x14ac:dyDescent="0.25">
      <c r="A31" s="8" t="s">
        <v>33</v>
      </c>
      <c r="B31" s="7">
        <v>0.72333000000000003</v>
      </c>
      <c r="C31" s="7">
        <v>0.86938000000000004</v>
      </c>
      <c r="D31" s="7">
        <f t="shared" si="0"/>
        <v>0.14605000000000001</v>
      </c>
      <c r="E31" s="7">
        <f t="shared" ref="E31:E56" si="12">D31-I$6</f>
        <v>0.14370333333333332</v>
      </c>
      <c r="F31" s="7">
        <v>0.86358000000000001</v>
      </c>
      <c r="G31" s="7"/>
      <c r="H31" s="7">
        <f t="shared" si="2"/>
        <v>5.8000000000000274E-3</v>
      </c>
      <c r="I31" s="7"/>
      <c r="J31" s="7">
        <f t="shared" ref="J31:J56" si="13">H31-I$6</f>
        <v>3.4533333333333451E-3</v>
      </c>
      <c r="K31" s="7">
        <f t="shared" ref="K31:K56" si="14">E31-J31</f>
        <v>0.14024999999999999</v>
      </c>
      <c r="L31" s="7"/>
      <c r="M31" s="7">
        <f t="shared" ref="M31:M56" si="15">K31-L$6</f>
        <v>1.3607499999999995E-2</v>
      </c>
      <c r="N31" s="7">
        <v>5.4294200000000004</v>
      </c>
      <c r="O31" s="7">
        <v>5.5702199999999999</v>
      </c>
      <c r="P31" s="12">
        <f t="shared" ref="P31:P41" si="16">O31-N31</f>
        <v>0.14079999999999959</v>
      </c>
      <c r="Q31" s="13">
        <f t="shared" si="5"/>
        <v>2.8159999999999918</v>
      </c>
      <c r="R31" s="7"/>
    </row>
    <row r="32" spans="1:18" s="3" customFormat="1" x14ac:dyDescent="0.25">
      <c r="A32" s="8" t="s">
        <v>34</v>
      </c>
      <c r="B32" s="7">
        <v>0.72474000000000005</v>
      </c>
      <c r="C32" s="7">
        <v>0.86839999999999995</v>
      </c>
      <c r="D32" s="7">
        <f t="shared" si="0"/>
        <v>0.1436599999999999</v>
      </c>
      <c r="E32" s="7">
        <f t="shared" si="12"/>
        <v>0.14131333333333321</v>
      </c>
      <c r="F32" s="7">
        <v>0.86314999999999997</v>
      </c>
      <c r="G32" s="7"/>
      <c r="H32" s="7">
        <f t="shared" si="2"/>
        <v>5.2499999999999769E-3</v>
      </c>
      <c r="I32" s="7"/>
      <c r="J32" s="7">
        <f t="shared" si="13"/>
        <v>2.9033333333332947E-3</v>
      </c>
      <c r="K32" s="7">
        <f t="shared" si="14"/>
        <v>0.13840999999999992</v>
      </c>
      <c r="L32" s="7"/>
      <c r="M32" s="7">
        <f t="shared" si="15"/>
        <v>1.1767499999999931E-2</v>
      </c>
      <c r="N32" s="7">
        <v>5.50284</v>
      </c>
      <c r="O32" s="7">
        <v>5.6414</v>
      </c>
      <c r="P32" s="12">
        <f t="shared" si="16"/>
        <v>0.13856000000000002</v>
      </c>
      <c r="Q32" s="13">
        <f t="shared" si="5"/>
        <v>2.7712000000000003</v>
      </c>
      <c r="R32" s="7"/>
    </row>
    <row r="33" spans="1:18" s="3" customFormat="1" x14ac:dyDescent="0.25">
      <c r="A33" s="8" t="s">
        <v>35</v>
      </c>
      <c r="B33" s="7">
        <v>0.72323000000000004</v>
      </c>
      <c r="C33" s="7">
        <v>0.86016999999999999</v>
      </c>
      <c r="D33" s="7">
        <f t="shared" si="0"/>
        <v>0.13693999999999995</v>
      </c>
      <c r="E33" s="7">
        <f t="shared" si="12"/>
        <v>0.13459333333333326</v>
      </c>
      <c r="F33" s="7">
        <v>0.85543999999999998</v>
      </c>
      <c r="G33" s="7"/>
      <c r="H33" s="7">
        <f t="shared" si="2"/>
        <v>4.730000000000012E-3</v>
      </c>
      <c r="I33" s="7"/>
      <c r="J33" s="7">
        <f t="shared" si="13"/>
        <v>2.3833333333333298E-3</v>
      </c>
      <c r="K33" s="7">
        <f t="shared" si="14"/>
        <v>0.13220999999999994</v>
      </c>
      <c r="L33" s="7"/>
      <c r="M33" s="7">
        <f t="shared" si="15"/>
        <v>5.5674999999999475E-3</v>
      </c>
      <c r="N33" s="7">
        <v>5.4521499999999996</v>
      </c>
      <c r="O33" s="7">
        <v>5.5846299999999998</v>
      </c>
      <c r="P33" s="12">
        <f t="shared" si="16"/>
        <v>0.13248000000000015</v>
      </c>
      <c r="Q33" s="13">
        <f t="shared" si="5"/>
        <v>2.6496000000000031</v>
      </c>
      <c r="R33" s="7"/>
    </row>
    <row r="34" spans="1:18" s="3" customFormat="1" x14ac:dyDescent="0.25">
      <c r="A34" s="8" t="s">
        <v>36</v>
      </c>
      <c r="B34" s="7">
        <v>0.71631</v>
      </c>
      <c r="C34" s="7">
        <v>0.85614999999999997</v>
      </c>
      <c r="D34" s="7">
        <f t="shared" si="0"/>
        <v>0.13983999999999996</v>
      </c>
      <c r="E34" s="7">
        <f t="shared" si="12"/>
        <v>0.13749333333333327</v>
      </c>
      <c r="F34" s="7">
        <v>0.85199000000000003</v>
      </c>
      <c r="G34" s="7"/>
      <c r="H34" s="7">
        <f t="shared" si="2"/>
        <v>4.1599999999999415E-3</v>
      </c>
      <c r="I34" s="7"/>
      <c r="J34" s="7">
        <f t="shared" si="13"/>
        <v>1.8133333333332593E-3</v>
      </c>
      <c r="K34" s="7">
        <f t="shared" si="14"/>
        <v>0.13568000000000002</v>
      </c>
      <c r="L34" s="7"/>
      <c r="M34" s="7">
        <f t="shared" si="15"/>
        <v>9.0375000000000316E-3</v>
      </c>
      <c r="N34" s="7">
        <v>5.4708899999999998</v>
      </c>
      <c r="O34" s="7">
        <v>5.6069800000000001</v>
      </c>
      <c r="P34" s="12">
        <f t="shared" si="16"/>
        <v>0.13609000000000027</v>
      </c>
      <c r="Q34" s="13">
        <f t="shared" si="5"/>
        <v>2.7218000000000053</v>
      </c>
      <c r="R34" s="7"/>
    </row>
    <row r="35" spans="1:18" s="3" customFormat="1" x14ac:dyDescent="0.25">
      <c r="A35" s="8" t="s">
        <v>37</v>
      </c>
      <c r="B35" s="7">
        <v>0.70169000000000004</v>
      </c>
      <c r="C35" s="7">
        <v>0.88336000000000003</v>
      </c>
      <c r="D35" s="7">
        <f t="shared" si="0"/>
        <v>0.18167</v>
      </c>
      <c r="E35" s="7">
        <f t="shared" si="12"/>
        <v>0.17932333333333331</v>
      </c>
      <c r="F35" s="7">
        <v>0.86319000000000001</v>
      </c>
      <c r="G35" s="7"/>
      <c r="H35" s="7">
        <f t="shared" si="2"/>
        <v>2.0170000000000021E-2</v>
      </c>
      <c r="I35" s="7"/>
      <c r="J35" s="7">
        <f t="shared" si="13"/>
        <v>1.782333333333334E-2</v>
      </c>
      <c r="K35" s="7">
        <f t="shared" si="14"/>
        <v>0.16149999999999998</v>
      </c>
      <c r="L35" s="7"/>
      <c r="M35" s="7">
        <f t="shared" si="15"/>
        <v>3.4857499999999986E-2</v>
      </c>
      <c r="N35" s="7">
        <v>5.53681</v>
      </c>
      <c r="O35" s="7">
        <v>5.69808</v>
      </c>
      <c r="P35" s="12">
        <f t="shared" si="16"/>
        <v>0.16127000000000002</v>
      </c>
      <c r="Q35" s="13">
        <f t="shared" si="5"/>
        <v>3.2254000000000005</v>
      </c>
      <c r="R35" s="7"/>
    </row>
    <row r="36" spans="1:18" s="3" customFormat="1" x14ac:dyDescent="0.25">
      <c r="A36" s="8" t="s">
        <v>38</v>
      </c>
      <c r="B36" s="7">
        <v>0.70804</v>
      </c>
      <c r="C36" s="7">
        <v>0.88553999999999999</v>
      </c>
      <c r="D36" s="7">
        <f t="shared" si="0"/>
        <v>0.17749999999999999</v>
      </c>
      <c r="E36" s="7">
        <f t="shared" si="12"/>
        <v>0.1751533333333333</v>
      </c>
      <c r="F36" s="7">
        <v>0.872</v>
      </c>
      <c r="G36" s="7"/>
      <c r="H36" s="7">
        <f t="shared" si="2"/>
        <v>1.3539999999999996E-2</v>
      </c>
      <c r="I36" s="7"/>
      <c r="J36" s="7">
        <f t="shared" si="13"/>
        <v>1.1193333333333314E-2</v>
      </c>
      <c r="K36" s="7">
        <f t="shared" si="14"/>
        <v>0.16395999999999999</v>
      </c>
      <c r="L36" s="7"/>
      <c r="M36" s="7">
        <f t="shared" si="15"/>
        <v>3.7317500000000003E-2</v>
      </c>
      <c r="N36" s="7">
        <v>5.5339999999999998</v>
      </c>
      <c r="O36" s="7">
        <v>5.7048800000000002</v>
      </c>
      <c r="P36" s="12">
        <f t="shared" si="16"/>
        <v>0.17088000000000036</v>
      </c>
      <c r="Q36" s="13">
        <f t="shared" si="5"/>
        <v>3.4176000000000073</v>
      </c>
      <c r="R36" s="7"/>
    </row>
    <row r="37" spans="1:18" s="3" customFormat="1" x14ac:dyDescent="0.25">
      <c r="A37" s="8" t="s">
        <v>39</v>
      </c>
      <c r="B37" s="7">
        <v>0.71448</v>
      </c>
      <c r="C37" s="7">
        <v>0.89122999999999997</v>
      </c>
      <c r="D37" s="7">
        <f t="shared" si="0"/>
        <v>0.17674999999999996</v>
      </c>
      <c r="E37" s="7">
        <f t="shared" si="12"/>
        <v>0.17440333333333327</v>
      </c>
      <c r="F37" s="7">
        <v>0.87746999999999997</v>
      </c>
      <c r="G37" s="7"/>
      <c r="H37" s="7">
        <f t="shared" si="2"/>
        <v>1.3759999999999994E-2</v>
      </c>
      <c r="I37" s="7"/>
      <c r="J37" s="7">
        <f t="shared" si="13"/>
        <v>1.1413333333333312E-2</v>
      </c>
      <c r="K37" s="7">
        <f t="shared" si="14"/>
        <v>0.16298999999999997</v>
      </c>
      <c r="L37" s="7"/>
      <c r="M37" s="7">
        <f t="shared" si="15"/>
        <v>3.6347499999999977E-2</v>
      </c>
      <c r="N37" s="7">
        <v>5.4532800000000003</v>
      </c>
      <c r="O37" s="7">
        <v>5.6165000000000003</v>
      </c>
      <c r="P37" s="12">
        <f t="shared" si="16"/>
        <v>0.16321999999999992</v>
      </c>
      <c r="Q37" s="13">
        <f t="shared" si="5"/>
        <v>3.2643999999999984</v>
      </c>
      <c r="R37" s="7"/>
    </row>
    <row r="38" spans="1:18" s="3" customFormat="1" x14ac:dyDescent="0.25">
      <c r="A38" s="8" t="s">
        <v>40</v>
      </c>
      <c r="B38" s="7">
        <v>0.71684000000000003</v>
      </c>
      <c r="C38" s="7">
        <v>0.84806999999999999</v>
      </c>
      <c r="D38" s="7">
        <f t="shared" si="0"/>
        <v>0.13122999999999996</v>
      </c>
      <c r="E38" s="7">
        <f t="shared" si="12"/>
        <v>0.12888333333333327</v>
      </c>
      <c r="F38" s="7">
        <v>0.84504000000000001</v>
      </c>
      <c r="G38" s="7"/>
      <c r="H38" s="7">
        <f t="shared" si="2"/>
        <v>3.0299999999999772E-3</v>
      </c>
      <c r="I38" s="7"/>
      <c r="J38" s="7">
        <f t="shared" si="13"/>
        <v>6.8333333333329494E-4</v>
      </c>
      <c r="K38" s="7">
        <f t="shared" si="14"/>
        <v>0.12819999999999998</v>
      </c>
      <c r="L38" s="7"/>
      <c r="M38" s="7">
        <f t="shared" si="15"/>
        <v>1.5574999999999894E-3</v>
      </c>
      <c r="N38" s="7">
        <v>5.4554099999999996</v>
      </c>
      <c r="O38" s="7">
        <v>5.5842999999999998</v>
      </c>
      <c r="P38" s="12">
        <f t="shared" si="16"/>
        <v>0.12889000000000017</v>
      </c>
      <c r="Q38" s="13">
        <f t="shared" si="5"/>
        <v>2.5778000000000034</v>
      </c>
      <c r="R38" s="7"/>
    </row>
    <row r="39" spans="1:18" s="3" customFormat="1" x14ac:dyDescent="0.25">
      <c r="A39" s="8" t="s">
        <v>41</v>
      </c>
      <c r="B39" s="7">
        <v>0.70354000000000005</v>
      </c>
      <c r="C39" s="7">
        <v>0.83914</v>
      </c>
      <c r="D39" s="7">
        <f t="shared" si="0"/>
        <v>0.13559999999999994</v>
      </c>
      <c r="E39" s="7">
        <f t="shared" si="12"/>
        <v>0.13325333333333325</v>
      </c>
      <c r="F39" s="7">
        <v>0.83599999999999997</v>
      </c>
      <c r="G39" s="7"/>
      <c r="H39" s="7">
        <f t="shared" si="2"/>
        <v>3.1400000000000317E-3</v>
      </c>
      <c r="I39" s="7"/>
      <c r="J39" s="7">
        <f t="shared" si="13"/>
        <v>7.9333333333334944E-4</v>
      </c>
      <c r="K39" s="7">
        <f t="shared" si="14"/>
        <v>0.13245999999999991</v>
      </c>
      <c r="L39" s="7"/>
      <c r="M39" s="7">
        <f t="shared" si="15"/>
        <v>5.81749999999992E-3</v>
      </c>
      <c r="N39" s="7">
        <v>5.4778799999999999</v>
      </c>
      <c r="O39" s="7">
        <v>5.6109</v>
      </c>
      <c r="P39" s="12">
        <f t="shared" si="16"/>
        <v>0.13302000000000014</v>
      </c>
      <c r="Q39" s="13">
        <f t="shared" si="5"/>
        <v>2.6604000000000028</v>
      </c>
      <c r="R39" s="7"/>
    </row>
    <row r="40" spans="1:18" s="3" customFormat="1" x14ac:dyDescent="0.25">
      <c r="A40" s="8" t="s">
        <v>42</v>
      </c>
      <c r="B40" s="7">
        <v>0.70948</v>
      </c>
      <c r="C40" s="7">
        <v>0.84423000000000004</v>
      </c>
      <c r="D40" s="7">
        <f t="shared" si="0"/>
        <v>0.13475000000000004</v>
      </c>
      <c r="E40" s="7">
        <f t="shared" si="12"/>
        <v>0.13240333333333335</v>
      </c>
      <c r="F40" s="7">
        <v>0.84101999999999999</v>
      </c>
      <c r="G40" s="7"/>
      <c r="H40" s="7">
        <f t="shared" si="2"/>
        <v>3.2100000000000461E-3</v>
      </c>
      <c r="I40" s="7"/>
      <c r="J40" s="7">
        <f t="shared" si="13"/>
        <v>8.6333333333336393E-4</v>
      </c>
      <c r="K40" s="7">
        <f t="shared" si="14"/>
        <v>0.13153999999999999</v>
      </c>
      <c r="L40" s="7"/>
      <c r="M40" s="7">
        <f t="shared" si="15"/>
        <v>4.8974999999999991E-3</v>
      </c>
      <c r="N40" s="7">
        <v>5.39377</v>
      </c>
      <c r="O40" s="7">
        <v>5.5260100000000003</v>
      </c>
      <c r="P40" s="12">
        <f t="shared" si="16"/>
        <v>0.13224000000000036</v>
      </c>
      <c r="Q40" s="13">
        <f t="shared" si="5"/>
        <v>2.6448000000000071</v>
      </c>
      <c r="R40" s="7"/>
    </row>
    <row r="41" spans="1:18" s="3" customFormat="1" x14ac:dyDescent="0.25">
      <c r="A41" s="8" t="s">
        <v>43</v>
      </c>
      <c r="B41" s="7">
        <v>0.71079000000000003</v>
      </c>
      <c r="C41" s="7">
        <v>0.85568</v>
      </c>
      <c r="D41" s="7">
        <f t="shared" si="0"/>
        <v>0.14488999999999996</v>
      </c>
      <c r="E41" s="7">
        <f t="shared" si="12"/>
        <v>0.14254333333333327</v>
      </c>
      <c r="F41" s="7">
        <v>0.84643500000000005</v>
      </c>
      <c r="G41" s="7"/>
      <c r="H41" s="7">
        <v>9.2449999999999997E-3</v>
      </c>
      <c r="I41" s="7"/>
      <c r="J41" s="7">
        <f t="shared" si="13"/>
        <v>6.8983333333333171E-3</v>
      </c>
      <c r="K41" s="7">
        <f t="shared" si="14"/>
        <v>0.13564499999999996</v>
      </c>
      <c r="L41" s="7"/>
      <c r="M41" s="7">
        <f t="shared" si="15"/>
        <v>9.0024999999999689E-3</v>
      </c>
      <c r="N41" s="7">
        <v>5.54542</v>
      </c>
      <c r="O41" s="7">
        <v>5.6845499999999998</v>
      </c>
      <c r="P41" s="12">
        <f t="shared" si="16"/>
        <v>0.13912999999999975</v>
      </c>
      <c r="Q41" s="13">
        <f t="shared" si="5"/>
        <v>2.7825999999999951</v>
      </c>
      <c r="R41" s="7"/>
    </row>
    <row r="42" spans="1:18" s="2" customFormat="1" x14ac:dyDescent="0.25">
      <c r="A42" s="9" t="s">
        <v>44</v>
      </c>
      <c r="B42" s="6">
        <v>0.71120000000000005</v>
      </c>
      <c r="C42" s="6">
        <v>0.78495000000000004</v>
      </c>
      <c r="D42" s="6">
        <f t="shared" si="0"/>
        <v>7.3749999999999982E-2</v>
      </c>
      <c r="E42" s="6"/>
      <c r="F42" s="6">
        <v>0.71113000000000004</v>
      </c>
      <c r="G42" s="6"/>
      <c r="H42" s="6">
        <f t="shared" ref="H42:H56" si="17">C42-F42</f>
        <v>7.3819999999999997E-2</v>
      </c>
      <c r="I42" s="6"/>
      <c r="J42" s="6">
        <f t="shared" si="13"/>
        <v>7.1473333333333319E-2</v>
      </c>
      <c r="K42" s="6"/>
      <c r="L42" s="6"/>
      <c r="M42" s="6"/>
      <c r="N42" s="6">
        <f>AVERAGE(N2:N41, N43:N56)</f>
        <v>5.4587581481481475</v>
      </c>
      <c r="O42" s="2">
        <v>5.3808999999999996</v>
      </c>
      <c r="P42" s="11">
        <f>O42-N42</f>
        <v>-7.7858148148147954E-2</v>
      </c>
      <c r="Q42" s="6">
        <f t="shared" si="5"/>
        <v>-1.5571629629629591</v>
      </c>
      <c r="R42" s="6"/>
    </row>
    <row r="43" spans="1:18" s="2" customFormat="1" x14ac:dyDescent="0.25">
      <c r="A43" s="9" t="s">
        <v>45</v>
      </c>
      <c r="B43" s="6">
        <v>0.72782999999999998</v>
      </c>
      <c r="C43" s="6">
        <v>0.79193000000000002</v>
      </c>
      <c r="D43" s="6">
        <f t="shared" si="0"/>
        <v>6.4100000000000046E-2</v>
      </c>
      <c r="E43" s="6"/>
      <c r="F43" s="6">
        <v>0.72797999999999996</v>
      </c>
      <c r="G43" s="6"/>
      <c r="H43" s="6">
        <f t="shared" si="17"/>
        <v>6.3950000000000062E-2</v>
      </c>
      <c r="I43" s="6"/>
      <c r="J43" s="6">
        <f t="shared" si="13"/>
        <v>6.1603333333333378E-2</v>
      </c>
      <c r="K43" s="6"/>
      <c r="L43" s="6"/>
      <c r="M43" s="6"/>
      <c r="N43" s="6">
        <v>5.4280999999999997</v>
      </c>
      <c r="O43" s="6">
        <v>5.42821</v>
      </c>
      <c r="P43" s="11">
        <f t="shared" ref="P43:P52" si="18">O43-N43</f>
        <v>1.1000000000027654E-4</v>
      </c>
      <c r="Q43" s="6">
        <f t="shared" si="5"/>
        <v>2.2000000000055309E-3</v>
      </c>
      <c r="R43" s="6"/>
    </row>
    <row r="44" spans="1:18" s="2" customFormat="1" x14ac:dyDescent="0.25">
      <c r="A44" s="9" t="s">
        <v>46</v>
      </c>
      <c r="B44" s="6">
        <v>0.71450000000000002</v>
      </c>
      <c r="C44" s="6">
        <v>0.78690000000000004</v>
      </c>
      <c r="D44" s="6">
        <f t="shared" si="0"/>
        <v>7.240000000000002E-2</v>
      </c>
      <c r="E44" s="6"/>
      <c r="F44" s="6">
        <v>0.72402999999999995</v>
      </c>
      <c r="G44" s="6"/>
      <c r="H44" s="6">
        <f t="shared" si="17"/>
        <v>6.2870000000000092E-2</v>
      </c>
      <c r="I44" s="6"/>
      <c r="J44" s="6">
        <f t="shared" si="13"/>
        <v>6.0523333333333408E-2</v>
      </c>
      <c r="K44" s="6"/>
      <c r="L44" s="6"/>
      <c r="M44" s="6"/>
      <c r="N44" s="6">
        <v>5.4382799999999998</v>
      </c>
      <c r="O44" s="6">
        <v>5.4445399999999999</v>
      </c>
      <c r="P44" s="11">
        <f t="shared" si="18"/>
        <v>6.2600000000001543E-3</v>
      </c>
      <c r="Q44" s="6">
        <f t="shared" si="5"/>
        <v>0.12520000000000309</v>
      </c>
      <c r="R44" s="6"/>
    </row>
    <row r="45" spans="1:18" s="2" customFormat="1" x14ac:dyDescent="0.25">
      <c r="A45" s="9" t="s">
        <v>47</v>
      </c>
      <c r="B45" s="6">
        <v>0.71967999999999999</v>
      </c>
      <c r="C45" s="6">
        <v>0.78012999999999999</v>
      </c>
      <c r="D45" s="6">
        <f t="shared" si="0"/>
        <v>6.0450000000000004E-2</v>
      </c>
      <c r="E45" s="6"/>
      <c r="F45" s="6">
        <v>0.71955000000000002</v>
      </c>
      <c r="G45" s="6"/>
      <c r="H45" s="6">
        <f t="shared" si="17"/>
        <v>6.0579999999999967E-2</v>
      </c>
      <c r="I45" s="6"/>
      <c r="J45" s="6">
        <f t="shared" si="13"/>
        <v>5.8233333333333283E-2</v>
      </c>
      <c r="K45" s="6"/>
      <c r="L45" s="6"/>
      <c r="M45" s="6"/>
      <c r="N45" s="6">
        <v>5.4664099999999998</v>
      </c>
      <c r="O45" s="6">
        <v>5.4671500000000002</v>
      </c>
      <c r="P45" s="11">
        <f t="shared" si="18"/>
        <v>7.40000000000407E-4</v>
      </c>
      <c r="Q45" s="6">
        <f t="shared" si="5"/>
        <v>1.480000000000814E-2</v>
      </c>
      <c r="R45" s="6"/>
    </row>
    <row r="46" spans="1:18" s="2" customFormat="1" x14ac:dyDescent="0.25">
      <c r="A46" s="9" t="s">
        <v>48</v>
      </c>
      <c r="B46" s="6">
        <v>0.73312999999999995</v>
      </c>
      <c r="C46" s="6">
        <v>0.77949999999999997</v>
      </c>
      <c r="D46" s="6">
        <f t="shared" si="0"/>
        <v>4.6370000000000022E-2</v>
      </c>
      <c r="E46" s="6"/>
      <c r="F46" s="6">
        <v>0.73304999999999998</v>
      </c>
      <c r="G46" s="6"/>
      <c r="H46" s="6">
        <f t="shared" si="17"/>
        <v>4.6449999999999991E-2</v>
      </c>
      <c r="I46" s="6"/>
      <c r="J46" s="6">
        <f t="shared" si="13"/>
        <v>4.4103333333333307E-2</v>
      </c>
      <c r="K46" s="6"/>
      <c r="L46" s="6"/>
      <c r="M46" s="6"/>
      <c r="N46" s="6">
        <v>5.4665900000000001</v>
      </c>
      <c r="O46" s="6">
        <v>5.4671399999999997</v>
      </c>
      <c r="P46" s="11">
        <f t="shared" si="18"/>
        <v>5.4999999999960636E-4</v>
      </c>
      <c r="Q46" s="6">
        <f t="shared" si="5"/>
        <v>1.0999999999992127E-2</v>
      </c>
      <c r="R46" s="6"/>
    </row>
    <row r="47" spans="1:18" s="2" customFormat="1" x14ac:dyDescent="0.25">
      <c r="A47" s="9" t="s">
        <v>49</v>
      </c>
      <c r="B47" s="6">
        <v>0.70628000000000002</v>
      </c>
      <c r="C47" s="6">
        <v>0.76934000000000002</v>
      </c>
      <c r="D47" s="6">
        <f t="shared" si="0"/>
        <v>6.3060000000000005E-2</v>
      </c>
      <c r="E47" s="6"/>
      <c r="F47" s="6">
        <v>0.70655000000000001</v>
      </c>
      <c r="G47" s="6"/>
      <c r="H47" s="6">
        <f t="shared" si="17"/>
        <v>6.2790000000000012E-2</v>
      </c>
      <c r="I47" s="6"/>
      <c r="J47" s="6">
        <f t="shared" si="13"/>
        <v>6.0443333333333328E-2</v>
      </c>
      <c r="K47" s="6"/>
      <c r="L47" s="6"/>
      <c r="M47" s="6"/>
      <c r="N47" s="6">
        <v>5.4461199999999996</v>
      </c>
      <c r="O47" s="6">
        <v>5.4465399999999997</v>
      </c>
      <c r="P47" s="11">
        <f t="shared" si="18"/>
        <v>4.2000000000008697E-4</v>
      </c>
      <c r="Q47" s="6">
        <f t="shared" si="5"/>
        <v>8.4000000000017394E-3</v>
      </c>
      <c r="R47" s="6"/>
    </row>
    <row r="48" spans="1:18" s="2" customFormat="1" x14ac:dyDescent="0.25">
      <c r="A48" s="9" t="s">
        <v>50</v>
      </c>
      <c r="B48" s="6">
        <v>0.70221999999999996</v>
      </c>
      <c r="C48" s="6">
        <v>0.76197999999999999</v>
      </c>
      <c r="D48" s="6">
        <f t="shared" si="0"/>
        <v>5.9760000000000035E-2</v>
      </c>
      <c r="E48" s="6"/>
      <c r="F48" s="6">
        <v>0.70233000000000001</v>
      </c>
      <c r="G48" s="6"/>
      <c r="H48" s="6">
        <f t="shared" si="17"/>
        <v>5.9649999999999981E-2</v>
      </c>
      <c r="I48" s="6"/>
      <c r="J48" s="6">
        <f t="shared" si="13"/>
        <v>5.7303333333333296E-2</v>
      </c>
      <c r="K48" s="6"/>
      <c r="L48" s="6"/>
      <c r="M48" s="6"/>
      <c r="N48" s="6">
        <v>5.4511500000000002</v>
      </c>
      <c r="O48" s="6">
        <v>5.4512400000000003</v>
      </c>
      <c r="P48" s="11">
        <f t="shared" si="18"/>
        <v>9.0000000000145519E-5</v>
      </c>
      <c r="Q48" s="6">
        <f t="shared" si="5"/>
        <v>1.8000000000029104E-3</v>
      </c>
      <c r="R48" s="6"/>
    </row>
    <row r="49" spans="1:22" s="2" customFormat="1" x14ac:dyDescent="0.25">
      <c r="A49" s="9" t="s">
        <v>52</v>
      </c>
      <c r="B49" s="6">
        <v>0.73626000000000003</v>
      </c>
      <c r="C49" s="6">
        <v>0.80008000000000001</v>
      </c>
      <c r="D49" s="6">
        <f t="shared" si="0"/>
        <v>6.3819999999999988E-2</v>
      </c>
      <c r="E49" s="6"/>
      <c r="F49" s="6">
        <v>0.73607999999999996</v>
      </c>
      <c r="G49" s="6"/>
      <c r="H49" s="6">
        <f t="shared" si="17"/>
        <v>6.4000000000000057E-2</v>
      </c>
      <c r="I49" s="6"/>
      <c r="J49" s="6">
        <f t="shared" si="13"/>
        <v>6.1653333333333372E-2</v>
      </c>
      <c r="K49" s="6"/>
      <c r="L49" s="6"/>
      <c r="M49" s="6"/>
      <c r="N49" s="6">
        <v>5.4360799999999996</v>
      </c>
      <c r="O49" s="6">
        <v>5.4363799999999998</v>
      </c>
      <c r="P49" s="11">
        <f t="shared" si="18"/>
        <v>3.00000000000189E-4</v>
      </c>
      <c r="Q49" s="6">
        <f t="shared" si="5"/>
        <v>6.0000000000037801E-3</v>
      </c>
      <c r="R49" s="6"/>
    </row>
    <row r="50" spans="1:22" s="2" customFormat="1" x14ac:dyDescent="0.25">
      <c r="A50" s="9" t="s">
        <v>51</v>
      </c>
      <c r="B50" s="6">
        <v>0.71348</v>
      </c>
      <c r="C50" s="6">
        <v>0.80201999999999996</v>
      </c>
      <c r="D50" s="6">
        <f t="shared" si="0"/>
        <v>8.8539999999999952E-2</v>
      </c>
      <c r="E50" s="6"/>
      <c r="F50" s="6">
        <v>0.71326000000000001</v>
      </c>
      <c r="G50" s="6"/>
      <c r="H50" s="6">
        <f t="shared" si="17"/>
        <v>8.875999999999995E-2</v>
      </c>
      <c r="I50" s="6"/>
      <c r="J50" s="6">
        <f t="shared" si="13"/>
        <v>8.6413333333333273E-2</v>
      </c>
      <c r="K50" s="6"/>
      <c r="L50" s="6"/>
      <c r="M50" s="6"/>
      <c r="N50" s="6">
        <v>5.4348299999999998</v>
      </c>
      <c r="O50" s="6">
        <v>5.4351599999999998</v>
      </c>
      <c r="P50" s="11">
        <f t="shared" si="18"/>
        <v>3.2999999999994145E-4</v>
      </c>
      <c r="Q50" s="6">
        <f t="shared" si="5"/>
        <v>6.599999999998829E-3</v>
      </c>
      <c r="R50" s="6"/>
    </row>
    <row r="51" spans="1:22" s="2" customFormat="1" x14ac:dyDescent="0.25">
      <c r="A51" s="9" t="s">
        <v>53</v>
      </c>
      <c r="B51" s="6">
        <v>0.72653999999999996</v>
      </c>
      <c r="C51" s="6">
        <v>0.78615000000000002</v>
      </c>
      <c r="D51" s="6">
        <f t="shared" si="0"/>
        <v>5.9610000000000052E-2</v>
      </c>
      <c r="E51" s="6"/>
      <c r="F51" s="6">
        <v>0.72660000000000002</v>
      </c>
      <c r="G51" s="6"/>
      <c r="H51" s="6">
        <f t="shared" si="17"/>
        <v>5.9549999999999992E-2</v>
      </c>
      <c r="I51" s="6"/>
      <c r="J51" s="6">
        <f t="shared" si="13"/>
        <v>5.7203333333333307E-2</v>
      </c>
      <c r="K51" s="6"/>
      <c r="L51" s="6"/>
      <c r="M51" s="6"/>
      <c r="N51" s="6">
        <v>5.4754800000000001</v>
      </c>
      <c r="O51" s="6">
        <v>5.4716899999999997</v>
      </c>
      <c r="P51" s="11">
        <f t="shared" si="18"/>
        <v>-3.7900000000004042E-3</v>
      </c>
      <c r="Q51" s="6">
        <f t="shared" si="5"/>
        <v>-7.5800000000008083E-2</v>
      </c>
      <c r="R51" s="6"/>
    </row>
    <row r="52" spans="1:22" s="2" customFormat="1" x14ac:dyDescent="0.25">
      <c r="A52" s="9" t="s">
        <v>54</v>
      </c>
      <c r="B52" s="6">
        <v>0.71255999999999997</v>
      </c>
      <c r="C52" s="6">
        <v>0.78766999999999998</v>
      </c>
      <c r="D52" s="6">
        <f t="shared" si="0"/>
        <v>7.511000000000001E-2</v>
      </c>
      <c r="E52" s="6"/>
      <c r="F52" s="6">
        <v>0.71223000000000003</v>
      </c>
      <c r="G52" s="6"/>
      <c r="H52" s="6">
        <f t="shared" si="17"/>
        <v>7.5439999999999952E-2</v>
      </c>
      <c r="I52" s="6"/>
      <c r="J52" s="6">
        <f t="shared" si="13"/>
        <v>7.3093333333333274E-2</v>
      </c>
      <c r="K52" s="6"/>
      <c r="L52" s="6"/>
      <c r="M52" s="6"/>
      <c r="N52" s="6">
        <v>5.4431900000000004</v>
      </c>
      <c r="O52" s="6">
        <v>5.4428099999999997</v>
      </c>
      <c r="P52" s="11">
        <f t="shared" si="18"/>
        <v>-3.800000000007131E-4</v>
      </c>
      <c r="Q52" s="6">
        <f t="shared" si="5"/>
        <v>-7.600000000014262E-3</v>
      </c>
      <c r="R52" s="6"/>
    </row>
    <row r="53" spans="1:22" s="3" customFormat="1" x14ac:dyDescent="0.25">
      <c r="A53" s="8" t="s">
        <v>55</v>
      </c>
      <c r="B53" s="7">
        <v>0.71726999999999996</v>
      </c>
      <c r="C53" s="7">
        <v>0.84974000000000005</v>
      </c>
      <c r="D53" s="7">
        <f t="shared" si="0"/>
        <v>0.13247000000000009</v>
      </c>
      <c r="E53" s="7">
        <f t="shared" si="12"/>
        <v>0.1301233333333334</v>
      </c>
      <c r="F53" s="7">
        <v>0.84735000000000005</v>
      </c>
      <c r="G53" s="7"/>
      <c r="H53" s="7">
        <f t="shared" si="17"/>
        <v>2.3900000000000032E-3</v>
      </c>
      <c r="I53" s="7"/>
      <c r="J53" s="7">
        <f t="shared" si="13"/>
        <v>4.3333333333321015E-5</v>
      </c>
      <c r="K53" s="7">
        <f t="shared" si="14"/>
        <v>0.13008000000000008</v>
      </c>
      <c r="L53" s="7"/>
      <c r="M53" s="7">
        <f t="shared" si="15"/>
        <v>3.4375000000000933E-3</v>
      </c>
      <c r="N53" s="7">
        <v>5.45181</v>
      </c>
      <c r="O53" s="7">
        <v>5.5824199999999999</v>
      </c>
      <c r="P53" s="12">
        <f>O53-N53</f>
        <v>0.13060999999999989</v>
      </c>
      <c r="Q53" s="13">
        <f t="shared" si="5"/>
        <v>2.6121999999999979</v>
      </c>
      <c r="R53" s="7"/>
    </row>
    <row r="54" spans="1:22" s="3" customFormat="1" x14ac:dyDescent="0.25">
      <c r="A54" s="8" t="s">
        <v>56</v>
      </c>
      <c r="B54" s="7">
        <v>0.72550000000000003</v>
      </c>
      <c r="C54" s="7">
        <v>0.85614000000000001</v>
      </c>
      <c r="D54" s="7">
        <f t="shared" si="0"/>
        <v>0.13063999999999998</v>
      </c>
      <c r="E54" s="7">
        <f t="shared" si="12"/>
        <v>0.12829333333333329</v>
      </c>
      <c r="F54" s="7">
        <v>0.85385</v>
      </c>
      <c r="G54" s="7"/>
      <c r="H54" s="7">
        <f t="shared" si="17"/>
        <v>2.2900000000000142E-3</v>
      </c>
      <c r="I54" s="7"/>
      <c r="J54" s="7">
        <f t="shared" si="13"/>
        <v>-5.6666666666667972E-5</v>
      </c>
      <c r="K54" s="7">
        <f t="shared" si="14"/>
        <v>0.12834999999999996</v>
      </c>
      <c r="L54" s="7"/>
      <c r="M54" s="7">
        <f t="shared" si="15"/>
        <v>1.7074999999999729E-3</v>
      </c>
      <c r="N54" s="7">
        <v>5.4797000000000002</v>
      </c>
      <c r="O54" s="7">
        <v>5.6082999999999998</v>
      </c>
      <c r="P54" s="12">
        <f t="shared" ref="P54:P56" si="19">O54-N54</f>
        <v>0.1285999999999996</v>
      </c>
      <c r="Q54" s="13">
        <f t="shared" si="5"/>
        <v>2.5719999999999921</v>
      </c>
      <c r="R54" s="7"/>
    </row>
    <row r="55" spans="1:22" s="3" customFormat="1" x14ac:dyDescent="0.25">
      <c r="A55" s="8" t="s">
        <v>57</v>
      </c>
      <c r="B55" s="7">
        <v>0.72158</v>
      </c>
      <c r="C55" s="7">
        <v>0.85045000000000004</v>
      </c>
      <c r="D55" s="7">
        <f t="shared" si="0"/>
        <v>0.12887000000000004</v>
      </c>
      <c r="E55" s="7">
        <f t="shared" si="12"/>
        <v>0.12652333333333335</v>
      </c>
      <c r="F55" s="7">
        <v>0.84823000000000004</v>
      </c>
      <c r="G55" s="7"/>
      <c r="H55" s="7">
        <f t="shared" si="17"/>
        <v>2.2199999999999998E-3</v>
      </c>
      <c r="I55" s="7"/>
      <c r="J55" s="7">
        <f t="shared" si="13"/>
        <v>-1.2666666666668247E-4</v>
      </c>
      <c r="K55" s="7">
        <f t="shared" si="14"/>
        <v>0.12665000000000004</v>
      </c>
      <c r="L55" s="7"/>
      <c r="M55" s="7">
        <f t="shared" si="15"/>
        <v>7.500000000049134E-6</v>
      </c>
      <c r="N55" s="7">
        <v>5.4283900000000003</v>
      </c>
      <c r="O55" s="7">
        <v>5.5554300000000003</v>
      </c>
      <c r="P55" s="12">
        <f t="shared" si="19"/>
        <v>0.12704000000000004</v>
      </c>
      <c r="Q55" s="13">
        <f t="shared" si="5"/>
        <v>2.5408000000000008</v>
      </c>
      <c r="R55" s="7"/>
    </row>
    <row r="56" spans="1:22" s="3" customFormat="1" x14ac:dyDescent="0.25">
      <c r="A56" s="8" t="s">
        <v>58</v>
      </c>
      <c r="B56" s="7">
        <v>0.72436</v>
      </c>
      <c r="C56" s="7">
        <v>0.85451999999999995</v>
      </c>
      <c r="D56" s="7">
        <f t="shared" si="0"/>
        <v>0.13015999999999994</v>
      </c>
      <c r="E56" s="7">
        <f t="shared" si="12"/>
        <v>0.12781333333333325</v>
      </c>
      <c r="F56" s="7">
        <v>0.85197999999999996</v>
      </c>
      <c r="G56" s="7"/>
      <c r="H56" s="7">
        <f t="shared" si="17"/>
        <v>2.5399999999999867E-3</v>
      </c>
      <c r="I56" s="7"/>
      <c r="J56" s="7">
        <f t="shared" si="13"/>
        <v>1.9333333333330449E-4</v>
      </c>
      <c r="K56" s="7">
        <f t="shared" si="14"/>
        <v>0.12761999999999996</v>
      </c>
      <c r="L56" s="7"/>
      <c r="M56" s="7">
        <f t="shared" si="15"/>
        <v>9.7749999999996451E-4</v>
      </c>
      <c r="N56" s="7">
        <v>5.4543900000000001</v>
      </c>
      <c r="O56" s="7">
        <v>5.5824499999999997</v>
      </c>
      <c r="P56" s="12">
        <f t="shared" si="19"/>
        <v>0.12805999999999962</v>
      </c>
      <c r="Q56" s="14">
        <f t="shared" si="5"/>
        <v>2.5611999999999924</v>
      </c>
      <c r="R56" s="7"/>
    </row>
    <row r="57" spans="1:22" x14ac:dyDescent="0.25">
      <c r="A57" s="1"/>
    </row>
    <row r="58" spans="1:22" x14ac:dyDescent="0.25">
      <c r="A58" s="1"/>
    </row>
    <row r="59" spans="1:22" x14ac:dyDescent="0.25">
      <c r="A59" s="1"/>
    </row>
    <row r="60" spans="1:22" x14ac:dyDescent="0.25">
      <c r="A60" s="1"/>
    </row>
    <row r="61" spans="1:22" x14ac:dyDescent="0.25">
      <c r="A61" s="1"/>
      <c r="C61">
        <f>AVERAGE(H33,H37)</f>
        <v>9.2450000000000032E-3</v>
      </c>
      <c r="D61">
        <f>D41-H41</f>
        <v>0.13564499999999996</v>
      </c>
      <c r="V61" t="s">
        <v>59</v>
      </c>
    </row>
    <row r="62" spans="1:22" x14ac:dyDescent="0.25">
      <c r="A62" s="1"/>
      <c r="D62">
        <f>D61+B41</f>
        <v>0.84643500000000005</v>
      </c>
    </row>
    <row r="63" spans="1:22" x14ac:dyDescent="0.25">
      <c r="A63" s="1"/>
    </row>
    <row r="64" spans="1:2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220B-F654-47E4-982B-BFB960C34688}">
  <sheetPr codeName="Sheet2"/>
  <dimension ref="A1:M90"/>
  <sheetViews>
    <sheetView topLeftCell="A86" workbookViewId="0">
      <selection activeCell="E77" sqref="E77"/>
    </sheetView>
  </sheetViews>
  <sheetFormatPr defaultRowHeight="15" x14ac:dyDescent="0.25"/>
  <cols>
    <col min="2" max="2" width="16.85546875" bestFit="1" customWidth="1"/>
    <col min="3" max="3" width="15.42578125" bestFit="1" customWidth="1"/>
    <col min="4" max="4" width="20.7109375" bestFit="1" customWidth="1"/>
    <col min="5" max="6" width="20.7109375" customWidth="1"/>
    <col min="7" max="8" width="20.28515625" bestFit="1" customWidth="1"/>
    <col min="9" max="9" width="19.28515625" bestFit="1" customWidth="1"/>
    <col min="12" max="12" width="11.85546875" bestFit="1" customWidth="1"/>
  </cols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93</v>
      </c>
      <c r="G1" t="s">
        <v>92</v>
      </c>
      <c r="H1" t="s">
        <v>94</v>
      </c>
      <c r="I1" t="s">
        <v>95</v>
      </c>
    </row>
    <row r="2" spans="1:9" x14ac:dyDescent="0.25">
      <c r="A2" s="1" t="s">
        <v>72</v>
      </c>
      <c r="B2">
        <v>0.12803</v>
      </c>
      <c r="C2">
        <v>0.12644</v>
      </c>
      <c r="D2">
        <v>2</v>
      </c>
      <c r="E2">
        <f>D2*1000</f>
        <v>2000</v>
      </c>
      <c r="G2">
        <v>10</v>
      </c>
      <c r="H2">
        <f>G2*1000</f>
        <v>10000</v>
      </c>
    </row>
    <row r="3" spans="1:9" x14ac:dyDescent="0.25">
      <c r="A3" s="1" t="s">
        <v>73</v>
      </c>
      <c r="B3">
        <v>0.12914</v>
      </c>
      <c r="C3">
        <v>0.12725</v>
      </c>
      <c r="D3">
        <v>2</v>
      </c>
      <c r="E3">
        <f t="shared" ref="E3:E13" si="0">D3*1000</f>
        <v>2000</v>
      </c>
      <c r="G3">
        <v>10</v>
      </c>
      <c r="H3">
        <f t="shared" ref="H3:H13" si="1">G3*1000</f>
        <v>10000</v>
      </c>
    </row>
    <row r="4" spans="1:9" x14ac:dyDescent="0.25">
      <c r="A4" s="1" t="s">
        <v>74</v>
      </c>
      <c r="B4">
        <v>0.12992000000000001</v>
      </c>
      <c r="C4">
        <v>0.1293</v>
      </c>
      <c r="D4">
        <v>2</v>
      </c>
      <c r="E4">
        <f t="shared" si="0"/>
        <v>2000</v>
      </c>
      <c r="G4">
        <v>10</v>
      </c>
      <c r="H4">
        <f t="shared" si="1"/>
        <v>10000</v>
      </c>
    </row>
    <row r="5" spans="1:9" x14ac:dyDescent="0.25">
      <c r="A5" s="1" t="s">
        <v>75</v>
      </c>
      <c r="B5">
        <v>0.12866</v>
      </c>
      <c r="C5">
        <v>0.12619</v>
      </c>
      <c r="D5">
        <v>2</v>
      </c>
      <c r="E5">
        <f t="shared" si="0"/>
        <v>2000</v>
      </c>
      <c r="G5">
        <v>10</v>
      </c>
      <c r="H5">
        <f t="shared" si="1"/>
        <v>10000</v>
      </c>
    </row>
    <row r="6" spans="1:9" x14ac:dyDescent="0.25">
      <c r="A6" s="1" t="s">
        <v>76</v>
      </c>
      <c r="B6">
        <v>0.13169</v>
      </c>
      <c r="C6">
        <v>0.13059999999999999</v>
      </c>
      <c r="D6">
        <v>2</v>
      </c>
      <c r="E6">
        <f t="shared" si="0"/>
        <v>2000</v>
      </c>
      <c r="G6">
        <v>10</v>
      </c>
      <c r="H6">
        <f t="shared" si="1"/>
        <v>10000</v>
      </c>
    </row>
    <row r="7" spans="1:9" x14ac:dyDescent="0.25">
      <c r="A7" s="1" t="s">
        <v>77</v>
      </c>
      <c r="B7">
        <v>0.13061</v>
      </c>
      <c r="C7">
        <v>0.12998000000000001</v>
      </c>
      <c r="D7">
        <v>2</v>
      </c>
      <c r="E7">
        <f t="shared" si="0"/>
        <v>2000</v>
      </c>
      <c r="G7">
        <v>10</v>
      </c>
      <c r="H7">
        <f t="shared" si="1"/>
        <v>10000</v>
      </c>
    </row>
    <row r="8" spans="1:9" x14ac:dyDescent="0.25">
      <c r="A8" s="1" t="s">
        <v>78</v>
      </c>
      <c r="B8">
        <v>6.1469999999999997E-2</v>
      </c>
      <c r="D8">
        <v>2.0093999999999999</v>
      </c>
      <c r="E8">
        <f t="shared" si="0"/>
        <v>2009.3999999999999</v>
      </c>
      <c r="F8">
        <v>2009.4</v>
      </c>
      <c r="G8">
        <f>D8*5</f>
        <v>10.046999999999999</v>
      </c>
      <c r="H8">
        <f t="shared" si="1"/>
        <v>10046.999999999998</v>
      </c>
      <c r="I8">
        <f>H8</f>
        <v>10046.999999999998</v>
      </c>
    </row>
    <row r="9" spans="1:9" x14ac:dyDescent="0.25">
      <c r="A9" s="1" t="s">
        <v>79</v>
      </c>
      <c r="B9">
        <v>5.459E-2</v>
      </c>
      <c r="D9">
        <v>2.0093999999999999</v>
      </c>
      <c r="E9">
        <f t="shared" si="0"/>
        <v>2009.3999999999999</v>
      </c>
      <c r="F9">
        <v>2009.4</v>
      </c>
      <c r="G9">
        <f t="shared" ref="G9:G13" si="2">D9*5</f>
        <v>10.046999999999999</v>
      </c>
      <c r="H9">
        <f t="shared" si="1"/>
        <v>10046.999999999998</v>
      </c>
      <c r="I9">
        <f t="shared" ref="I9:I12" si="3">H9</f>
        <v>10046.999999999998</v>
      </c>
    </row>
    <row r="10" spans="1:9" x14ac:dyDescent="0.25">
      <c r="A10" s="1" t="s">
        <v>80</v>
      </c>
      <c r="B10">
        <v>6.8699999999999997E-2</v>
      </c>
      <c r="D10">
        <v>2.0093999999999999</v>
      </c>
      <c r="E10">
        <f t="shared" si="0"/>
        <v>2009.3999999999999</v>
      </c>
      <c r="F10">
        <v>2009.4</v>
      </c>
      <c r="G10">
        <f t="shared" si="2"/>
        <v>10.046999999999999</v>
      </c>
      <c r="H10">
        <f t="shared" si="1"/>
        <v>10046.999999999998</v>
      </c>
      <c r="I10">
        <f t="shared" si="3"/>
        <v>10046.999999999998</v>
      </c>
    </row>
    <row r="11" spans="1:9" x14ac:dyDescent="0.25">
      <c r="A11" s="1" t="s">
        <v>81</v>
      </c>
      <c r="B11">
        <v>6.3899999999999998E-2</v>
      </c>
      <c r="D11">
        <v>2.0093999999999999</v>
      </c>
      <c r="E11">
        <f t="shared" si="0"/>
        <v>2009.3999999999999</v>
      </c>
      <c r="F11">
        <v>2009.4</v>
      </c>
      <c r="G11">
        <f t="shared" si="2"/>
        <v>10.046999999999999</v>
      </c>
      <c r="H11">
        <f t="shared" si="1"/>
        <v>10046.999999999998</v>
      </c>
      <c r="I11">
        <f t="shared" si="3"/>
        <v>10046.999999999998</v>
      </c>
    </row>
    <row r="12" spans="1:9" x14ac:dyDescent="0.25">
      <c r="A12" s="1" t="s">
        <v>82</v>
      </c>
      <c r="B12">
        <v>5.8950000000000002E-2</v>
      </c>
      <c r="D12">
        <v>2.0093999999999999</v>
      </c>
      <c r="E12">
        <f t="shared" si="0"/>
        <v>2009.3999999999999</v>
      </c>
      <c r="F12">
        <v>2009.4</v>
      </c>
      <c r="G12">
        <f t="shared" si="2"/>
        <v>10.046999999999999</v>
      </c>
      <c r="H12">
        <f t="shared" si="1"/>
        <v>10046.999999999998</v>
      </c>
      <c r="I12">
        <f t="shared" si="3"/>
        <v>10046.999999999998</v>
      </c>
    </row>
    <row r="13" spans="1:9" x14ac:dyDescent="0.25">
      <c r="A13" s="1" t="s">
        <v>83</v>
      </c>
      <c r="B13">
        <v>7.1050000000000002E-2</v>
      </c>
      <c r="D13">
        <v>2.0093999999999999</v>
      </c>
      <c r="E13">
        <f t="shared" si="0"/>
        <v>2009.3999999999999</v>
      </c>
      <c r="F13">
        <v>2009.4</v>
      </c>
      <c r="G13">
        <f t="shared" si="2"/>
        <v>10.046999999999999</v>
      </c>
      <c r="H13">
        <f t="shared" si="1"/>
        <v>10046.999999999998</v>
      </c>
      <c r="I13">
        <f>H13</f>
        <v>10046.999999999998</v>
      </c>
    </row>
    <row r="17" spans="1:12" x14ac:dyDescent="0.25">
      <c r="B17" t="s">
        <v>89</v>
      </c>
      <c r="C17" t="s">
        <v>90</v>
      </c>
      <c r="D17" t="s">
        <v>91</v>
      </c>
    </row>
    <row r="18" spans="1:12" x14ac:dyDescent="0.25">
      <c r="A18" s="1" t="s">
        <v>78</v>
      </c>
      <c r="B18">
        <v>9.2033000000000005</v>
      </c>
      <c r="C18">
        <v>9.2032000000000007</v>
      </c>
      <c r="D18">
        <f>B18-C18</f>
        <v>9.9999999999766942E-5</v>
      </c>
    </row>
    <row r="19" spans="1:12" x14ac:dyDescent="0.25">
      <c r="A19" s="1" t="s">
        <v>79</v>
      </c>
      <c r="B19">
        <v>9.1610600000000009</v>
      </c>
      <c r="C19">
        <v>9.1609999999999996</v>
      </c>
      <c r="D19">
        <f t="shared" ref="D19:D23" si="4">B19-C19</f>
        <v>6.0000000001281251E-5</v>
      </c>
    </row>
    <row r="20" spans="1:12" x14ac:dyDescent="0.25">
      <c r="A20" s="1" t="s">
        <v>80</v>
      </c>
      <c r="B20">
        <v>11.73973</v>
      </c>
      <c r="C20">
        <v>11.739660000000001</v>
      </c>
      <c r="D20">
        <f t="shared" si="4"/>
        <v>6.9999999999126317E-5</v>
      </c>
    </row>
    <row r="21" spans="1:12" x14ac:dyDescent="0.25">
      <c r="A21" s="1" t="s">
        <v>81</v>
      </c>
      <c r="B21">
        <v>8.8473199999999999</v>
      </c>
      <c r="C21">
        <v>8.8471600000000006</v>
      </c>
      <c r="D21">
        <f t="shared" si="4"/>
        <v>1.5999999999927184E-4</v>
      </c>
    </row>
    <row r="22" spans="1:12" x14ac:dyDescent="0.25">
      <c r="A22" s="1" t="s">
        <v>82</v>
      </c>
      <c r="B22">
        <v>8.5065100000000005</v>
      </c>
      <c r="C22">
        <v>8.5064299999999999</v>
      </c>
      <c r="D22">
        <f t="shared" si="4"/>
        <v>8.0000000000524096E-5</v>
      </c>
    </row>
    <row r="23" spans="1:12" x14ac:dyDescent="0.25">
      <c r="A23" s="1" t="s">
        <v>83</v>
      </c>
      <c r="B23">
        <v>9.1827699999999997</v>
      </c>
      <c r="C23">
        <v>9.1825700000000001</v>
      </c>
      <c r="D23">
        <f t="shared" si="4"/>
        <v>1.9999999999953388E-4</v>
      </c>
    </row>
    <row r="24" spans="1:12" x14ac:dyDescent="0.25">
      <c r="A24" s="1" t="s">
        <v>130</v>
      </c>
    </row>
    <row r="25" spans="1:12" x14ac:dyDescent="0.25">
      <c r="A25" s="1" t="s">
        <v>131</v>
      </c>
    </row>
    <row r="26" spans="1:12" x14ac:dyDescent="0.25">
      <c r="A26" s="1" t="s">
        <v>132</v>
      </c>
    </row>
    <row r="27" spans="1:12" x14ac:dyDescent="0.25">
      <c r="A27" s="1"/>
    </row>
    <row r="30" spans="1:12" x14ac:dyDescent="0.25">
      <c r="A30" s="16">
        <v>44713</v>
      </c>
    </row>
    <row r="31" spans="1:12" x14ac:dyDescent="0.25">
      <c r="A31">
        <v>885</v>
      </c>
      <c r="L31" s="16">
        <v>44713</v>
      </c>
    </row>
    <row r="32" spans="1:12" x14ac:dyDescent="0.25">
      <c r="A32" t="s">
        <v>84</v>
      </c>
      <c r="B32" t="s">
        <v>129</v>
      </c>
      <c r="C32" t="s">
        <v>96</v>
      </c>
      <c r="L32" t="s">
        <v>96</v>
      </c>
    </row>
    <row r="33" spans="1:13" x14ac:dyDescent="0.25">
      <c r="A33" s="1" t="s">
        <v>72</v>
      </c>
      <c r="B33">
        <v>0</v>
      </c>
      <c r="C33">
        <v>9.1999999999999998E-2</v>
      </c>
      <c r="J33" s="1"/>
      <c r="L33">
        <v>0.10199999999999999</v>
      </c>
      <c r="M33">
        <v>0.11</v>
      </c>
    </row>
    <row r="34" spans="1:13" x14ac:dyDescent="0.25">
      <c r="A34" s="1" t="s">
        <v>73</v>
      </c>
      <c r="B34">
        <v>2.5000000000000001E-2</v>
      </c>
      <c r="C34">
        <v>0.124</v>
      </c>
      <c r="J34" s="1"/>
      <c r="L34">
        <v>0.13300000000000001</v>
      </c>
      <c r="M34">
        <v>0.14299999999999999</v>
      </c>
    </row>
    <row r="35" spans="1:13" x14ac:dyDescent="0.25">
      <c r="A35" s="1" t="s">
        <v>74</v>
      </c>
      <c r="B35">
        <v>0.05</v>
      </c>
      <c r="C35">
        <v>0.18099999999999999</v>
      </c>
      <c r="J35" s="1"/>
      <c r="L35">
        <v>0.16500000000000001</v>
      </c>
      <c r="M35">
        <v>0.16600000000000001</v>
      </c>
    </row>
    <row r="36" spans="1:13" x14ac:dyDescent="0.25">
      <c r="A36" s="1" t="s">
        <v>75</v>
      </c>
      <c r="B36">
        <v>0.1</v>
      </c>
      <c r="C36">
        <v>0.23699999999999999</v>
      </c>
      <c r="J36" s="1"/>
      <c r="L36">
        <v>0.252</v>
      </c>
      <c r="M36">
        <v>0.248</v>
      </c>
    </row>
    <row r="37" spans="1:13" x14ac:dyDescent="0.25">
      <c r="A37" s="1" t="s">
        <v>76</v>
      </c>
      <c r="B37">
        <v>0.15</v>
      </c>
      <c r="C37">
        <v>0.33200000000000002</v>
      </c>
      <c r="J37" s="1"/>
      <c r="L37">
        <v>0.33</v>
      </c>
      <c r="M37">
        <v>0.32800000000000001</v>
      </c>
    </row>
    <row r="38" spans="1:13" x14ac:dyDescent="0.25">
      <c r="A38" s="1" t="s">
        <v>77</v>
      </c>
      <c r="B38">
        <v>0.2</v>
      </c>
      <c r="C38">
        <v>0.379</v>
      </c>
      <c r="J38" s="1"/>
      <c r="L38">
        <v>0.39300000000000002</v>
      </c>
      <c r="M38">
        <v>0.39600000000000002</v>
      </c>
    </row>
    <row r="39" spans="1:13" x14ac:dyDescent="0.25">
      <c r="A39" s="1" t="s">
        <v>133</v>
      </c>
      <c r="B39">
        <v>0.5</v>
      </c>
      <c r="C39">
        <v>2.363</v>
      </c>
    </row>
    <row r="40" spans="1:13" x14ac:dyDescent="0.25">
      <c r="A40" s="1" t="s">
        <v>134</v>
      </c>
      <c r="B40">
        <v>1</v>
      </c>
      <c r="C40">
        <v>4</v>
      </c>
    </row>
    <row r="41" spans="1:13" x14ac:dyDescent="0.25">
      <c r="A41" s="1" t="s">
        <v>135</v>
      </c>
      <c r="B41">
        <v>2</v>
      </c>
      <c r="C41">
        <v>4</v>
      </c>
    </row>
    <row r="42" spans="1:13" x14ac:dyDescent="0.25">
      <c r="A42" s="1" t="s">
        <v>136</v>
      </c>
      <c r="B42">
        <v>3.5</v>
      </c>
    </row>
    <row r="46" spans="1:13" x14ac:dyDescent="0.25">
      <c r="A46">
        <v>885</v>
      </c>
    </row>
    <row r="47" spans="1:13" x14ac:dyDescent="0.25">
      <c r="A47" t="s">
        <v>84</v>
      </c>
      <c r="B47" t="s">
        <v>129</v>
      </c>
      <c r="C47" t="s">
        <v>96</v>
      </c>
    </row>
    <row r="48" spans="1:13" x14ac:dyDescent="0.25">
      <c r="A48" s="1" t="s">
        <v>78</v>
      </c>
      <c r="B48">
        <v>0</v>
      </c>
      <c r="C48">
        <v>9.0999999999999998E-2</v>
      </c>
    </row>
    <row r="49" spans="1:3" x14ac:dyDescent="0.25">
      <c r="A49" s="1" t="s">
        <v>79</v>
      </c>
      <c r="B49">
        <v>0.05</v>
      </c>
      <c r="C49">
        <v>9.1999999999999998E-2</v>
      </c>
    </row>
    <row r="50" spans="1:3" x14ac:dyDescent="0.25">
      <c r="A50" s="1" t="s">
        <v>80</v>
      </c>
      <c r="B50">
        <v>0.1</v>
      </c>
      <c r="C50">
        <v>9.2999999999999999E-2</v>
      </c>
    </row>
    <row r="51" spans="1:3" x14ac:dyDescent="0.25">
      <c r="A51" s="1" t="s">
        <v>81</v>
      </c>
      <c r="B51">
        <v>0.15</v>
      </c>
      <c r="C51">
        <v>9.0999999999999998E-2</v>
      </c>
    </row>
    <row r="52" spans="1:3" x14ac:dyDescent="0.25">
      <c r="A52" s="1" t="s">
        <v>82</v>
      </c>
      <c r="B52">
        <v>0.25</v>
      </c>
      <c r="C52">
        <v>9.1999999999999998E-2</v>
      </c>
    </row>
    <row r="53" spans="1:3" x14ac:dyDescent="0.25">
      <c r="A53" s="1" t="s">
        <v>83</v>
      </c>
      <c r="B53">
        <v>0.5</v>
      </c>
      <c r="C53">
        <v>9.6000000000000002E-2</v>
      </c>
    </row>
    <row r="54" spans="1:3" x14ac:dyDescent="0.25">
      <c r="A54" s="1" t="s">
        <v>130</v>
      </c>
      <c r="B54">
        <v>1</v>
      </c>
      <c r="C54">
        <v>0.1</v>
      </c>
    </row>
    <row r="55" spans="1:3" x14ac:dyDescent="0.25">
      <c r="A55" s="1" t="s">
        <v>131</v>
      </c>
      <c r="B55">
        <v>2</v>
      </c>
      <c r="C55">
        <v>9.6000000000000002E-2</v>
      </c>
    </row>
    <row r="56" spans="1:3" x14ac:dyDescent="0.25">
      <c r="A56" s="1" t="s">
        <v>132</v>
      </c>
      <c r="B56">
        <v>3.5</v>
      </c>
      <c r="C56">
        <v>9.8000000000000004E-2</v>
      </c>
    </row>
    <row r="67" spans="1:5" x14ac:dyDescent="0.25">
      <c r="A67">
        <v>885</v>
      </c>
    </row>
    <row r="68" spans="1:5" x14ac:dyDescent="0.25">
      <c r="A68" t="s">
        <v>84</v>
      </c>
      <c r="C68" t="s">
        <v>138</v>
      </c>
      <c r="D68" t="s">
        <v>137</v>
      </c>
      <c r="E68" t="s">
        <v>139</v>
      </c>
    </row>
    <row r="69" spans="1:5" x14ac:dyDescent="0.25">
      <c r="A69" s="1" t="s">
        <v>72</v>
      </c>
      <c r="B69">
        <v>0</v>
      </c>
      <c r="C69">
        <v>0</v>
      </c>
      <c r="D69">
        <v>9.5000000000000001E-2</v>
      </c>
      <c r="E69">
        <v>0.13100000000000001</v>
      </c>
    </row>
    <row r="70" spans="1:5" x14ac:dyDescent="0.25">
      <c r="A70" s="1" t="s">
        <v>73</v>
      </c>
      <c r="B70">
        <v>2.5000000000000001E-2</v>
      </c>
      <c r="C70">
        <v>3.3999999999999998E-3</v>
      </c>
      <c r="D70">
        <v>0.14299999999999999</v>
      </c>
      <c r="E70">
        <v>0.157</v>
      </c>
    </row>
    <row r="71" spans="1:5" x14ac:dyDescent="0.25">
      <c r="A71" s="1" t="s">
        <v>74</v>
      </c>
      <c r="B71">
        <v>0.05</v>
      </c>
      <c r="C71">
        <v>6.7999999999999996E-3</v>
      </c>
      <c r="D71">
        <v>0.17399999999999999</v>
      </c>
      <c r="E71">
        <v>0.19800000000000001</v>
      </c>
    </row>
    <row r="72" spans="1:5" x14ac:dyDescent="0.25">
      <c r="A72" s="1" t="s">
        <v>75</v>
      </c>
      <c r="B72">
        <v>0.1</v>
      </c>
      <c r="C72">
        <v>1.3599999999999999E-2</v>
      </c>
      <c r="D72">
        <v>0.26200000000000001</v>
      </c>
      <c r="E72">
        <v>0.28299999999999997</v>
      </c>
    </row>
    <row r="73" spans="1:5" x14ac:dyDescent="0.25">
      <c r="A73" s="1" t="s">
        <v>76</v>
      </c>
      <c r="B73">
        <v>0.15</v>
      </c>
      <c r="C73">
        <v>2.0400000000000001E-2</v>
      </c>
      <c r="D73">
        <v>0.33500000000000002</v>
      </c>
      <c r="E73">
        <v>0.33400000000000002</v>
      </c>
    </row>
    <row r="74" spans="1:5" x14ac:dyDescent="0.25">
      <c r="A74" s="1" t="s">
        <v>77</v>
      </c>
      <c r="B74">
        <v>0.2</v>
      </c>
      <c r="C74">
        <v>2.7199999999999998E-2</v>
      </c>
      <c r="D74">
        <v>0.39900000000000002</v>
      </c>
      <c r="E74">
        <v>0.41399999999999998</v>
      </c>
    </row>
    <row r="75" spans="1:5" x14ac:dyDescent="0.25">
      <c r="A75" s="1" t="s">
        <v>134</v>
      </c>
      <c r="B75">
        <v>0.5</v>
      </c>
      <c r="C75">
        <v>6.8000000000000005E-2</v>
      </c>
      <c r="D75">
        <v>0.57999999999999996</v>
      </c>
      <c r="E75">
        <v>0.58399999999999996</v>
      </c>
    </row>
    <row r="76" spans="1:5" x14ac:dyDescent="0.25">
      <c r="A76" s="1" t="s">
        <v>135</v>
      </c>
      <c r="B76">
        <v>0.75</v>
      </c>
      <c r="C76">
        <v>0.10199999999999999</v>
      </c>
      <c r="D76">
        <v>0.67200000000000004</v>
      </c>
      <c r="E76">
        <v>0.69099999999999995</v>
      </c>
    </row>
    <row r="77" spans="1:5" x14ac:dyDescent="0.25">
      <c r="A77" s="1" t="s">
        <v>136</v>
      </c>
      <c r="B77">
        <v>1</v>
      </c>
      <c r="C77">
        <v>0.13600000000000001</v>
      </c>
      <c r="D77">
        <v>0.76200000000000001</v>
      </c>
      <c r="E77">
        <v>0.80900000000000005</v>
      </c>
    </row>
    <row r="81" spans="1:4" x14ac:dyDescent="0.25">
      <c r="A81">
        <v>885</v>
      </c>
    </row>
    <row r="82" spans="1:4" x14ac:dyDescent="0.25">
      <c r="A82" t="s">
        <v>84</v>
      </c>
      <c r="C82" t="s">
        <v>138</v>
      </c>
      <c r="D82" t="s">
        <v>137</v>
      </c>
    </row>
    <row r="83" spans="1:4" x14ac:dyDescent="0.25">
      <c r="A83" s="1" t="s">
        <v>78</v>
      </c>
      <c r="B83">
        <v>0</v>
      </c>
      <c r="C83">
        <v>0</v>
      </c>
      <c r="D83">
        <v>0.127</v>
      </c>
    </row>
    <row r="84" spans="1:4" x14ac:dyDescent="0.25">
      <c r="A84" s="1" t="s">
        <v>79</v>
      </c>
      <c r="B84">
        <v>0.05</v>
      </c>
      <c r="C84">
        <v>6.7999999999999996E-3</v>
      </c>
      <c r="D84">
        <v>0.155</v>
      </c>
    </row>
    <row r="85" spans="1:4" x14ac:dyDescent="0.25">
      <c r="A85" s="1" t="s">
        <v>80</v>
      </c>
      <c r="B85">
        <v>0.1</v>
      </c>
      <c r="C85">
        <v>1.3599999999999999E-2</v>
      </c>
      <c r="D85">
        <v>0.159</v>
      </c>
    </row>
    <row r="86" spans="1:4" x14ac:dyDescent="0.25">
      <c r="A86" s="1" t="s">
        <v>81</v>
      </c>
      <c r="B86">
        <v>0.2</v>
      </c>
      <c r="C86">
        <v>2.7199999999999998E-2</v>
      </c>
      <c r="D86">
        <v>0.216</v>
      </c>
    </row>
    <row r="87" spans="1:4" x14ac:dyDescent="0.25">
      <c r="A87" s="1" t="s">
        <v>82</v>
      </c>
      <c r="B87">
        <v>0.35</v>
      </c>
      <c r="C87">
        <v>4.7600000000000003E-2</v>
      </c>
      <c r="D87">
        <v>0.25900000000000001</v>
      </c>
    </row>
    <row r="88" spans="1:4" x14ac:dyDescent="0.25">
      <c r="A88" s="1" t="s">
        <v>83</v>
      </c>
      <c r="B88">
        <v>0.5</v>
      </c>
      <c r="C88">
        <v>6.8000000000000005E-2</v>
      </c>
      <c r="D88">
        <v>0.28799999999999998</v>
      </c>
    </row>
    <row r="89" spans="1:4" x14ac:dyDescent="0.25">
      <c r="A89" s="1" t="s">
        <v>131</v>
      </c>
      <c r="B89">
        <v>1.5</v>
      </c>
      <c r="C89">
        <f>0.136*1.5</f>
        <v>0.20400000000000001</v>
      </c>
      <c r="D89">
        <v>0.45200000000000001</v>
      </c>
    </row>
    <row r="90" spans="1:4" x14ac:dyDescent="0.25">
      <c r="A90" s="1" t="s">
        <v>132</v>
      </c>
      <c r="B90">
        <v>1</v>
      </c>
      <c r="C90">
        <v>0.13600000000000001</v>
      </c>
      <c r="D90">
        <v>0.38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81F0-6A7B-4FCA-BEA1-3BE3BE604B5B}">
  <sheetPr codeName="Sheet3"/>
  <dimension ref="A1:C65"/>
  <sheetViews>
    <sheetView workbookViewId="0">
      <selection activeCell="H52" sqref="H52"/>
    </sheetView>
  </sheetViews>
  <sheetFormatPr defaultRowHeight="15" x14ac:dyDescent="0.25"/>
  <cols>
    <col min="2" max="2" width="11.85546875" bestFit="1" customWidth="1"/>
  </cols>
  <sheetData>
    <row r="1" spans="1:3" x14ac:dyDescent="0.25">
      <c r="A1" t="s">
        <v>84</v>
      </c>
      <c r="B1" t="s">
        <v>96</v>
      </c>
    </row>
    <row r="2" spans="1:3" x14ac:dyDescent="0.25">
      <c r="A2" t="s">
        <v>51</v>
      </c>
      <c r="B2">
        <v>9.1999999999999998E-2</v>
      </c>
      <c r="C2" t="s">
        <v>276</v>
      </c>
    </row>
    <row r="3" spans="1:3" x14ac:dyDescent="0.25">
      <c r="A3" s="1" t="s">
        <v>37</v>
      </c>
      <c r="B3">
        <v>1.9159999999999999</v>
      </c>
    </row>
    <row r="4" spans="1:3" x14ac:dyDescent="0.25">
      <c r="A4" s="1" t="s">
        <v>38</v>
      </c>
      <c r="B4">
        <v>1.865</v>
      </c>
    </row>
    <row r="5" spans="1:3" x14ac:dyDescent="0.25">
      <c r="A5" s="1" t="s">
        <v>32</v>
      </c>
      <c r="B5">
        <v>1.2190000000000001</v>
      </c>
    </row>
    <row r="6" spans="1:3" x14ac:dyDescent="0.25">
      <c r="A6" s="1" t="s">
        <v>33</v>
      </c>
      <c r="B6">
        <v>0.93200000000000005</v>
      </c>
    </row>
    <row r="7" spans="1:3" x14ac:dyDescent="0.25">
      <c r="A7" s="1" t="s">
        <v>41</v>
      </c>
      <c r="B7">
        <v>0.39400000000000002</v>
      </c>
    </row>
    <row r="8" spans="1:3" x14ac:dyDescent="0.25">
      <c r="A8" s="1" t="s">
        <v>42</v>
      </c>
      <c r="B8">
        <v>0.36199999999999999</v>
      </c>
    </row>
    <row r="9" spans="1:3" x14ac:dyDescent="0.25">
      <c r="A9" s="1" t="s">
        <v>35</v>
      </c>
      <c r="B9">
        <v>0.6</v>
      </c>
    </row>
    <row r="10" spans="1:3" x14ac:dyDescent="0.25">
      <c r="A10" s="1" t="s">
        <v>43</v>
      </c>
      <c r="B10">
        <v>0.89200000000000002</v>
      </c>
    </row>
    <row r="11" spans="1:3" x14ac:dyDescent="0.25">
      <c r="A11" s="1" t="s">
        <v>39</v>
      </c>
      <c r="B11">
        <v>1.879</v>
      </c>
    </row>
    <row r="12" spans="1:3" x14ac:dyDescent="0.25">
      <c r="A12" s="1" t="s">
        <v>34</v>
      </c>
      <c r="B12">
        <v>0.76700000000000002</v>
      </c>
    </row>
    <row r="13" spans="1:3" x14ac:dyDescent="0.25">
      <c r="A13" s="1" t="s">
        <v>36</v>
      </c>
      <c r="B13">
        <v>0.53300000000000003</v>
      </c>
    </row>
    <row r="14" spans="1:3" x14ac:dyDescent="0.25">
      <c r="A14" s="1" t="s">
        <v>40</v>
      </c>
      <c r="B14">
        <v>0.32400000000000001</v>
      </c>
    </row>
    <row r="15" spans="1:3" x14ac:dyDescent="0.25">
      <c r="A15" s="1" t="s">
        <v>128</v>
      </c>
      <c r="B15">
        <v>9.5000000000000001E-2</v>
      </c>
    </row>
    <row r="16" spans="1:3" x14ac:dyDescent="0.25">
      <c r="A16" t="s">
        <v>123</v>
      </c>
      <c r="B16">
        <v>0.39400000000000002</v>
      </c>
    </row>
    <row r="17" spans="1:2" x14ac:dyDescent="0.25">
      <c r="A17" t="s">
        <v>124</v>
      </c>
      <c r="B17">
        <v>0.37</v>
      </c>
    </row>
    <row r="18" spans="1:2" x14ac:dyDescent="0.25">
      <c r="A18" t="s">
        <v>107</v>
      </c>
      <c r="B18">
        <v>9.5000000000000001E-2</v>
      </c>
    </row>
    <row r="19" spans="1:2" x14ac:dyDescent="0.25">
      <c r="A19" t="s">
        <v>109</v>
      </c>
      <c r="B19">
        <v>9.7000000000000003E-2</v>
      </c>
    </row>
    <row r="20" spans="1:2" x14ac:dyDescent="0.25">
      <c r="A20" t="s">
        <v>98</v>
      </c>
      <c r="B20">
        <v>9.4E-2</v>
      </c>
    </row>
    <row r="21" spans="1:2" x14ac:dyDescent="0.25">
      <c r="A21" t="s">
        <v>105</v>
      </c>
      <c r="B21">
        <v>9.6000000000000002E-2</v>
      </c>
    </row>
    <row r="22" spans="1:2" x14ac:dyDescent="0.25">
      <c r="A22" t="s">
        <v>101</v>
      </c>
      <c r="B22">
        <v>0.10100000000000001</v>
      </c>
    </row>
    <row r="23" spans="1:2" x14ac:dyDescent="0.25">
      <c r="A23" t="s">
        <v>97</v>
      </c>
      <c r="B23">
        <v>9.4E-2</v>
      </c>
    </row>
    <row r="24" spans="1:2" x14ac:dyDescent="0.25">
      <c r="A24" t="s">
        <v>113</v>
      </c>
      <c r="B24">
        <v>0.104</v>
      </c>
    </row>
    <row r="25" spans="1:2" x14ac:dyDescent="0.25">
      <c r="A25" t="s">
        <v>115</v>
      </c>
      <c r="B25">
        <v>9.7000000000000003E-2</v>
      </c>
    </row>
    <row r="26" spans="1:2" x14ac:dyDescent="0.25">
      <c r="A26" t="s">
        <v>110</v>
      </c>
      <c r="B26">
        <v>9.4E-2</v>
      </c>
    </row>
    <row r="27" spans="1:2" x14ac:dyDescent="0.25">
      <c r="A27" t="s">
        <v>99</v>
      </c>
      <c r="B27">
        <v>0.106</v>
      </c>
    </row>
    <row r="28" spans="1:2" x14ac:dyDescent="0.25">
      <c r="A28" t="s">
        <v>114</v>
      </c>
      <c r="B28">
        <v>9.4E-2</v>
      </c>
    </row>
    <row r="29" spans="1:2" x14ac:dyDescent="0.25">
      <c r="A29" t="s">
        <v>117</v>
      </c>
      <c r="B29">
        <v>0.126</v>
      </c>
    </row>
    <row r="30" spans="1:2" x14ac:dyDescent="0.25">
      <c r="A30" t="s">
        <v>118</v>
      </c>
      <c r="B30">
        <v>9.4E-2</v>
      </c>
    </row>
    <row r="31" spans="1:2" x14ac:dyDescent="0.25">
      <c r="A31" t="s">
        <v>100</v>
      </c>
      <c r="B31">
        <v>0.113</v>
      </c>
    </row>
    <row r="32" spans="1:2" x14ac:dyDescent="0.25">
      <c r="A32" t="s">
        <v>119</v>
      </c>
      <c r="B32">
        <v>0.13100000000000001</v>
      </c>
    </row>
    <row r="33" spans="1:2" x14ac:dyDescent="0.25">
      <c r="A33" t="s">
        <v>116</v>
      </c>
      <c r="B33">
        <v>0.20399999999999999</v>
      </c>
    </row>
    <row r="34" spans="1:2" x14ac:dyDescent="0.25">
      <c r="A34" t="s">
        <v>111</v>
      </c>
      <c r="B34">
        <v>0.19700000000000001</v>
      </c>
    </row>
    <row r="35" spans="1:2" x14ac:dyDescent="0.25">
      <c r="A35" t="s">
        <v>121</v>
      </c>
      <c r="B35">
        <v>0.21099999999999999</v>
      </c>
    </row>
    <row r="36" spans="1:2" x14ac:dyDescent="0.25">
      <c r="A36" t="s">
        <v>106</v>
      </c>
      <c r="B36">
        <v>0.111</v>
      </c>
    </row>
    <row r="37" spans="1:2" x14ac:dyDescent="0.25">
      <c r="A37" t="s">
        <v>104</v>
      </c>
      <c r="B37">
        <v>0.11899999999999999</v>
      </c>
    </row>
    <row r="38" spans="1:2" x14ac:dyDescent="0.25">
      <c r="A38" t="s">
        <v>108</v>
      </c>
      <c r="B38">
        <v>9.4E-2</v>
      </c>
    </row>
    <row r="39" spans="1:2" x14ac:dyDescent="0.25">
      <c r="A39" t="s">
        <v>48</v>
      </c>
      <c r="B39">
        <v>0.104</v>
      </c>
    </row>
    <row r="40" spans="1:2" x14ac:dyDescent="0.25">
      <c r="A40" s="1" t="s">
        <v>127</v>
      </c>
      <c r="B40">
        <v>9.1999999999999998E-2</v>
      </c>
    </row>
    <row r="41" spans="1:2" x14ac:dyDescent="0.25">
      <c r="A41" t="s">
        <v>122</v>
      </c>
      <c r="B41">
        <v>9.4E-2</v>
      </c>
    </row>
    <row r="42" spans="1:2" x14ac:dyDescent="0.25">
      <c r="A42" s="1" t="s">
        <v>125</v>
      </c>
      <c r="B42">
        <v>0.10100000000000001</v>
      </c>
    </row>
    <row r="43" spans="1:2" x14ac:dyDescent="0.25">
      <c r="A43" s="1" t="s">
        <v>126</v>
      </c>
      <c r="B43">
        <v>0.10100000000000001</v>
      </c>
    </row>
    <row r="44" spans="1:2" x14ac:dyDescent="0.25">
      <c r="A44" s="1" t="s">
        <v>58</v>
      </c>
      <c r="B44">
        <v>0.185</v>
      </c>
    </row>
    <row r="45" spans="1:2" x14ac:dyDescent="0.25">
      <c r="A45" s="1" t="s">
        <v>57</v>
      </c>
      <c r="B45">
        <v>0.156</v>
      </c>
    </row>
    <row r="46" spans="1:2" x14ac:dyDescent="0.25">
      <c r="A46" s="1" t="s">
        <v>55</v>
      </c>
      <c r="B46">
        <v>0.159</v>
      </c>
    </row>
    <row r="47" spans="1:2" x14ac:dyDescent="0.25">
      <c r="A47" s="1" t="s">
        <v>56</v>
      </c>
      <c r="B47">
        <v>0.159</v>
      </c>
    </row>
    <row r="48" spans="1:2" x14ac:dyDescent="0.25">
      <c r="A48" t="s">
        <v>53</v>
      </c>
      <c r="B48">
        <v>0.1</v>
      </c>
    </row>
    <row r="49" spans="1:3" x14ac:dyDescent="0.25">
      <c r="A49" t="s">
        <v>54</v>
      </c>
      <c r="B49">
        <v>9.8000000000000004E-2</v>
      </c>
    </row>
    <row r="50" spans="1:3" x14ac:dyDescent="0.25">
      <c r="A50" t="s">
        <v>52</v>
      </c>
      <c r="B50">
        <v>9.2999999999999999E-2</v>
      </c>
      <c r="C50" t="s">
        <v>276</v>
      </c>
    </row>
    <row r="51" spans="1:3" x14ac:dyDescent="0.25">
      <c r="A51" t="s">
        <v>50</v>
      </c>
      <c r="B51">
        <v>9.8000000000000004E-2</v>
      </c>
      <c r="C51" t="s">
        <v>274</v>
      </c>
    </row>
    <row r="52" spans="1:3" x14ac:dyDescent="0.25">
      <c r="A52" t="s">
        <v>49</v>
      </c>
      <c r="B52">
        <v>0.124</v>
      </c>
      <c r="C52" t="s">
        <v>274</v>
      </c>
    </row>
    <row r="53" spans="1:3" x14ac:dyDescent="0.25">
      <c r="A53" t="s">
        <v>103</v>
      </c>
      <c r="B53">
        <v>2.0760000000000001</v>
      </c>
      <c r="C53" t="s">
        <v>274</v>
      </c>
    </row>
    <row r="54" spans="1:3" x14ac:dyDescent="0.25">
      <c r="A54" t="s">
        <v>120</v>
      </c>
      <c r="B54">
        <v>1.53</v>
      </c>
      <c r="C54" t="s">
        <v>263</v>
      </c>
    </row>
    <row r="55" spans="1:3" x14ac:dyDescent="0.25">
      <c r="A55" t="s">
        <v>112</v>
      </c>
      <c r="B55">
        <v>2.7069999999999999</v>
      </c>
      <c r="C55" t="s">
        <v>263</v>
      </c>
    </row>
    <row r="56" spans="1:3" x14ac:dyDescent="0.25">
      <c r="A56" t="s">
        <v>102</v>
      </c>
      <c r="B56">
        <v>3.036</v>
      </c>
      <c r="C56" t="s">
        <v>263</v>
      </c>
    </row>
    <row r="57" spans="1:3" x14ac:dyDescent="0.25">
      <c r="A57" s="1"/>
    </row>
    <row r="58" spans="1:3" x14ac:dyDescent="0.25">
      <c r="A58" s="1"/>
    </row>
    <row r="59" spans="1:3" x14ac:dyDescent="0.25">
      <c r="A59" s="1"/>
    </row>
    <row r="60" spans="1:3" x14ac:dyDescent="0.25">
      <c r="A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</row>
    <row r="64" spans="1:3" x14ac:dyDescent="0.25">
      <c r="A64" s="1"/>
    </row>
    <row r="65" spans="1:1" x14ac:dyDescent="0.25">
      <c r="A65" s="1"/>
    </row>
  </sheetData>
  <sortState xmlns:xlrd2="http://schemas.microsoft.com/office/spreadsheetml/2017/richdata2" ref="A3:B56">
    <sortCondition ref="A3:A5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CD9A-D334-4173-B7EC-58D680D9A562}">
  <sheetPr codeName="Sheet4"/>
  <dimension ref="A1:O81"/>
  <sheetViews>
    <sheetView workbookViewId="0">
      <selection activeCell="F22" sqref="F22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4.140625" customWidth="1"/>
    <col min="4" max="4" width="18.7109375" customWidth="1"/>
    <col min="5" max="5" width="16.140625" customWidth="1"/>
    <col min="6" max="6" width="14.42578125" customWidth="1"/>
    <col min="7" max="7" width="16.85546875" customWidth="1"/>
    <col min="8" max="8" width="14.7109375" customWidth="1"/>
    <col min="10" max="10" width="17.85546875" customWidth="1"/>
    <col min="11" max="12" width="16.28515625" customWidth="1"/>
    <col min="13" max="13" width="11.5703125" customWidth="1"/>
    <col min="14" max="14" width="15.42578125" bestFit="1" customWidth="1"/>
    <col min="15" max="15" width="20.7109375" bestFit="1" customWidth="1"/>
  </cols>
  <sheetData>
    <row r="1" spans="1:15" s="5" customFormat="1" ht="47.25" customHeight="1" x14ac:dyDescent="0.25">
      <c r="A1" s="5" t="s">
        <v>0</v>
      </c>
      <c r="B1" s="5" t="s">
        <v>2</v>
      </c>
      <c r="C1" s="5" t="s">
        <v>1</v>
      </c>
      <c r="D1" s="17" t="s">
        <v>141</v>
      </c>
      <c r="E1" s="17" t="s">
        <v>142</v>
      </c>
      <c r="F1" s="17" t="s">
        <v>143</v>
      </c>
      <c r="G1" s="17" t="s">
        <v>145</v>
      </c>
      <c r="M1" s="5" t="s">
        <v>96</v>
      </c>
      <c r="N1" s="21" t="s">
        <v>280</v>
      </c>
      <c r="O1" s="21" t="s">
        <v>281</v>
      </c>
    </row>
    <row r="2" spans="1:15" s="6" customFormat="1" x14ac:dyDescent="0.25">
      <c r="A2" s="6" t="s">
        <v>4</v>
      </c>
      <c r="B2" s="6">
        <v>0.71372000000000002</v>
      </c>
      <c r="C2" s="6">
        <v>0.77702000000000004</v>
      </c>
      <c r="D2" s="6">
        <f>C2-B2</f>
        <v>6.3300000000000023E-2</v>
      </c>
      <c r="E2" s="6">
        <f>AVERAGE(D2:D11)</f>
        <v>6.2024999999999997E-2</v>
      </c>
      <c r="F2" s="6">
        <v>4.0999999999957737E-4</v>
      </c>
      <c r="G2" s="6">
        <f>AVERAGE(F2:F11)</f>
        <v>2.549999999999386E-4</v>
      </c>
      <c r="K2" s="6" t="s">
        <v>279</v>
      </c>
      <c r="M2" s="6">
        <v>9.7000000000000003E-2</v>
      </c>
      <c r="N2" s="20">
        <f>(0.1123*M2^2)+(0.0398*M2)-0.0049</f>
        <v>1.7230700000000695E-5</v>
      </c>
    </row>
    <row r="3" spans="1:15" s="6" customFormat="1" x14ac:dyDescent="0.25">
      <c r="A3" s="6" t="s">
        <v>5</v>
      </c>
      <c r="B3" s="6">
        <v>0.72397</v>
      </c>
      <c r="C3" s="6">
        <v>0.77785000000000004</v>
      </c>
      <c r="D3" s="6">
        <f t="shared" ref="D3:D65" si="0">C3-B3</f>
        <v>5.3880000000000039E-2</v>
      </c>
      <c r="F3" s="6">
        <v>6.0000000000037801E-4</v>
      </c>
      <c r="G3" s="18">
        <f>AVERAGE(F7,F8,F10,)</f>
        <v>5.2500000000232916E-5</v>
      </c>
      <c r="M3" s="6">
        <v>9.4E-2</v>
      </c>
      <c r="N3" s="20">
        <f t="shared" ref="N3:N5" si="1">(0.1123*M3^2)+(0.0398*M3)-0.0049</f>
        <v>-1.6651719999999978E-4</v>
      </c>
    </row>
    <row r="4" spans="1:15" s="6" customFormat="1" x14ac:dyDescent="0.25">
      <c r="A4" s="6" t="s">
        <v>6</v>
      </c>
      <c r="B4" s="6">
        <v>0.69796000000000002</v>
      </c>
      <c r="C4" s="6">
        <v>0.75749999999999995</v>
      </c>
      <c r="D4" s="6">
        <f t="shared" si="0"/>
        <v>5.9539999999999926E-2</v>
      </c>
      <c r="F4" s="6">
        <v>3.2999999999994145E-4</v>
      </c>
      <c r="M4" s="6">
        <v>9.6000000000000002E-2</v>
      </c>
      <c r="N4" s="20">
        <f t="shared" si="1"/>
        <v>-4.4243200000000302E-5</v>
      </c>
    </row>
    <row r="5" spans="1:15" s="6" customFormat="1" x14ac:dyDescent="0.25">
      <c r="A5" s="6" t="s">
        <v>7</v>
      </c>
      <c r="B5" s="6">
        <v>0.72021000000000002</v>
      </c>
      <c r="C5" s="6">
        <v>0.78508</v>
      </c>
      <c r="D5" s="6">
        <f t="shared" si="0"/>
        <v>6.4869999999999983E-2</v>
      </c>
      <c r="F5" s="6">
        <v>5.3999999999998494E-4</v>
      </c>
      <c r="M5" s="6">
        <v>0.10100000000000001</v>
      </c>
      <c r="N5" s="20">
        <f t="shared" si="1"/>
        <v>2.6537230000000037E-4</v>
      </c>
    </row>
    <row r="6" spans="1:15" s="6" customFormat="1" x14ac:dyDescent="0.25">
      <c r="A6" s="6" t="s">
        <v>78</v>
      </c>
      <c r="D6" s="6">
        <v>6.1469999999999997E-2</v>
      </c>
      <c r="F6" s="18">
        <v>9.9999999999766942E-5</v>
      </c>
    </row>
    <row r="7" spans="1:15" s="6" customFormat="1" x14ac:dyDescent="0.25">
      <c r="A7" s="6" t="s">
        <v>79</v>
      </c>
      <c r="D7" s="6">
        <v>5.459E-2</v>
      </c>
      <c r="F7" s="18">
        <v>6.0000000001281251E-5</v>
      </c>
    </row>
    <row r="8" spans="1:15" s="6" customFormat="1" x14ac:dyDescent="0.25">
      <c r="A8" s="6" t="s">
        <v>80</v>
      </c>
      <c r="D8" s="6">
        <v>6.8699999999999997E-2</v>
      </c>
      <c r="F8" s="18">
        <v>6.9999999999126317E-5</v>
      </c>
    </row>
    <row r="9" spans="1:15" s="6" customFormat="1" ht="14.25" customHeight="1" x14ac:dyDescent="0.25">
      <c r="A9" s="6" t="s">
        <v>81</v>
      </c>
      <c r="D9" s="6">
        <v>6.3899999999999998E-2</v>
      </c>
      <c r="F9" s="18">
        <v>1.5999999999927184E-4</v>
      </c>
    </row>
    <row r="10" spans="1:15" s="6" customFormat="1" ht="14.25" customHeight="1" x14ac:dyDescent="0.25">
      <c r="A10" s="6" t="s">
        <v>82</v>
      </c>
      <c r="D10" s="6">
        <v>5.8950000000000002E-2</v>
      </c>
      <c r="F10" s="18">
        <v>8.0000000000524096E-5</v>
      </c>
    </row>
    <row r="11" spans="1:15" s="6" customFormat="1" x14ac:dyDescent="0.25">
      <c r="A11" s="6" t="s">
        <v>83</v>
      </c>
      <c r="D11" s="6">
        <v>7.1050000000000002E-2</v>
      </c>
      <c r="F11" s="18">
        <v>1.9999999999953388E-4</v>
      </c>
    </row>
    <row r="12" spans="1:15" s="7" customFormat="1" x14ac:dyDescent="0.25">
      <c r="A12" s="7" t="s">
        <v>8</v>
      </c>
      <c r="B12" s="7">
        <v>0.70913000000000004</v>
      </c>
      <c r="C12" s="7">
        <v>0.84338999999999997</v>
      </c>
      <c r="D12" s="7">
        <f t="shared" si="0"/>
        <v>0.13425999999999993</v>
      </c>
      <c r="E12" s="7">
        <f>AVERAGE(D12:D21)</f>
        <v>0.13036300000000001</v>
      </c>
      <c r="F12" s="7">
        <v>0.13255000000000017</v>
      </c>
      <c r="G12" s="7">
        <f>AVERAGE(F12:F21)</f>
        <v>0.12888500000000003</v>
      </c>
      <c r="K12" s="7" t="s">
        <v>278</v>
      </c>
      <c r="M12" s="7">
        <v>9.1999999999999998E-2</v>
      </c>
      <c r="N12" s="7">
        <f>(0.0602*M12^2)+(0.028*M12)-0.0003</f>
        <v>2.7855328000000001E-3</v>
      </c>
    </row>
    <row r="13" spans="1:15" s="7" customFormat="1" x14ac:dyDescent="0.25">
      <c r="A13" s="7" t="s">
        <v>9</v>
      </c>
      <c r="B13" s="7">
        <v>0.70272999999999997</v>
      </c>
      <c r="C13" s="7">
        <v>0.83438999999999997</v>
      </c>
      <c r="D13" s="7">
        <f t="shared" si="0"/>
        <v>0.13166</v>
      </c>
      <c r="F13" s="7">
        <v>0.13009000000000004</v>
      </c>
      <c r="G13" s="7">
        <f>AVERAGE(F14:F19)</f>
        <v>0.127605</v>
      </c>
      <c r="M13" s="7">
        <v>9.4E-2</v>
      </c>
      <c r="N13" s="7">
        <f t="shared" ref="N13:N14" si="2">(0.0602*M13^2)+(0.028*M13)-0.0003</f>
        <v>2.8639272000000001E-3</v>
      </c>
    </row>
    <row r="14" spans="1:15" s="7" customFormat="1" x14ac:dyDescent="0.25">
      <c r="A14" s="7" t="s">
        <v>10</v>
      </c>
      <c r="B14" s="7">
        <v>0.70531999999999995</v>
      </c>
      <c r="C14" s="7">
        <v>0.83381000000000005</v>
      </c>
      <c r="D14" s="7">
        <f t="shared" si="0"/>
        <v>0.1284900000000001</v>
      </c>
      <c r="F14" s="7">
        <v>0.12678000000000011</v>
      </c>
      <c r="G14" s="7">
        <f>AVERAGE(F14,F16,F17,F19)</f>
        <v>0.12666500000000003</v>
      </c>
      <c r="M14" s="7">
        <v>0.10100000000000001</v>
      </c>
      <c r="N14" s="7">
        <f t="shared" si="2"/>
        <v>3.1421002000000002E-3</v>
      </c>
    </row>
    <row r="15" spans="1:15" s="7" customFormat="1" x14ac:dyDescent="0.25">
      <c r="A15" s="7" t="s">
        <v>11</v>
      </c>
      <c r="B15" s="7">
        <v>0.70852000000000004</v>
      </c>
      <c r="C15" s="7">
        <v>0.83969000000000005</v>
      </c>
      <c r="D15" s="7">
        <f t="shared" si="0"/>
        <v>0.13117000000000001</v>
      </c>
      <c r="F15" s="7">
        <v>0.12966999999999995</v>
      </c>
      <c r="M15" s="7">
        <v>0.10100000000000001</v>
      </c>
      <c r="N15" s="7">
        <f>0.0602*M15^2+0.028*M15-0.0003</f>
        <v>3.1421002000000002E-3</v>
      </c>
    </row>
    <row r="16" spans="1:15" s="7" customFormat="1" x14ac:dyDescent="0.25">
      <c r="A16" s="7" t="s">
        <v>72</v>
      </c>
      <c r="D16" s="7">
        <v>0.12803</v>
      </c>
      <c r="F16" s="7">
        <v>0.12644</v>
      </c>
    </row>
    <row r="17" spans="1:15" s="7" customFormat="1" x14ac:dyDescent="0.25">
      <c r="A17" s="7" t="s">
        <v>73</v>
      </c>
      <c r="D17" s="7">
        <v>0.12914</v>
      </c>
      <c r="F17" s="7">
        <v>0.12725</v>
      </c>
    </row>
    <row r="18" spans="1:15" s="7" customFormat="1" x14ac:dyDescent="0.25">
      <c r="A18" s="7" t="s">
        <v>74</v>
      </c>
      <c r="D18" s="7">
        <v>0.12992000000000001</v>
      </c>
      <c r="F18" s="7">
        <v>0.1293</v>
      </c>
    </row>
    <row r="19" spans="1:15" s="7" customFormat="1" x14ac:dyDescent="0.25">
      <c r="A19" s="7" t="s">
        <v>75</v>
      </c>
      <c r="D19" s="7">
        <v>0.12866</v>
      </c>
      <c r="F19" s="7">
        <v>0.12619</v>
      </c>
    </row>
    <row r="20" spans="1:15" s="7" customFormat="1" x14ac:dyDescent="0.25">
      <c r="A20" s="7" t="s">
        <v>76</v>
      </c>
      <c r="D20" s="7">
        <v>0.13169</v>
      </c>
      <c r="F20" s="7">
        <v>0.13059999999999999</v>
      </c>
    </row>
    <row r="21" spans="1:15" s="7" customFormat="1" x14ac:dyDescent="0.25">
      <c r="A21" s="7" t="s">
        <v>77</v>
      </c>
      <c r="D21" s="7">
        <v>0.13061</v>
      </c>
      <c r="F21" s="7">
        <v>0.12998000000000001</v>
      </c>
    </row>
    <row r="22" spans="1:15" s="5" customFormat="1" ht="45" customHeight="1" x14ac:dyDescent="0.25">
      <c r="A22" s="5" t="s">
        <v>0</v>
      </c>
      <c r="B22" s="5" t="s">
        <v>2</v>
      </c>
      <c r="C22" s="17" t="s">
        <v>147</v>
      </c>
      <c r="D22" s="17" t="s">
        <v>140</v>
      </c>
      <c r="F22" s="17" t="s">
        <v>146</v>
      </c>
      <c r="G22" s="17" t="s">
        <v>149</v>
      </c>
      <c r="H22" s="17" t="s">
        <v>150</v>
      </c>
      <c r="I22" s="17" t="s">
        <v>148</v>
      </c>
      <c r="J22" s="17" t="s">
        <v>151</v>
      </c>
      <c r="K22" s="17" t="s">
        <v>277</v>
      </c>
      <c r="L22" s="17" t="s">
        <v>282</v>
      </c>
      <c r="M22" s="5" t="s">
        <v>96</v>
      </c>
      <c r="N22" s="21" t="s">
        <v>280</v>
      </c>
      <c r="O22" s="21" t="s">
        <v>281</v>
      </c>
    </row>
    <row r="23" spans="1:15" s="6" customFormat="1" x14ac:dyDescent="0.25">
      <c r="A23" s="6" t="s">
        <v>30</v>
      </c>
      <c r="B23" s="6">
        <v>0.70782999999999996</v>
      </c>
      <c r="C23" s="6">
        <v>0.77581</v>
      </c>
      <c r="D23" s="6">
        <f t="shared" ref="D23:D54" si="3">C23-B23</f>
        <v>6.798000000000004E-2</v>
      </c>
      <c r="F23" s="6">
        <v>0.70750000000000002</v>
      </c>
      <c r="G23" s="6">
        <v>5.4370799999999999</v>
      </c>
      <c r="H23" s="6">
        <v>5.4371400000000003</v>
      </c>
      <c r="I23" s="6">
        <f t="shared" ref="I23:I54" si="4">H23-G23</f>
        <v>6.0000000000393072E-5</v>
      </c>
      <c r="J23" s="18">
        <f>I23-G$3</f>
        <v>7.5000000001601563E-6</v>
      </c>
      <c r="K23" s="6">
        <v>100</v>
      </c>
      <c r="L23" s="6">
        <f>K23/1000</f>
        <v>0.1</v>
      </c>
      <c r="M23" s="6">
        <v>9.4E-2</v>
      </c>
      <c r="N23" s="20">
        <f>(0.1123*M23^2)+(0.0398*M23)-0.0049</f>
        <v>-1.6651719999999978E-4</v>
      </c>
      <c r="O23" s="6">
        <f>N23/L23</f>
        <v>-1.6651719999999978E-3</v>
      </c>
    </row>
    <row r="24" spans="1:15" s="6" customFormat="1" x14ac:dyDescent="0.25">
      <c r="A24" s="6" t="s">
        <v>19</v>
      </c>
      <c r="B24" s="6">
        <v>0.70326999999999995</v>
      </c>
      <c r="C24" s="6">
        <v>0.77983999999999998</v>
      </c>
      <c r="D24" s="6">
        <f t="shared" si="3"/>
        <v>7.6570000000000027E-2</v>
      </c>
      <c r="F24" s="6">
        <v>0.70374000000000003</v>
      </c>
      <c r="G24" s="6">
        <v>5.3822700000000001</v>
      </c>
      <c r="H24" s="6">
        <v>5.3826900000000002</v>
      </c>
      <c r="I24" s="6">
        <f t="shared" si="4"/>
        <v>4.2000000000008697E-4</v>
      </c>
      <c r="J24" s="6">
        <f t="shared" ref="J24:J29" si="5">I24-G$2</f>
        <v>1.6500000000014837E-4</v>
      </c>
      <c r="K24" s="6">
        <v>110</v>
      </c>
      <c r="L24" s="6">
        <f t="shared" ref="L24:L42" si="6">K24/1000</f>
        <v>0.11</v>
      </c>
      <c r="M24" s="6">
        <v>0.104</v>
      </c>
      <c r="N24" s="20">
        <f t="shared" ref="N24:N42" si="7">(0.1123*M24^2)+(0.0398*M24)-0.0049</f>
        <v>4.5383680000000027E-4</v>
      </c>
      <c r="O24" s="6">
        <f t="shared" ref="O24:O42" si="8">N24/L24</f>
        <v>4.1257890909090931E-3</v>
      </c>
    </row>
    <row r="25" spans="1:15" s="6" customFormat="1" x14ac:dyDescent="0.25">
      <c r="A25" s="6" t="s">
        <v>13</v>
      </c>
      <c r="B25" s="6">
        <v>0.69008999999999998</v>
      </c>
      <c r="C25" s="6">
        <v>0.75199000000000005</v>
      </c>
      <c r="D25" s="6">
        <f t="shared" si="3"/>
        <v>6.1900000000000066E-2</v>
      </c>
      <c r="F25" s="6">
        <v>0.68972999999999995</v>
      </c>
      <c r="G25" s="6">
        <v>5.3943899999999996</v>
      </c>
      <c r="H25" s="6">
        <v>5.3946500000000004</v>
      </c>
      <c r="I25" s="6">
        <f t="shared" si="4"/>
        <v>2.6000000000081513E-4</v>
      </c>
      <c r="J25" s="6">
        <f t="shared" si="5"/>
        <v>5.0000000008765364E-6</v>
      </c>
      <c r="K25" s="6">
        <v>120</v>
      </c>
      <c r="L25" s="6">
        <f t="shared" si="6"/>
        <v>0.12</v>
      </c>
      <c r="M25" s="6">
        <v>9.7000000000000003E-2</v>
      </c>
      <c r="N25" s="20">
        <f t="shared" si="7"/>
        <v>1.7230700000000695E-5</v>
      </c>
      <c r="O25" s="6">
        <f t="shared" si="8"/>
        <v>1.4358916666667247E-4</v>
      </c>
    </row>
    <row r="26" spans="1:15" s="6" customFormat="1" x14ac:dyDescent="0.25">
      <c r="A26" s="6" t="s">
        <v>27</v>
      </c>
      <c r="B26" s="6">
        <v>0.71331999999999995</v>
      </c>
      <c r="C26" s="6">
        <v>0.78390000000000004</v>
      </c>
      <c r="D26" s="6">
        <f t="shared" si="3"/>
        <v>7.0580000000000087E-2</v>
      </c>
      <c r="F26" s="6">
        <v>0.71657999999999999</v>
      </c>
      <c r="G26" s="6">
        <v>5.4470400000000003</v>
      </c>
      <c r="H26" s="6">
        <v>5.4475199999999999</v>
      </c>
      <c r="I26" s="6">
        <f t="shared" si="4"/>
        <v>4.7999999999959186E-4</v>
      </c>
      <c r="J26" s="6">
        <f t="shared" si="5"/>
        <v>2.2499999999965327E-4</v>
      </c>
      <c r="K26" s="6">
        <v>110</v>
      </c>
      <c r="L26" s="6">
        <f t="shared" si="6"/>
        <v>0.11</v>
      </c>
      <c r="M26" s="6">
        <v>9.4E-2</v>
      </c>
      <c r="N26" s="20">
        <f t="shared" si="7"/>
        <v>-1.6651719999999978E-4</v>
      </c>
      <c r="O26" s="6">
        <f t="shared" si="8"/>
        <v>-1.5137927272727252E-3</v>
      </c>
    </row>
    <row r="27" spans="1:15" s="6" customFormat="1" x14ac:dyDescent="0.25">
      <c r="A27" s="6" t="s">
        <v>29</v>
      </c>
      <c r="B27" s="6">
        <v>0.74416000000000004</v>
      </c>
      <c r="C27" s="6">
        <v>0.82121</v>
      </c>
      <c r="D27" s="6">
        <f t="shared" si="3"/>
        <v>7.7049999999999952E-2</v>
      </c>
      <c r="F27" s="6">
        <v>0.74475000000000002</v>
      </c>
      <c r="G27" s="6">
        <v>5.4485400000000004</v>
      </c>
      <c r="H27" s="6">
        <v>5.4491100000000001</v>
      </c>
      <c r="I27" s="6">
        <f t="shared" si="4"/>
        <v>5.6999999999973738E-4</v>
      </c>
      <c r="J27" s="6">
        <f t="shared" si="5"/>
        <v>3.1499999999979879E-4</v>
      </c>
      <c r="K27" s="6">
        <v>120</v>
      </c>
      <c r="L27" s="6">
        <f t="shared" si="6"/>
        <v>0.12</v>
      </c>
      <c r="M27" s="6">
        <v>0.106</v>
      </c>
      <c r="N27" s="20">
        <f t="shared" si="7"/>
        <v>5.8060279999999978E-4</v>
      </c>
      <c r="O27" s="6">
        <f t="shared" si="8"/>
        <v>4.8383566666666648E-3</v>
      </c>
    </row>
    <row r="28" spans="1:15" s="6" customFormat="1" x14ac:dyDescent="0.25">
      <c r="A28" s="6" t="s">
        <v>18</v>
      </c>
      <c r="B28" s="6">
        <v>0.70060999999999996</v>
      </c>
      <c r="C28" s="6">
        <v>0.76356000000000002</v>
      </c>
      <c r="D28" s="6">
        <f t="shared" si="3"/>
        <v>6.2950000000000061E-2</v>
      </c>
      <c r="F28" s="6">
        <v>0.70015000000000005</v>
      </c>
      <c r="G28" s="6">
        <v>5.48447</v>
      </c>
      <c r="H28" s="6">
        <v>5.4848400000000002</v>
      </c>
      <c r="I28" s="6">
        <f t="shared" si="4"/>
        <v>3.700000000002035E-4</v>
      </c>
      <c r="J28" s="6">
        <f t="shared" si="5"/>
        <v>1.150000000002649E-4</v>
      </c>
      <c r="K28" s="6">
        <v>100</v>
      </c>
      <c r="L28" s="6">
        <f t="shared" si="6"/>
        <v>0.1</v>
      </c>
      <c r="M28" s="6">
        <v>9.4E-2</v>
      </c>
      <c r="N28" s="20">
        <f t="shared" si="7"/>
        <v>-1.6651719999999978E-4</v>
      </c>
      <c r="O28" s="6">
        <f t="shared" si="8"/>
        <v>-1.6651719999999978E-3</v>
      </c>
    </row>
    <row r="29" spans="1:15" s="6" customFormat="1" x14ac:dyDescent="0.25">
      <c r="A29" s="6" t="s">
        <v>14</v>
      </c>
      <c r="B29" s="6">
        <v>0.70857000000000003</v>
      </c>
      <c r="C29" s="6">
        <v>0.78686</v>
      </c>
      <c r="D29" s="6">
        <f t="shared" si="3"/>
        <v>7.8289999999999971E-2</v>
      </c>
      <c r="F29" s="6">
        <v>0.70984999999999998</v>
      </c>
      <c r="G29" s="6">
        <v>5.4087500000000004</v>
      </c>
      <c r="H29" s="6">
        <v>5.4100700000000002</v>
      </c>
      <c r="I29" s="6">
        <f t="shared" si="4"/>
        <v>1.3199999999997658E-3</v>
      </c>
      <c r="J29" s="6">
        <f t="shared" si="5"/>
        <v>1.0649999999998272E-3</v>
      </c>
      <c r="K29" s="6">
        <v>120</v>
      </c>
      <c r="L29" s="6">
        <f t="shared" si="6"/>
        <v>0.12</v>
      </c>
      <c r="M29" s="6">
        <v>0.126</v>
      </c>
      <c r="N29" s="20">
        <f t="shared" si="7"/>
        <v>1.8976748000000005E-3</v>
      </c>
      <c r="O29" s="6">
        <f t="shared" si="8"/>
        <v>1.581395666666667E-2</v>
      </c>
    </row>
    <row r="30" spans="1:15" s="6" customFormat="1" x14ac:dyDescent="0.25">
      <c r="A30" s="6" t="s">
        <v>17</v>
      </c>
      <c r="B30" s="6">
        <v>0.70518999999999998</v>
      </c>
      <c r="C30" s="6">
        <v>0.76787000000000005</v>
      </c>
      <c r="D30" s="6">
        <f t="shared" si="3"/>
        <v>6.2680000000000069E-2</v>
      </c>
      <c r="F30" s="6">
        <v>0.70508000000000004</v>
      </c>
      <c r="G30" s="6">
        <v>5.4463299999999997</v>
      </c>
      <c r="H30" s="6">
        <v>5.4465599999999998</v>
      </c>
      <c r="I30" s="6">
        <f t="shared" si="4"/>
        <v>2.3000000000017451E-4</v>
      </c>
      <c r="J30" s="18">
        <f>I30-G$3</f>
        <v>1.7749999999994159E-4</v>
      </c>
      <c r="K30" s="6">
        <v>105</v>
      </c>
      <c r="L30" s="6">
        <f t="shared" si="6"/>
        <v>0.105</v>
      </c>
      <c r="M30" s="6">
        <v>9.4E-2</v>
      </c>
      <c r="N30" s="20">
        <f t="shared" si="7"/>
        <v>-1.6651719999999978E-4</v>
      </c>
      <c r="O30" s="6">
        <f t="shared" si="8"/>
        <v>-1.5858780952380932E-3</v>
      </c>
    </row>
    <row r="31" spans="1:15" s="6" customFormat="1" x14ac:dyDescent="0.25">
      <c r="A31" s="6" t="s">
        <v>28</v>
      </c>
      <c r="B31" s="6">
        <v>0.71799999999999997</v>
      </c>
      <c r="C31" s="6">
        <v>0.78295000000000003</v>
      </c>
      <c r="D31" s="6">
        <f t="shared" si="3"/>
        <v>6.4950000000000063E-2</v>
      </c>
      <c r="F31" s="6">
        <v>0.71847000000000005</v>
      </c>
      <c r="G31" s="6">
        <v>5.4569599999999996</v>
      </c>
      <c r="H31" s="6">
        <v>5.4582199999999998</v>
      </c>
      <c r="I31" s="6">
        <f t="shared" si="4"/>
        <v>1.2600000000002609E-3</v>
      </c>
      <c r="J31" s="6">
        <f t="shared" ref="J31:J42" si="9">I31-G$2</f>
        <v>1.0050000000003223E-3</v>
      </c>
      <c r="K31" s="6">
        <v>110</v>
      </c>
      <c r="L31" s="6">
        <f t="shared" si="6"/>
        <v>0.11</v>
      </c>
      <c r="M31" s="6">
        <v>0.113</v>
      </c>
      <c r="N31" s="20">
        <f t="shared" si="7"/>
        <v>1.0313587000000003E-3</v>
      </c>
      <c r="O31" s="6">
        <f t="shared" si="8"/>
        <v>9.3759881818181838E-3</v>
      </c>
    </row>
    <row r="32" spans="1:15" s="6" customFormat="1" x14ac:dyDescent="0.25">
      <c r="A32" s="6" t="s">
        <v>24</v>
      </c>
      <c r="B32" s="6">
        <v>0.72031999999999996</v>
      </c>
      <c r="C32" s="6">
        <v>0.79615000000000002</v>
      </c>
      <c r="D32" s="6">
        <f t="shared" si="3"/>
        <v>7.5830000000000064E-2</v>
      </c>
      <c r="F32" s="6">
        <v>0.72167000000000003</v>
      </c>
      <c r="G32" s="6">
        <v>5.4288400000000001</v>
      </c>
      <c r="H32" s="6">
        <v>5.4301300000000001</v>
      </c>
      <c r="I32" s="6">
        <f t="shared" si="4"/>
        <v>1.2900000000000134E-3</v>
      </c>
      <c r="J32" s="6">
        <f t="shared" si="9"/>
        <v>1.0350000000000747E-3</v>
      </c>
      <c r="K32" s="6">
        <v>105</v>
      </c>
      <c r="L32" s="6">
        <f t="shared" si="6"/>
        <v>0.105</v>
      </c>
      <c r="M32" s="6">
        <v>0.13100000000000001</v>
      </c>
      <c r="N32" s="20">
        <f t="shared" si="7"/>
        <v>2.2409803000000006E-3</v>
      </c>
      <c r="O32" s="6">
        <f t="shared" si="8"/>
        <v>2.1342669523809529E-2</v>
      </c>
    </row>
    <row r="33" spans="1:15" s="6" customFormat="1" x14ac:dyDescent="0.25">
      <c r="A33" s="6" t="s">
        <v>31</v>
      </c>
      <c r="B33" s="6">
        <v>0.69952999999999999</v>
      </c>
      <c r="C33" s="6">
        <v>0.77066999999999997</v>
      </c>
      <c r="D33" s="6">
        <f t="shared" si="3"/>
        <v>7.1139999999999981E-2</v>
      </c>
      <c r="F33" s="6">
        <v>0.70182999999999995</v>
      </c>
      <c r="G33" s="6">
        <v>5.5442200000000001</v>
      </c>
      <c r="H33" s="6">
        <v>5.54596</v>
      </c>
      <c r="I33" s="6">
        <f t="shared" si="4"/>
        <v>1.7399999999998528E-3</v>
      </c>
      <c r="J33" s="6">
        <f t="shared" si="9"/>
        <v>1.4849999999999141E-3</v>
      </c>
      <c r="K33" s="6">
        <v>110</v>
      </c>
      <c r="L33" s="6">
        <f t="shared" si="6"/>
        <v>0.11</v>
      </c>
      <c r="M33" s="6">
        <v>0.20399999999999999</v>
      </c>
      <c r="N33" s="20">
        <f t="shared" si="7"/>
        <v>7.8926767999999998E-3</v>
      </c>
      <c r="O33" s="6">
        <f t="shared" si="8"/>
        <v>7.1751607272727266E-2</v>
      </c>
    </row>
    <row r="34" spans="1:15" s="6" customFormat="1" x14ac:dyDescent="0.25">
      <c r="A34" s="6" t="s">
        <v>16</v>
      </c>
      <c r="B34" s="6">
        <v>0.69145000000000001</v>
      </c>
      <c r="C34" s="6">
        <v>0.78317000000000003</v>
      </c>
      <c r="D34" s="6">
        <f t="shared" si="3"/>
        <v>9.1720000000000024E-2</v>
      </c>
      <c r="F34" s="6">
        <v>0.69403999999999999</v>
      </c>
      <c r="G34" s="6">
        <v>5.5357900000000004</v>
      </c>
      <c r="H34" s="6">
        <v>5.5363800000000003</v>
      </c>
      <c r="I34" s="6">
        <f t="shared" si="4"/>
        <v>5.8999999999986841E-4</v>
      </c>
      <c r="J34" s="6">
        <f t="shared" si="9"/>
        <v>3.3499999999992981E-4</v>
      </c>
      <c r="K34" s="6">
        <v>110</v>
      </c>
      <c r="L34" s="6">
        <f t="shared" si="6"/>
        <v>0.11</v>
      </c>
      <c r="M34" s="6">
        <v>0.19700000000000001</v>
      </c>
      <c r="N34" s="20">
        <f t="shared" si="7"/>
        <v>7.2988507000000015E-3</v>
      </c>
      <c r="O34" s="6">
        <f t="shared" si="8"/>
        <v>6.6353188181818193E-2</v>
      </c>
    </row>
    <row r="35" spans="1:15" s="6" customFormat="1" x14ac:dyDescent="0.25">
      <c r="A35" s="6" t="s">
        <v>15</v>
      </c>
      <c r="B35" s="6">
        <v>0.69596000000000002</v>
      </c>
      <c r="C35" s="6">
        <v>0.77188000000000001</v>
      </c>
      <c r="D35" s="6">
        <f t="shared" si="3"/>
        <v>7.5919999999999987E-2</v>
      </c>
      <c r="F35" s="6">
        <v>0.70052999999999999</v>
      </c>
      <c r="G35" s="6">
        <v>5.4323399999999999</v>
      </c>
      <c r="H35" s="6">
        <v>5.4345299999999996</v>
      </c>
      <c r="I35" s="6">
        <f t="shared" si="4"/>
        <v>2.1899999999996922E-3</v>
      </c>
      <c r="J35" s="6">
        <f t="shared" si="9"/>
        <v>1.9349999999997535E-3</v>
      </c>
      <c r="K35" s="6">
        <v>110</v>
      </c>
      <c r="L35" s="6">
        <f t="shared" si="6"/>
        <v>0.11</v>
      </c>
      <c r="M35" s="6">
        <v>0.21099999999999999</v>
      </c>
      <c r="N35" s="20">
        <f t="shared" si="7"/>
        <v>8.4975082999999996E-3</v>
      </c>
      <c r="O35" s="6">
        <f t="shared" si="8"/>
        <v>7.7250075454545444E-2</v>
      </c>
    </row>
    <row r="36" spans="1:15" s="6" customFormat="1" x14ac:dyDescent="0.25">
      <c r="A36" s="6" t="s">
        <v>25</v>
      </c>
      <c r="B36" s="6">
        <v>0.71204999999999996</v>
      </c>
      <c r="C36" s="6">
        <v>0.79098999999999997</v>
      </c>
      <c r="D36" s="6">
        <f t="shared" si="3"/>
        <v>7.894000000000001E-2</v>
      </c>
      <c r="F36" s="6">
        <v>0.71233000000000002</v>
      </c>
      <c r="G36" s="6">
        <v>5.4574100000000003</v>
      </c>
      <c r="H36" s="6">
        <v>5.4582499999999996</v>
      </c>
      <c r="I36" s="6">
        <f t="shared" si="4"/>
        <v>8.3999999999928576E-4</v>
      </c>
      <c r="J36" s="6">
        <f t="shared" si="9"/>
        <v>5.8499999999934711E-4</v>
      </c>
      <c r="K36" s="6">
        <v>110</v>
      </c>
      <c r="L36" s="6">
        <f t="shared" si="6"/>
        <v>0.11</v>
      </c>
      <c r="M36" s="6">
        <v>0.111</v>
      </c>
      <c r="N36" s="20">
        <f t="shared" si="7"/>
        <v>9.0144830000000054E-4</v>
      </c>
      <c r="O36" s="6">
        <f t="shared" si="8"/>
        <v>8.1949845454545502E-3</v>
      </c>
    </row>
    <row r="37" spans="1:15" s="6" customFormat="1" x14ac:dyDescent="0.25">
      <c r="A37" s="6" t="s">
        <v>12</v>
      </c>
      <c r="B37" s="6">
        <v>0.70426</v>
      </c>
      <c r="C37" s="6">
        <v>0.77914000000000005</v>
      </c>
      <c r="D37" s="6">
        <f t="shared" si="3"/>
        <v>7.4880000000000058E-2</v>
      </c>
      <c r="F37" s="6">
        <v>0.70555000000000001</v>
      </c>
      <c r="G37" s="6">
        <v>5.3980199999999998</v>
      </c>
      <c r="H37" s="6">
        <v>5.3992100000000001</v>
      </c>
      <c r="I37" s="6">
        <f t="shared" si="4"/>
        <v>1.1900000000002464E-3</v>
      </c>
      <c r="J37" s="6">
        <f t="shared" si="9"/>
        <v>9.3500000000030776E-4</v>
      </c>
      <c r="K37" s="6">
        <v>115</v>
      </c>
      <c r="L37" s="6">
        <f t="shared" si="6"/>
        <v>0.115</v>
      </c>
      <c r="M37" s="6">
        <v>0.11899999999999999</v>
      </c>
      <c r="N37" s="20">
        <f t="shared" si="7"/>
        <v>1.4264803000000005E-3</v>
      </c>
      <c r="O37" s="6">
        <f t="shared" si="8"/>
        <v>1.2404176521739134E-2</v>
      </c>
    </row>
    <row r="38" spans="1:15" s="6" customFormat="1" x14ac:dyDescent="0.25">
      <c r="A38" s="6" t="s">
        <v>26</v>
      </c>
      <c r="B38" s="6">
        <v>0.70538999999999996</v>
      </c>
      <c r="C38" s="6">
        <v>0.7742</v>
      </c>
      <c r="D38" s="6">
        <f t="shared" si="3"/>
        <v>6.8810000000000038E-2</v>
      </c>
      <c r="F38" s="6">
        <v>0.70509999999999995</v>
      </c>
      <c r="G38" s="6">
        <v>5.4683200000000003</v>
      </c>
      <c r="H38" s="6">
        <v>5.4687700000000001</v>
      </c>
      <c r="I38" s="6">
        <f t="shared" si="4"/>
        <v>4.4999999999983942E-4</v>
      </c>
      <c r="J38" s="6">
        <f t="shared" si="9"/>
        <v>1.9499999999990082E-4</v>
      </c>
      <c r="K38" s="6">
        <v>110</v>
      </c>
      <c r="L38" s="6">
        <f t="shared" si="6"/>
        <v>0.11</v>
      </c>
      <c r="M38" s="6">
        <v>9.4E-2</v>
      </c>
      <c r="N38" s="20">
        <f t="shared" si="7"/>
        <v>-1.6651719999999978E-4</v>
      </c>
      <c r="O38" s="6">
        <f t="shared" si="8"/>
        <v>-1.5137927272727252E-3</v>
      </c>
    </row>
    <row r="39" spans="1:15" s="6" customFormat="1" x14ac:dyDescent="0.25">
      <c r="A39" s="6" t="s">
        <v>20</v>
      </c>
      <c r="B39" s="6">
        <v>0.70672000000000001</v>
      </c>
      <c r="C39" s="6">
        <v>1.1351599999999999</v>
      </c>
      <c r="D39" s="6">
        <f t="shared" si="3"/>
        <v>0.42843999999999993</v>
      </c>
      <c r="F39" s="6">
        <v>1.01264</v>
      </c>
      <c r="G39" s="6">
        <v>5.4600999999999997</v>
      </c>
      <c r="H39" s="6">
        <v>5.7035799999999997</v>
      </c>
      <c r="I39" s="6">
        <f t="shared" si="4"/>
        <v>0.24347999999999992</v>
      </c>
      <c r="J39" s="6">
        <f t="shared" si="9"/>
        <v>0.24322499999999997</v>
      </c>
      <c r="K39" s="6">
        <v>40</v>
      </c>
      <c r="L39" s="6">
        <f t="shared" si="6"/>
        <v>0.04</v>
      </c>
      <c r="M39" s="6">
        <v>2.0760000000000001</v>
      </c>
      <c r="N39" s="20">
        <f t="shared" si="7"/>
        <v>0.56171264480000005</v>
      </c>
      <c r="O39" s="6">
        <f t="shared" si="8"/>
        <v>14.042816120000001</v>
      </c>
    </row>
    <row r="40" spans="1:15" s="6" customFormat="1" x14ac:dyDescent="0.25">
      <c r="A40" s="6" t="s">
        <v>21</v>
      </c>
      <c r="B40" s="6">
        <v>0.70748999999999995</v>
      </c>
      <c r="C40" s="6">
        <v>1.1315599999999999</v>
      </c>
      <c r="D40" s="6">
        <f t="shared" si="3"/>
        <v>0.42406999999999995</v>
      </c>
      <c r="F40" s="6">
        <v>0.96840000000000004</v>
      </c>
      <c r="G40" s="6">
        <v>5.4668599999999996</v>
      </c>
      <c r="H40" s="6">
        <v>5.7186399999999997</v>
      </c>
      <c r="I40" s="6">
        <f t="shared" si="4"/>
        <v>0.25178000000000011</v>
      </c>
      <c r="J40" s="6">
        <f t="shared" si="9"/>
        <v>0.25152500000000017</v>
      </c>
      <c r="K40" s="6">
        <v>25</v>
      </c>
      <c r="L40" s="6">
        <f t="shared" si="6"/>
        <v>2.5000000000000001E-2</v>
      </c>
      <c r="M40" s="6">
        <v>1.53</v>
      </c>
      <c r="N40" s="20">
        <f t="shared" si="7"/>
        <v>0.31887706999999998</v>
      </c>
      <c r="O40" s="6">
        <f t="shared" si="8"/>
        <v>12.755082799999998</v>
      </c>
    </row>
    <row r="41" spans="1:15" s="6" customFormat="1" x14ac:dyDescent="0.25">
      <c r="A41" s="6" t="s">
        <v>22</v>
      </c>
      <c r="B41" s="6">
        <v>0.69632000000000005</v>
      </c>
      <c r="C41" s="6">
        <v>2.3454199999999998</v>
      </c>
      <c r="D41" s="6">
        <f t="shared" si="3"/>
        <v>1.6490999999999998</v>
      </c>
      <c r="F41" s="6">
        <v>2.1224099999999999</v>
      </c>
      <c r="G41" s="6">
        <v>5.54209</v>
      </c>
      <c r="H41" s="6">
        <v>6.9299299999999997</v>
      </c>
      <c r="I41" s="6">
        <f t="shared" si="4"/>
        <v>1.3878399999999997</v>
      </c>
      <c r="J41" s="6">
        <f t="shared" si="9"/>
        <v>1.3875849999999998</v>
      </c>
      <c r="K41" s="6">
        <v>50</v>
      </c>
      <c r="L41" s="6">
        <f t="shared" si="6"/>
        <v>0.05</v>
      </c>
      <c r="M41" s="6">
        <v>2.7069999999999999</v>
      </c>
      <c r="N41" s="20">
        <f t="shared" si="7"/>
        <v>0.92575604269999989</v>
      </c>
      <c r="O41" s="6">
        <f t="shared" si="8"/>
        <v>18.515120853999996</v>
      </c>
    </row>
    <row r="42" spans="1:15" s="6" customFormat="1" x14ac:dyDescent="0.25">
      <c r="A42" s="6" t="s">
        <v>23</v>
      </c>
      <c r="B42" s="6">
        <v>0.71016999999999997</v>
      </c>
      <c r="C42" s="6">
        <v>2.2509000000000001</v>
      </c>
      <c r="D42" s="6">
        <f t="shared" si="3"/>
        <v>1.5407300000000002</v>
      </c>
      <c r="F42" s="6">
        <v>1.9720200000000001</v>
      </c>
      <c r="G42" s="6">
        <v>5.4303299999999997</v>
      </c>
      <c r="H42" s="6">
        <v>6.6592200000000004</v>
      </c>
      <c r="I42" s="6">
        <f t="shared" si="4"/>
        <v>1.2288900000000007</v>
      </c>
      <c r="J42" s="6">
        <f t="shared" si="9"/>
        <v>1.2286350000000008</v>
      </c>
      <c r="K42" s="6">
        <v>30</v>
      </c>
      <c r="L42" s="6">
        <f t="shared" si="6"/>
        <v>0.03</v>
      </c>
      <c r="M42" s="6">
        <v>3.036</v>
      </c>
      <c r="N42" s="20">
        <f t="shared" si="7"/>
        <v>1.1510351408000004</v>
      </c>
      <c r="O42" s="6">
        <f t="shared" si="8"/>
        <v>38.367838026666682</v>
      </c>
    </row>
    <row r="43" spans="1:15" s="7" customFormat="1" x14ac:dyDescent="0.25">
      <c r="A43" s="8" t="s">
        <v>37</v>
      </c>
      <c r="B43" s="7">
        <v>0.70169000000000004</v>
      </c>
      <c r="C43" s="7">
        <v>0.88336000000000003</v>
      </c>
      <c r="D43" s="7">
        <f t="shared" si="3"/>
        <v>0.18167</v>
      </c>
      <c r="F43" s="7">
        <v>0.86319000000000001</v>
      </c>
      <c r="G43" s="7">
        <v>5.53681</v>
      </c>
      <c r="H43" s="7">
        <v>5.69808</v>
      </c>
      <c r="I43" s="7">
        <f t="shared" si="4"/>
        <v>0.16127000000000002</v>
      </c>
      <c r="J43" s="7">
        <f t="shared" ref="J43:J54" si="10">I43-G$12</f>
        <v>3.2384999999999997E-2</v>
      </c>
      <c r="K43" s="7">
        <v>230</v>
      </c>
      <c r="L43" s="7">
        <f>K43/1000</f>
        <v>0.23</v>
      </c>
      <c r="M43" s="7">
        <v>1.9159999999999999</v>
      </c>
      <c r="N43" s="7">
        <f>(0.0602*M43^2)+(0.028*M43)-0.0003</f>
        <v>0.27434557119999997</v>
      </c>
      <c r="O43" s="7">
        <f>N43/L43</f>
        <v>1.1928068313043476</v>
      </c>
    </row>
    <row r="44" spans="1:15" s="7" customFormat="1" x14ac:dyDescent="0.25">
      <c r="A44" s="8" t="s">
        <v>38</v>
      </c>
      <c r="B44" s="7">
        <v>0.70804</v>
      </c>
      <c r="C44" s="7">
        <v>0.88553999999999999</v>
      </c>
      <c r="D44" s="7">
        <f t="shared" si="3"/>
        <v>0.17749999999999999</v>
      </c>
      <c r="F44" s="7">
        <v>0.872</v>
      </c>
      <c r="G44" s="7">
        <v>5.5339999999999998</v>
      </c>
      <c r="H44" s="7">
        <v>5.7048800000000002</v>
      </c>
      <c r="I44" s="7">
        <f t="shared" si="4"/>
        <v>0.17088000000000036</v>
      </c>
      <c r="J44" s="7">
        <f t="shared" si="10"/>
        <v>4.1995000000000338E-2</v>
      </c>
      <c r="K44" s="7">
        <v>160</v>
      </c>
      <c r="L44" s="7">
        <f t="shared" ref="L44:L54" si="11">K44/1000</f>
        <v>0.16</v>
      </c>
      <c r="M44" s="7">
        <v>1.865</v>
      </c>
      <c r="N44" s="7">
        <f t="shared" ref="N44:N54" si="12">(0.0602*M44^2)+(0.028*M44)-0.0003</f>
        <v>0.26130914499999996</v>
      </c>
      <c r="O44" s="7">
        <f t="shared" ref="O44:O54" si="13">N44/L44</f>
        <v>1.6331821562499997</v>
      </c>
    </row>
    <row r="45" spans="1:15" s="7" customFormat="1" x14ac:dyDescent="0.25">
      <c r="A45" s="8" t="s">
        <v>32</v>
      </c>
      <c r="B45" s="7">
        <v>0.69603000000000004</v>
      </c>
      <c r="C45" s="7">
        <v>0.84953000000000001</v>
      </c>
      <c r="D45" s="7">
        <f t="shared" si="3"/>
        <v>0.15349999999999997</v>
      </c>
      <c r="F45" s="7">
        <v>0.84265000000000001</v>
      </c>
      <c r="G45" s="7">
        <v>5.4278000000000004</v>
      </c>
      <c r="H45" s="7">
        <v>5.5750999999999999</v>
      </c>
      <c r="I45" s="7">
        <f t="shared" si="4"/>
        <v>0.14729999999999954</v>
      </c>
      <c r="J45" s="7">
        <f t="shared" si="10"/>
        <v>1.8414999999999515E-2</v>
      </c>
      <c r="K45" s="7">
        <v>160</v>
      </c>
      <c r="L45" s="7">
        <f t="shared" si="11"/>
        <v>0.16</v>
      </c>
      <c r="M45" s="7">
        <v>1.2190000000000001</v>
      </c>
      <c r="N45" s="7">
        <f t="shared" si="12"/>
        <v>0.12328685220000002</v>
      </c>
      <c r="O45" s="7">
        <f t="shared" si="13"/>
        <v>0.77054282625000015</v>
      </c>
    </row>
    <row r="46" spans="1:15" s="7" customFormat="1" x14ac:dyDescent="0.25">
      <c r="A46" s="8" t="s">
        <v>33</v>
      </c>
      <c r="B46" s="7">
        <v>0.72333000000000003</v>
      </c>
      <c r="C46" s="7">
        <v>0.86938000000000004</v>
      </c>
      <c r="D46" s="7">
        <f t="shared" si="3"/>
        <v>0.14605000000000001</v>
      </c>
      <c r="F46" s="7">
        <v>0.86358000000000001</v>
      </c>
      <c r="G46" s="7">
        <v>5.4294200000000004</v>
      </c>
      <c r="H46" s="7">
        <v>5.5702199999999999</v>
      </c>
      <c r="I46" s="7">
        <f t="shared" si="4"/>
        <v>0.14079999999999959</v>
      </c>
      <c r="J46" s="7">
        <f t="shared" si="10"/>
        <v>1.1914999999999565E-2</v>
      </c>
      <c r="K46" s="7">
        <v>155</v>
      </c>
      <c r="L46" s="7">
        <f t="shared" si="11"/>
        <v>0.155</v>
      </c>
      <c r="M46" s="7">
        <v>0.93200000000000005</v>
      </c>
      <c r="N46" s="7">
        <f t="shared" si="12"/>
        <v>7.8087164799999997E-2</v>
      </c>
      <c r="O46" s="7">
        <f t="shared" si="13"/>
        <v>0.50378816000000004</v>
      </c>
    </row>
    <row r="47" spans="1:15" s="7" customFormat="1" x14ac:dyDescent="0.25">
      <c r="A47" s="8" t="s">
        <v>41</v>
      </c>
      <c r="B47" s="7">
        <v>0.70354000000000005</v>
      </c>
      <c r="C47" s="7">
        <v>0.83914</v>
      </c>
      <c r="D47" s="7">
        <f t="shared" si="3"/>
        <v>0.13559999999999994</v>
      </c>
      <c r="F47" s="7">
        <v>0.83599999999999997</v>
      </c>
      <c r="G47" s="7">
        <v>5.4778799999999999</v>
      </c>
      <c r="H47" s="7">
        <v>5.6109</v>
      </c>
      <c r="I47" s="7">
        <f t="shared" si="4"/>
        <v>0.13302000000000014</v>
      </c>
      <c r="J47" s="7">
        <f t="shared" si="10"/>
        <v>4.1350000000001108E-3</v>
      </c>
      <c r="K47" s="7">
        <v>210</v>
      </c>
      <c r="L47" s="7">
        <f t="shared" si="11"/>
        <v>0.21</v>
      </c>
      <c r="M47" s="7">
        <v>0.39400000000000002</v>
      </c>
      <c r="N47" s="7">
        <f t="shared" si="12"/>
        <v>2.0077207199999999E-2</v>
      </c>
      <c r="O47" s="7">
        <f t="shared" si="13"/>
        <v>9.5605748571428575E-2</v>
      </c>
    </row>
    <row r="48" spans="1:15" s="7" customFormat="1" x14ac:dyDescent="0.25">
      <c r="A48" s="8" t="s">
        <v>42</v>
      </c>
      <c r="B48" s="7">
        <v>0.70948</v>
      </c>
      <c r="C48" s="7">
        <v>0.84423000000000004</v>
      </c>
      <c r="D48" s="7">
        <f t="shared" si="3"/>
        <v>0.13475000000000004</v>
      </c>
      <c r="F48" s="7">
        <v>0.84101999999999999</v>
      </c>
      <c r="G48" s="7">
        <v>5.39377</v>
      </c>
      <c r="H48" s="7">
        <v>5.5260100000000003</v>
      </c>
      <c r="I48" s="7">
        <f t="shared" si="4"/>
        <v>0.13224000000000036</v>
      </c>
      <c r="J48" s="7">
        <f t="shared" si="10"/>
        <v>3.3550000000003299E-3</v>
      </c>
      <c r="K48" s="7">
        <v>250</v>
      </c>
      <c r="L48" s="7">
        <f t="shared" si="11"/>
        <v>0.25</v>
      </c>
      <c r="M48" s="7">
        <v>0.36199999999999999</v>
      </c>
      <c r="N48" s="7">
        <f t="shared" si="12"/>
        <v>1.7724848799999998E-2</v>
      </c>
      <c r="O48" s="7">
        <f t="shared" si="13"/>
        <v>7.0899395199999993E-2</v>
      </c>
    </row>
    <row r="49" spans="1:15" s="7" customFormat="1" x14ac:dyDescent="0.25">
      <c r="A49" s="8" t="s">
        <v>35</v>
      </c>
      <c r="B49" s="7">
        <v>0.72323000000000004</v>
      </c>
      <c r="C49" s="7">
        <v>0.86016999999999999</v>
      </c>
      <c r="D49" s="7">
        <f t="shared" si="3"/>
        <v>0.13693999999999995</v>
      </c>
      <c r="F49" s="7">
        <v>0.85543999999999998</v>
      </c>
      <c r="G49" s="7">
        <v>5.4521499999999996</v>
      </c>
      <c r="H49" s="7">
        <v>5.5846299999999998</v>
      </c>
      <c r="I49" s="7">
        <f t="shared" si="4"/>
        <v>0.13248000000000015</v>
      </c>
      <c r="J49" s="7">
        <f t="shared" si="10"/>
        <v>3.5950000000001259E-3</v>
      </c>
      <c r="K49" s="7">
        <v>250</v>
      </c>
      <c r="L49" s="7">
        <f t="shared" si="11"/>
        <v>0.25</v>
      </c>
      <c r="M49" s="7">
        <v>0.6</v>
      </c>
      <c r="N49" s="7">
        <f t="shared" si="12"/>
        <v>3.8171999999999991E-2</v>
      </c>
      <c r="O49" s="7">
        <f t="shared" si="13"/>
        <v>0.15268799999999996</v>
      </c>
    </row>
    <row r="50" spans="1:15" s="7" customFormat="1" x14ac:dyDescent="0.25">
      <c r="A50" s="8" t="s">
        <v>43</v>
      </c>
      <c r="B50" s="7">
        <v>0.71079000000000003</v>
      </c>
      <c r="C50" s="7">
        <v>0.85568</v>
      </c>
      <c r="D50" s="7">
        <f t="shared" si="3"/>
        <v>0.14488999999999996</v>
      </c>
      <c r="F50" s="7">
        <v>0.84643500000000005</v>
      </c>
      <c r="G50" s="7">
        <v>5.54542</v>
      </c>
      <c r="H50" s="7">
        <v>5.6845499999999998</v>
      </c>
      <c r="I50" s="7">
        <f t="shared" si="4"/>
        <v>0.13912999999999975</v>
      </c>
      <c r="J50" s="7">
        <f t="shared" si="10"/>
        <v>1.0244999999999727E-2</v>
      </c>
      <c r="K50" s="7">
        <v>260</v>
      </c>
      <c r="L50" s="7">
        <f t="shared" si="11"/>
        <v>0.26</v>
      </c>
      <c r="M50" s="7">
        <v>0.89200000000000002</v>
      </c>
      <c r="N50" s="7">
        <f t="shared" si="12"/>
        <v>7.2574972800000012E-2</v>
      </c>
      <c r="O50" s="7">
        <f t="shared" si="13"/>
        <v>0.27913451076923079</v>
      </c>
    </row>
    <row r="51" spans="1:15" s="7" customFormat="1" x14ac:dyDescent="0.25">
      <c r="A51" s="8" t="s">
        <v>39</v>
      </c>
      <c r="B51" s="7">
        <v>0.71448</v>
      </c>
      <c r="C51" s="7">
        <v>0.89122999999999997</v>
      </c>
      <c r="D51" s="7">
        <f t="shared" si="3"/>
        <v>0.17674999999999996</v>
      </c>
      <c r="F51" s="7">
        <v>0.87746999999999997</v>
      </c>
      <c r="G51" s="7">
        <v>5.4532800000000003</v>
      </c>
      <c r="H51" s="7">
        <v>5.6165000000000003</v>
      </c>
      <c r="I51" s="7">
        <f t="shared" si="4"/>
        <v>0.16321999999999992</v>
      </c>
      <c r="J51" s="7">
        <f t="shared" si="10"/>
        <v>3.4334999999999893E-2</v>
      </c>
      <c r="K51" s="7">
        <v>160</v>
      </c>
      <c r="L51" s="7">
        <f t="shared" si="11"/>
        <v>0.16</v>
      </c>
      <c r="M51" s="7">
        <v>1.879</v>
      </c>
      <c r="N51" s="7">
        <f t="shared" si="12"/>
        <v>0.26485658819999996</v>
      </c>
      <c r="O51" s="7">
        <f t="shared" si="13"/>
        <v>1.6553536762499999</v>
      </c>
    </row>
    <row r="52" spans="1:15" s="7" customFormat="1" x14ac:dyDescent="0.25">
      <c r="A52" s="8" t="s">
        <v>34</v>
      </c>
      <c r="B52" s="7">
        <v>0.72474000000000005</v>
      </c>
      <c r="C52" s="7">
        <v>0.86839999999999995</v>
      </c>
      <c r="D52" s="7">
        <f t="shared" si="3"/>
        <v>0.1436599999999999</v>
      </c>
      <c r="F52" s="7">
        <v>0.86314999999999997</v>
      </c>
      <c r="G52" s="7">
        <v>5.50284</v>
      </c>
      <c r="H52" s="7">
        <v>5.6414</v>
      </c>
      <c r="I52" s="7">
        <f t="shared" si="4"/>
        <v>0.13856000000000002</v>
      </c>
      <c r="J52" s="7">
        <f t="shared" si="10"/>
        <v>9.6749999999999892E-3</v>
      </c>
      <c r="K52" s="7">
        <v>150</v>
      </c>
      <c r="L52" s="7">
        <f t="shared" si="11"/>
        <v>0.15</v>
      </c>
      <c r="M52" s="7">
        <v>0.76700000000000002</v>
      </c>
      <c r="N52" s="7">
        <f t="shared" si="12"/>
        <v>5.6590997800000001E-2</v>
      </c>
      <c r="O52" s="7">
        <f t="shared" si="13"/>
        <v>0.37727331866666669</v>
      </c>
    </row>
    <row r="53" spans="1:15" s="7" customFormat="1" x14ac:dyDescent="0.25">
      <c r="A53" s="8" t="s">
        <v>36</v>
      </c>
      <c r="B53" s="7">
        <v>0.71631</v>
      </c>
      <c r="C53" s="7">
        <v>0.85614999999999997</v>
      </c>
      <c r="D53" s="7">
        <f t="shared" si="3"/>
        <v>0.13983999999999996</v>
      </c>
      <c r="F53" s="7">
        <v>0.85199000000000003</v>
      </c>
      <c r="G53" s="7">
        <v>5.4708899999999998</v>
      </c>
      <c r="H53" s="7">
        <v>5.6069800000000001</v>
      </c>
      <c r="I53" s="7">
        <f t="shared" si="4"/>
        <v>0.13609000000000027</v>
      </c>
      <c r="J53" s="7">
        <f t="shared" si="10"/>
        <v>7.205000000000239E-3</v>
      </c>
      <c r="K53" s="7">
        <v>250</v>
      </c>
      <c r="L53" s="7">
        <f t="shared" si="11"/>
        <v>0.25</v>
      </c>
      <c r="M53" s="7">
        <v>0.53300000000000003</v>
      </c>
      <c r="N53" s="7">
        <f t="shared" si="12"/>
        <v>3.1726157800000002E-2</v>
      </c>
      <c r="O53" s="7">
        <f t="shared" si="13"/>
        <v>0.12690463120000001</v>
      </c>
    </row>
    <row r="54" spans="1:15" s="7" customFormat="1" x14ac:dyDescent="0.25">
      <c r="A54" s="8" t="s">
        <v>40</v>
      </c>
      <c r="B54" s="7">
        <v>0.71684000000000003</v>
      </c>
      <c r="C54" s="7">
        <v>0.84806999999999999</v>
      </c>
      <c r="D54" s="7">
        <f t="shared" si="3"/>
        <v>0.13122999999999996</v>
      </c>
      <c r="F54" s="7">
        <v>0.84504000000000001</v>
      </c>
      <c r="G54" s="7">
        <v>5.4554099999999996</v>
      </c>
      <c r="H54" s="7">
        <v>5.5842999999999998</v>
      </c>
      <c r="I54" s="7">
        <f t="shared" si="4"/>
        <v>0.12889000000000017</v>
      </c>
      <c r="J54" s="7">
        <f t="shared" si="10"/>
        <v>5.0000000001437783E-6</v>
      </c>
      <c r="K54" s="7">
        <v>250</v>
      </c>
      <c r="L54" s="7">
        <f t="shared" si="11"/>
        <v>0.25</v>
      </c>
      <c r="M54" s="7">
        <v>0.32400000000000001</v>
      </c>
      <c r="N54" s="7">
        <f t="shared" si="12"/>
        <v>1.50915552E-2</v>
      </c>
      <c r="O54" s="7">
        <f t="shared" si="13"/>
        <v>6.0366220800000002E-2</v>
      </c>
    </row>
    <row r="55" spans="1:15" s="6" customFormat="1" x14ac:dyDescent="0.25">
      <c r="A55" s="9" t="s">
        <v>44</v>
      </c>
      <c r="B55" s="6">
        <v>0.71120000000000005</v>
      </c>
      <c r="C55" s="6">
        <v>0.78495000000000004</v>
      </c>
      <c r="D55" s="6">
        <f t="shared" si="0"/>
        <v>7.3749999999999982E-2</v>
      </c>
      <c r="F55" s="6">
        <v>0.71113000000000004</v>
      </c>
      <c r="G55" s="6">
        <f>AVERAGE(G15:G54, G56:G69)</f>
        <v>5.4576160869565218</v>
      </c>
      <c r="H55" s="2">
        <v>5.3808999999999996</v>
      </c>
      <c r="I55" s="6">
        <f t="shared" ref="I55:I65" si="14">H55-G55</f>
        <v>-7.6716086956522211E-2</v>
      </c>
      <c r="J55" s="6">
        <f>I55-G$2</f>
        <v>-7.6971086956522147E-2</v>
      </c>
      <c r="K55" s="6">
        <v>120</v>
      </c>
      <c r="L55" s="6">
        <f>K55/1000</f>
        <v>0.12</v>
      </c>
      <c r="M55" s="6">
        <v>9.5000000000000001E-2</v>
      </c>
      <c r="N55" s="20">
        <f t="shared" ref="N55:N65" si="15">(0.1123*M55^2)+(0.0398*M55)-0.0049</f>
        <v>-1.0549250000000017E-4</v>
      </c>
      <c r="O55" s="6">
        <f>N55/L55</f>
        <v>-8.7910416666666812E-4</v>
      </c>
    </row>
    <row r="56" spans="1:15" s="6" customFormat="1" x14ac:dyDescent="0.25">
      <c r="A56" s="9" t="s">
        <v>45</v>
      </c>
      <c r="B56" s="6">
        <v>0.72782999999999998</v>
      </c>
      <c r="C56" s="6">
        <v>0.79193000000000002</v>
      </c>
      <c r="D56" s="6">
        <f t="shared" si="0"/>
        <v>6.4100000000000046E-2</v>
      </c>
      <c r="F56" s="6">
        <v>0.72797999999999996</v>
      </c>
      <c r="G56" s="6">
        <v>5.4280999999999997</v>
      </c>
      <c r="H56" s="6">
        <v>5.42821</v>
      </c>
      <c r="I56" s="6">
        <f t="shared" si="14"/>
        <v>1.1000000000027654E-4</v>
      </c>
      <c r="J56" s="18">
        <f>I56-G$3</f>
        <v>5.7500000000043627E-5</v>
      </c>
      <c r="K56" s="6">
        <v>120</v>
      </c>
      <c r="L56" s="6">
        <f t="shared" ref="L56:L65" si="16">K56/1000</f>
        <v>0.12</v>
      </c>
      <c r="M56" s="6">
        <v>0.39400000000000002</v>
      </c>
      <c r="N56" s="20">
        <f t="shared" si="15"/>
        <v>2.8214202800000004E-2</v>
      </c>
      <c r="O56" s="6">
        <f t="shared" ref="O56:O65" si="17">N56/L56</f>
        <v>0.23511835666666672</v>
      </c>
    </row>
    <row r="57" spans="1:15" s="6" customFormat="1" x14ac:dyDescent="0.25">
      <c r="A57" s="9" t="s">
        <v>46</v>
      </c>
      <c r="B57" s="6">
        <v>0.71450000000000002</v>
      </c>
      <c r="C57" s="6">
        <v>0.78690000000000004</v>
      </c>
      <c r="D57" s="6">
        <f t="shared" si="0"/>
        <v>7.240000000000002E-2</v>
      </c>
      <c r="F57" s="6">
        <v>0.72402999999999995</v>
      </c>
      <c r="G57" s="6">
        <v>5.4382799999999998</v>
      </c>
      <c r="H57" s="6">
        <v>5.4445399999999999</v>
      </c>
      <c r="I57" s="6">
        <f t="shared" si="14"/>
        <v>6.2600000000001543E-3</v>
      </c>
      <c r="J57" s="6">
        <f t="shared" ref="J57:J65" si="18">I57-G$2</f>
        <v>6.0050000000002159E-3</v>
      </c>
      <c r="K57" s="6">
        <v>110</v>
      </c>
      <c r="L57" s="6">
        <f t="shared" si="16"/>
        <v>0.11</v>
      </c>
      <c r="M57" s="6">
        <v>0.37</v>
      </c>
      <c r="N57" s="20">
        <f t="shared" si="15"/>
        <v>2.5199869999999999E-2</v>
      </c>
      <c r="O57" s="6">
        <f t="shared" si="17"/>
        <v>0.22908972727272728</v>
      </c>
    </row>
    <row r="58" spans="1:15" s="6" customFormat="1" x14ac:dyDescent="0.25">
      <c r="A58" s="9" t="s">
        <v>47</v>
      </c>
      <c r="B58" s="6">
        <v>0.71967999999999999</v>
      </c>
      <c r="C58" s="6">
        <v>0.78012999999999999</v>
      </c>
      <c r="D58" s="6">
        <f t="shared" si="0"/>
        <v>6.0450000000000004E-2</v>
      </c>
      <c r="F58" s="6">
        <v>0.71955000000000002</v>
      </c>
      <c r="G58" s="6">
        <v>5.4664099999999998</v>
      </c>
      <c r="H58" s="6">
        <v>5.4671500000000002</v>
      </c>
      <c r="I58" s="6">
        <f t="shared" si="14"/>
        <v>7.40000000000407E-4</v>
      </c>
      <c r="J58" s="6">
        <f t="shared" si="18"/>
        <v>4.850000000004684E-4</v>
      </c>
      <c r="K58" s="6">
        <v>130</v>
      </c>
      <c r="L58" s="6">
        <f t="shared" si="16"/>
        <v>0.13</v>
      </c>
      <c r="M58" s="6">
        <v>9.5000000000000001E-2</v>
      </c>
      <c r="N58" s="20">
        <f t="shared" si="15"/>
        <v>-1.0549250000000017E-4</v>
      </c>
      <c r="O58" s="6">
        <f t="shared" si="17"/>
        <v>-8.114807692307705E-4</v>
      </c>
    </row>
    <row r="59" spans="1:15" s="6" customFormat="1" x14ac:dyDescent="0.25">
      <c r="A59" s="9" t="s">
        <v>48</v>
      </c>
      <c r="B59" s="6">
        <v>0.73312999999999995</v>
      </c>
      <c r="C59" s="6">
        <v>0.77949999999999997</v>
      </c>
      <c r="D59" s="6">
        <f t="shared" si="0"/>
        <v>4.6370000000000022E-2</v>
      </c>
      <c r="F59" s="6">
        <v>0.73304999999999998</v>
      </c>
      <c r="G59" s="6">
        <v>5.4665900000000001</v>
      </c>
      <c r="H59" s="6">
        <v>5.4671399999999997</v>
      </c>
      <c r="I59" s="6">
        <f t="shared" si="14"/>
        <v>5.4999999999960636E-4</v>
      </c>
      <c r="J59" s="6">
        <f t="shared" si="18"/>
        <v>2.9499999999966776E-4</v>
      </c>
      <c r="L59" s="6">
        <f t="shared" si="16"/>
        <v>0</v>
      </c>
      <c r="M59" s="6">
        <v>0.104</v>
      </c>
      <c r="N59" s="20">
        <f t="shared" si="15"/>
        <v>4.5383680000000027E-4</v>
      </c>
      <c r="O59" s="6" t="e">
        <f t="shared" si="17"/>
        <v>#DIV/0!</v>
      </c>
    </row>
    <row r="60" spans="1:15" s="6" customFormat="1" x14ac:dyDescent="0.25">
      <c r="A60" s="9" t="s">
        <v>49</v>
      </c>
      <c r="B60" s="6">
        <v>0.70628000000000002</v>
      </c>
      <c r="C60" s="6">
        <v>0.76934000000000002</v>
      </c>
      <c r="D60" s="6">
        <f t="shared" si="0"/>
        <v>6.3060000000000005E-2</v>
      </c>
      <c r="F60" s="6">
        <v>0.70655000000000001</v>
      </c>
      <c r="G60" s="6">
        <v>5.4461199999999996</v>
      </c>
      <c r="H60" s="6">
        <v>5.4465399999999997</v>
      </c>
      <c r="I60" s="6">
        <f t="shared" si="14"/>
        <v>4.2000000000008697E-4</v>
      </c>
      <c r="J60" s="6">
        <f t="shared" si="18"/>
        <v>1.6500000000014837E-4</v>
      </c>
      <c r="K60" s="6">
        <v>120</v>
      </c>
      <c r="L60" s="6">
        <f t="shared" si="16"/>
        <v>0.12</v>
      </c>
      <c r="M60" s="6">
        <v>0.124</v>
      </c>
      <c r="N60" s="20">
        <f t="shared" si="15"/>
        <v>1.7619248000000001E-3</v>
      </c>
      <c r="O60" s="6">
        <f t="shared" si="17"/>
        <v>1.4682706666666668E-2</v>
      </c>
    </row>
    <row r="61" spans="1:15" s="6" customFormat="1" x14ac:dyDescent="0.25">
      <c r="A61" s="9" t="s">
        <v>50</v>
      </c>
      <c r="B61" s="6">
        <v>0.70221999999999996</v>
      </c>
      <c r="C61" s="6">
        <v>0.76197999999999999</v>
      </c>
      <c r="D61" s="6">
        <f t="shared" si="0"/>
        <v>5.9760000000000035E-2</v>
      </c>
      <c r="F61" s="6">
        <v>0.70233000000000001</v>
      </c>
      <c r="G61" s="6">
        <v>5.4511500000000002</v>
      </c>
      <c r="H61" s="6">
        <v>5.4512400000000003</v>
      </c>
      <c r="I61" s="6">
        <f t="shared" si="14"/>
        <v>9.0000000000145519E-5</v>
      </c>
      <c r="J61" s="6">
        <f t="shared" si="18"/>
        <v>-1.6499999999979308E-4</v>
      </c>
      <c r="K61" s="6">
        <v>120</v>
      </c>
      <c r="L61" s="6">
        <f t="shared" si="16"/>
        <v>0.12</v>
      </c>
      <c r="M61" s="6">
        <v>9.8000000000000004E-2</v>
      </c>
      <c r="N61" s="20">
        <f t="shared" si="15"/>
        <v>7.8929200000001087E-5</v>
      </c>
      <c r="O61" s="6">
        <f t="shared" si="17"/>
        <v>6.5774333333334239E-4</v>
      </c>
    </row>
    <row r="62" spans="1:15" s="6" customFormat="1" x14ac:dyDescent="0.25">
      <c r="A62" s="9" t="s">
        <v>52</v>
      </c>
      <c r="B62" s="6">
        <v>0.73626000000000003</v>
      </c>
      <c r="C62" s="6">
        <v>0.80008000000000001</v>
      </c>
      <c r="D62" s="6">
        <f t="shared" si="0"/>
        <v>6.3819999999999988E-2</v>
      </c>
      <c r="F62" s="6">
        <v>0.73607999999999996</v>
      </c>
      <c r="G62" s="6">
        <v>5.4360799999999996</v>
      </c>
      <c r="H62" s="6">
        <v>5.4363799999999998</v>
      </c>
      <c r="I62" s="6">
        <f t="shared" si="14"/>
        <v>3.00000000000189E-4</v>
      </c>
      <c r="J62" s="6">
        <f t="shared" si="18"/>
        <v>4.5000000000250406E-5</v>
      </c>
      <c r="K62" s="6">
        <v>205</v>
      </c>
      <c r="L62" s="6">
        <f t="shared" si="16"/>
        <v>0.20499999999999999</v>
      </c>
      <c r="M62" s="6">
        <v>9.2999999999999999E-2</v>
      </c>
      <c r="N62" s="20">
        <f t="shared" si="15"/>
        <v>-2.2731729999999999E-4</v>
      </c>
      <c r="O62" s="6">
        <f t="shared" si="17"/>
        <v>-1.1088648780487806E-3</v>
      </c>
    </row>
    <row r="63" spans="1:15" s="6" customFormat="1" x14ac:dyDescent="0.25">
      <c r="A63" s="9" t="s">
        <v>51</v>
      </c>
      <c r="B63" s="6">
        <v>0.71348</v>
      </c>
      <c r="C63" s="6">
        <v>0.80201999999999996</v>
      </c>
      <c r="D63" s="6">
        <f t="shared" si="0"/>
        <v>8.8539999999999952E-2</v>
      </c>
      <c r="F63" s="6">
        <v>0.71326000000000001</v>
      </c>
      <c r="G63" s="6">
        <v>5.4348299999999998</v>
      </c>
      <c r="H63" s="6">
        <v>5.4351599999999998</v>
      </c>
      <c r="I63" s="6">
        <f t="shared" si="14"/>
        <v>3.2999999999994145E-4</v>
      </c>
      <c r="J63" s="6">
        <f t="shared" si="18"/>
        <v>7.5000000000002853E-5</v>
      </c>
      <c r="K63" s="6">
        <v>190</v>
      </c>
      <c r="L63" s="6">
        <f t="shared" si="16"/>
        <v>0.19</v>
      </c>
      <c r="M63" s="6">
        <v>9.1999999999999998E-2</v>
      </c>
      <c r="N63" s="20">
        <f t="shared" si="15"/>
        <v>-2.8789279999999993E-4</v>
      </c>
      <c r="O63" s="6">
        <f t="shared" si="17"/>
        <v>-1.5152252631578944E-3</v>
      </c>
    </row>
    <row r="64" spans="1:15" s="6" customFormat="1" x14ac:dyDescent="0.25">
      <c r="A64" s="9" t="s">
        <v>53</v>
      </c>
      <c r="B64" s="6">
        <v>0.72653999999999996</v>
      </c>
      <c r="C64" s="6">
        <v>0.78615000000000002</v>
      </c>
      <c r="D64" s="6">
        <f t="shared" si="0"/>
        <v>5.9610000000000052E-2</v>
      </c>
      <c r="F64" s="6">
        <v>0.72660000000000002</v>
      </c>
      <c r="G64" s="6">
        <v>5.4754800000000001</v>
      </c>
      <c r="H64" s="6">
        <v>5.4716899999999997</v>
      </c>
      <c r="I64" s="6">
        <f t="shared" si="14"/>
        <v>-3.7900000000004042E-3</v>
      </c>
      <c r="J64" s="6">
        <f t="shared" si="18"/>
        <v>-4.0450000000003426E-3</v>
      </c>
      <c r="K64" s="6">
        <v>250</v>
      </c>
      <c r="L64" s="6">
        <f t="shared" si="16"/>
        <v>0.25</v>
      </c>
      <c r="M64" s="6">
        <v>0.1</v>
      </c>
      <c r="N64" s="20">
        <f t="shared" si="15"/>
        <v>2.0300000000000006E-4</v>
      </c>
      <c r="O64" s="6">
        <f t="shared" si="17"/>
        <v>8.1200000000000022E-4</v>
      </c>
    </row>
    <row r="65" spans="1:15" s="6" customFormat="1" x14ac:dyDescent="0.25">
      <c r="A65" s="9" t="s">
        <v>54</v>
      </c>
      <c r="B65" s="6">
        <v>0.71255999999999997</v>
      </c>
      <c r="C65" s="6">
        <v>0.78766999999999998</v>
      </c>
      <c r="D65" s="6">
        <f t="shared" si="0"/>
        <v>7.511000000000001E-2</v>
      </c>
      <c r="F65" s="6">
        <v>0.71223000000000003</v>
      </c>
      <c r="G65" s="6">
        <v>5.4431900000000004</v>
      </c>
      <c r="H65" s="6">
        <v>5.4428099999999997</v>
      </c>
      <c r="I65" s="6">
        <f t="shared" si="14"/>
        <v>-3.800000000007131E-4</v>
      </c>
      <c r="J65" s="6">
        <f t="shared" si="18"/>
        <v>-6.3500000000065175E-4</v>
      </c>
      <c r="K65" s="6">
        <v>250</v>
      </c>
      <c r="L65" s="6">
        <f t="shared" si="16"/>
        <v>0.25</v>
      </c>
      <c r="M65" s="6">
        <v>9.8000000000000004E-2</v>
      </c>
      <c r="N65" s="20">
        <f t="shared" si="15"/>
        <v>7.8929200000001087E-5</v>
      </c>
      <c r="O65" s="6">
        <f t="shared" si="17"/>
        <v>3.1571680000000435E-4</v>
      </c>
    </row>
    <row r="66" spans="1:15" s="7" customFormat="1" x14ac:dyDescent="0.25">
      <c r="A66" s="8" t="s">
        <v>58</v>
      </c>
      <c r="B66" s="7">
        <v>0.72436</v>
      </c>
      <c r="C66" s="7">
        <v>0.85451999999999995</v>
      </c>
      <c r="D66" s="7">
        <f>C66-B66</f>
        <v>0.13015999999999994</v>
      </c>
      <c r="F66" s="7">
        <v>0.85197999999999996</v>
      </c>
      <c r="G66" s="7">
        <v>5.4543900000000001</v>
      </c>
      <c r="H66" s="7">
        <v>5.5824499999999997</v>
      </c>
      <c r="I66" s="7">
        <f>H66-G66</f>
        <v>0.12805999999999962</v>
      </c>
      <c r="J66" s="7">
        <f>I66-G$14</f>
        <v>1.394999999999591E-3</v>
      </c>
      <c r="K66" s="7">
        <v>250</v>
      </c>
      <c r="L66" s="7">
        <f>K66/1000</f>
        <v>0.25</v>
      </c>
      <c r="M66" s="7">
        <v>0.185</v>
      </c>
      <c r="N66" s="7">
        <f t="shared" ref="N66:N69" si="19">(0.0602*M66^2)+(0.028*M66)-0.0003</f>
        <v>6.9403449999999997E-3</v>
      </c>
      <c r="O66" s="7">
        <f>N66/L66</f>
        <v>2.7761379999999999E-2</v>
      </c>
    </row>
    <row r="67" spans="1:15" s="7" customFormat="1" x14ac:dyDescent="0.25">
      <c r="A67" s="8" t="s">
        <v>57</v>
      </c>
      <c r="B67" s="7">
        <v>0.72158</v>
      </c>
      <c r="C67" s="7">
        <v>0.85045000000000004</v>
      </c>
      <c r="D67" s="7">
        <f>C67-B67</f>
        <v>0.12887000000000004</v>
      </c>
      <c r="F67" s="7">
        <v>0.84823000000000004</v>
      </c>
      <c r="G67" s="7">
        <v>5.4283900000000003</v>
      </c>
      <c r="H67" s="7">
        <v>5.5554300000000003</v>
      </c>
      <c r="I67" s="7">
        <f>H67-G67</f>
        <v>0.12704000000000004</v>
      </c>
      <c r="J67" s="7">
        <f>I67-G$14</f>
        <v>3.7500000000001421E-4</v>
      </c>
      <c r="K67" s="7">
        <v>250</v>
      </c>
      <c r="L67" s="7">
        <f t="shared" ref="L67:L69" si="20">K67/1000</f>
        <v>0.25</v>
      </c>
      <c r="M67" s="7">
        <v>0.156</v>
      </c>
      <c r="N67" s="7">
        <f t="shared" si="19"/>
        <v>5.5330272000000003E-3</v>
      </c>
      <c r="O67" s="7">
        <f t="shared" ref="O67:O69" si="21">N67/L67</f>
        <v>2.2132108800000001E-2</v>
      </c>
    </row>
    <row r="68" spans="1:15" s="7" customFormat="1" x14ac:dyDescent="0.25">
      <c r="A68" s="8" t="s">
        <v>55</v>
      </c>
      <c r="B68" s="7">
        <v>0.71726999999999996</v>
      </c>
      <c r="C68" s="7">
        <v>0.84974000000000005</v>
      </c>
      <c r="D68" s="7">
        <f>C68-B68</f>
        <v>0.13247000000000009</v>
      </c>
      <c r="F68" s="7">
        <v>0.84735000000000005</v>
      </c>
      <c r="G68" s="7">
        <v>5.45181</v>
      </c>
      <c r="H68" s="7">
        <v>5.5824199999999999</v>
      </c>
      <c r="I68" s="7">
        <f>H68-G68</f>
        <v>0.13060999999999989</v>
      </c>
      <c r="J68" s="7">
        <f>I68-G$12</f>
        <v>1.7249999999998655E-3</v>
      </c>
      <c r="K68" s="7">
        <v>250</v>
      </c>
      <c r="L68" s="7">
        <f t="shared" si="20"/>
        <v>0.25</v>
      </c>
      <c r="M68" s="7">
        <v>0.159</v>
      </c>
      <c r="N68" s="7">
        <f t="shared" si="19"/>
        <v>5.6739162000000003E-3</v>
      </c>
      <c r="O68" s="7">
        <f t="shared" si="21"/>
        <v>2.2695664800000001E-2</v>
      </c>
    </row>
    <row r="69" spans="1:15" s="7" customFormat="1" x14ac:dyDescent="0.25">
      <c r="A69" s="8" t="s">
        <v>56</v>
      </c>
      <c r="B69" s="7">
        <v>0.72550000000000003</v>
      </c>
      <c r="C69" s="7">
        <v>0.85614000000000001</v>
      </c>
      <c r="D69" s="7">
        <f>C69-B69</f>
        <v>0.13063999999999998</v>
      </c>
      <c r="F69" s="7">
        <v>0.85385</v>
      </c>
      <c r="G69" s="7">
        <v>5.4797000000000002</v>
      </c>
      <c r="H69" s="7">
        <v>5.6082999999999998</v>
      </c>
      <c r="I69" s="7">
        <f>H69-G69</f>
        <v>0.1285999999999996</v>
      </c>
      <c r="J69" s="7">
        <f>I69-G$14</f>
        <v>1.9349999999995759E-3</v>
      </c>
      <c r="K69" s="7">
        <v>250</v>
      </c>
      <c r="L69" s="7">
        <f t="shared" si="20"/>
        <v>0.25</v>
      </c>
      <c r="M69" s="7">
        <v>0.159</v>
      </c>
      <c r="N69" s="7">
        <f t="shared" si="19"/>
        <v>5.6739162000000003E-3</v>
      </c>
      <c r="O69" s="7">
        <f t="shared" si="21"/>
        <v>2.2695664800000001E-2</v>
      </c>
    </row>
    <row r="70" spans="1:15" x14ac:dyDescent="0.25">
      <c r="A70" s="1"/>
    </row>
    <row r="71" spans="1:15" x14ac:dyDescent="0.25">
      <c r="A71" s="1"/>
    </row>
    <row r="72" spans="1:15" x14ac:dyDescent="0.25">
      <c r="A72" s="1"/>
    </row>
    <row r="73" spans="1:15" x14ac:dyDescent="0.25">
      <c r="A73" s="1"/>
    </row>
    <row r="74" spans="1:15" x14ac:dyDescent="0.25">
      <c r="A74" s="1"/>
    </row>
    <row r="75" spans="1:15" x14ac:dyDescent="0.25">
      <c r="A75" s="1"/>
    </row>
    <row r="76" spans="1:15" x14ac:dyDescent="0.25">
      <c r="A76" s="1"/>
    </row>
    <row r="77" spans="1:15" x14ac:dyDescent="0.25">
      <c r="A77" s="1"/>
    </row>
    <row r="78" spans="1:15" x14ac:dyDescent="0.25">
      <c r="A78" s="1"/>
    </row>
    <row r="79" spans="1:15" x14ac:dyDescent="0.25">
      <c r="A79" s="1"/>
    </row>
    <row r="80" spans="1:15" x14ac:dyDescent="0.25">
      <c r="A80" s="1"/>
    </row>
    <row r="81" spans="1:1" x14ac:dyDescent="0.25">
      <c r="A81" s="1"/>
    </row>
  </sheetData>
  <sortState xmlns:xlrd2="http://schemas.microsoft.com/office/spreadsheetml/2017/richdata2" ref="A66:M69">
    <sortCondition ref="A66:A6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A5EA-C6C8-4EB2-ACCE-B4CF08E2EA04}">
  <sheetPr codeName="Sheet5"/>
  <dimension ref="A1:Y44"/>
  <sheetViews>
    <sheetView tabSelected="1" topLeftCell="A10" workbookViewId="0">
      <selection activeCell="G21" sqref="G21"/>
    </sheetView>
  </sheetViews>
  <sheetFormatPr defaultRowHeight="15" x14ac:dyDescent="0.25"/>
  <cols>
    <col min="1" max="1" width="10.85546875" bestFit="1" customWidth="1"/>
    <col min="2" max="2" width="9.7109375" bestFit="1" customWidth="1"/>
    <col min="3" max="3" width="10.140625" bestFit="1" customWidth="1"/>
    <col min="4" max="4" width="10.140625" customWidth="1"/>
    <col min="24" max="24" width="9.7109375" bestFit="1" customWidth="1"/>
  </cols>
  <sheetData>
    <row r="1" spans="1:5" x14ac:dyDescent="0.25">
      <c r="A1" t="s">
        <v>84</v>
      </c>
      <c r="B1" t="s">
        <v>293</v>
      </c>
      <c r="C1" t="s">
        <v>281</v>
      </c>
      <c r="D1" s="30" t="s">
        <v>333</v>
      </c>
      <c r="E1" t="s">
        <v>314</v>
      </c>
    </row>
    <row r="2" spans="1:5" x14ac:dyDescent="0.25">
      <c r="A2" s="8" t="s">
        <v>297</v>
      </c>
      <c r="B2" s="24" t="s">
        <v>299</v>
      </c>
      <c r="C2">
        <v>1.1928068313043476</v>
      </c>
      <c r="D2">
        <f>ABS(C2*0.030973762)</f>
        <v>3.6945714904795007E-2</v>
      </c>
      <c r="E2" s="28">
        <v>3.3090000000000002</v>
      </c>
    </row>
    <row r="3" spans="1:5" x14ac:dyDescent="0.25">
      <c r="A3" s="8" t="s">
        <v>38</v>
      </c>
      <c r="B3" s="24" t="s">
        <v>300</v>
      </c>
      <c r="C3">
        <v>1.6331821562499997</v>
      </c>
      <c r="D3">
        <f t="shared" ref="D3:D43" si="0">ABS(C3*0.030973762)</f>
        <v>5.0585795410334304E-2</v>
      </c>
      <c r="E3" s="28">
        <v>3.7970000000000002</v>
      </c>
    </row>
    <row r="4" spans="1:5" x14ac:dyDescent="0.25">
      <c r="A4" s="8" t="s">
        <v>32</v>
      </c>
      <c r="B4" s="24" t="s">
        <v>301</v>
      </c>
      <c r="C4">
        <v>0.77054282625000015</v>
      </c>
      <c r="D4">
        <f t="shared" si="0"/>
        <v>2.3866610111074854E-2</v>
      </c>
      <c r="E4" s="28">
        <v>4.0960000000000001</v>
      </c>
    </row>
    <row r="5" spans="1:5" x14ac:dyDescent="0.25">
      <c r="A5" s="8" t="s">
        <v>33</v>
      </c>
      <c r="B5" s="24" t="s">
        <v>302</v>
      </c>
      <c r="C5">
        <v>0.50378816000000004</v>
      </c>
      <c r="D5">
        <f t="shared" si="0"/>
        <v>1.5604214566257921E-2</v>
      </c>
      <c r="E5" s="28">
        <v>3.9940000000000002</v>
      </c>
    </row>
    <row r="6" spans="1:5" x14ac:dyDescent="0.25">
      <c r="A6" s="8" t="s">
        <v>41</v>
      </c>
      <c r="B6" s="24" t="s">
        <v>303</v>
      </c>
      <c r="C6">
        <v>9.5605748571428575E-2</v>
      </c>
      <c r="D6">
        <f t="shared" si="0"/>
        <v>2.9612697020832686E-3</v>
      </c>
      <c r="E6" s="28">
        <v>2.4950000000000001</v>
      </c>
    </row>
    <row r="7" spans="1:5" x14ac:dyDescent="0.25">
      <c r="A7" s="8" t="s">
        <v>42</v>
      </c>
      <c r="B7" s="24" t="s">
        <v>304</v>
      </c>
      <c r="C7">
        <v>7.0899395199999993E-2</v>
      </c>
      <c r="D7">
        <f t="shared" si="0"/>
        <v>2.196020992868742E-3</v>
      </c>
      <c r="E7" s="28">
        <v>2.0139999999999998</v>
      </c>
    </row>
    <row r="8" spans="1:5" x14ac:dyDescent="0.25">
      <c r="A8" s="8" t="s">
        <v>298</v>
      </c>
      <c r="B8" s="24" t="s">
        <v>305</v>
      </c>
      <c r="C8">
        <v>0.15268799999999996</v>
      </c>
      <c r="D8">
        <f t="shared" si="0"/>
        <v>4.7293217722559986E-3</v>
      </c>
      <c r="E8" s="28">
        <v>1.851</v>
      </c>
    </row>
    <row r="9" spans="1:5" x14ac:dyDescent="0.25">
      <c r="A9" s="8" t="s">
        <v>43</v>
      </c>
      <c r="B9" s="24" t="s">
        <v>306</v>
      </c>
      <c r="C9">
        <v>0.27913451076923079</v>
      </c>
      <c r="D9">
        <f t="shared" si="0"/>
        <v>8.6458459025525909E-3</v>
      </c>
      <c r="E9" s="28">
        <v>2.0659999999999998</v>
      </c>
    </row>
    <row r="10" spans="1:5" x14ac:dyDescent="0.25">
      <c r="A10" s="8" t="s">
        <v>39</v>
      </c>
      <c r="B10" s="24" t="s">
        <v>307</v>
      </c>
      <c r="C10">
        <v>1.6553536762499999</v>
      </c>
      <c r="D10">
        <f t="shared" si="0"/>
        <v>5.1272530793992542E-2</v>
      </c>
      <c r="E10" s="28">
        <v>3.867</v>
      </c>
    </row>
    <row r="11" spans="1:5" x14ac:dyDescent="0.25">
      <c r="A11" s="8" t="s">
        <v>34</v>
      </c>
      <c r="B11" s="24" t="s">
        <v>308</v>
      </c>
      <c r="C11">
        <v>0.37727331866666669</v>
      </c>
      <c r="D11">
        <f t="shared" si="0"/>
        <v>1.1685573981331491E-2</v>
      </c>
      <c r="E11" s="28">
        <v>3.9740000000000002</v>
      </c>
    </row>
    <row r="12" spans="1:5" x14ac:dyDescent="0.25">
      <c r="A12" s="8" t="s">
        <v>36</v>
      </c>
      <c r="B12" s="24" t="s">
        <v>309</v>
      </c>
      <c r="C12">
        <v>0.12690463120000001</v>
      </c>
      <c r="D12">
        <f t="shared" si="0"/>
        <v>3.9307138434865746E-3</v>
      </c>
      <c r="E12" s="28">
        <v>3.1560000000000001</v>
      </c>
    </row>
    <row r="13" spans="1:5" x14ac:dyDescent="0.25">
      <c r="A13" s="8" t="s">
        <v>40</v>
      </c>
      <c r="B13" s="24" t="s">
        <v>310</v>
      </c>
      <c r="C13">
        <v>6.0366220800000002E-2</v>
      </c>
      <c r="D13">
        <f t="shared" si="0"/>
        <v>1.8697689558986495E-3</v>
      </c>
      <c r="E13" s="28">
        <v>2.1930000000000001</v>
      </c>
    </row>
    <row r="14" spans="1:5" x14ac:dyDescent="0.25">
      <c r="A14" s="8" t="s">
        <v>58</v>
      </c>
      <c r="B14" s="24" t="s">
        <v>295</v>
      </c>
      <c r="C14">
        <v>2.7761379999999999E-2</v>
      </c>
      <c r="D14">
        <f t="shared" si="0"/>
        <v>8.5987437691155996E-4</v>
      </c>
    </row>
    <row r="15" spans="1:5" x14ac:dyDescent="0.25">
      <c r="A15" s="8" t="s">
        <v>57</v>
      </c>
      <c r="B15" s="24" t="s">
        <v>295</v>
      </c>
      <c r="C15">
        <v>2.2132108800000001E-2</v>
      </c>
      <c r="D15">
        <f t="shared" si="0"/>
        <v>6.8551467052930561E-4</v>
      </c>
    </row>
    <row r="16" spans="1:5" x14ac:dyDescent="0.25">
      <c r="A16" s="8" t="s">
        <v>55</v>
      </c>
      <c r="B16" s="24" t="s">
        <v>296</v>
      </c>
      <c r="C16">
        <v>2.2695664800000001E-2</v>
      </c>
      <c r="D16">
        <f t="shared" si="0"/>
        <v>7.0297011994697762E-4</v>
      </c>
    </row>
    <row r="17" spans="1:5" x14ac:dyDescent="0.25">
      <c r="A17" s="8" t="s">
        <v>56</v>
      </c>
      <c r="B17" s="24" t="s">
        <v>296</v>
      </c>
      <c r="C17">
        <v>2.2695664800000001E-2</v>
      </c>
      <c r="D17">
        <f t="shared" si="0"/>
        <v>7.0297011994697762E-4</v>
      </c>
    </row>
    <row r="18" spans="1:5" x14ac:dyDescent="0.25">
      <c r="A18" s="9" t="s">
        <v>53</v>
      </c>
      <c r="B18" s="25" t="s">
        <v>311</v>
      </c>
      <c r="C18">
        <v>8.1200000000000022E-4</v>
      </c>
      <c r="D18">
        <f t="shared" si="0"/>
        <v>2.5150694744000005E-5</v>
      </c>
    </row>
    <row r="19" spans="1:5" x14ac:dyDescent="0.25">
      <c r="A19" s="9" t="s">
        <v>54</v>
      </c>
      <c r="B19" s="25" t="s">
        <v>311</v>
      </c>
      <c r="C19">
        <v>3.1571680000000435E-4</v>
      </c>
      <c r="D19">
        <f t="shared" si="0"/>
        <v>9.7789370226017342E-6</v>
      </c>
    </row>
    <row r="20" spans="1:5" x14ac:dyDescent="0.25">
      <c r="A20" s="9" t="s">
        <v>52</v>
      </c>
      <c r="B20" s="25" t="s">
        <v>312</v>
      </c>
      <c r="C20">
        <v>-1.1088648780487806E-3</v>
      </c>
      <c r="D20">
        <f t="shared" si="0"/>
        <v>3.4345716822841953E-5</v>
      </c>
    </row>
    <row r="21" spans="1:5" x14ac:dyDescent="0.25">
      <c r="A21" s="9" t="s">
        <v>51</v>
      </c>
      <c r="B21" s="25" t="s">
        <v>312</v>
      </c>
      <c r="C21">
        <v>-1.5152252631578944E-3</v>
      </c>
      <c r="D21">
        <f t="shared" si="0"/>
        <v>4.6932226677439986E-5</v>
      </c>
    </row>
    <row r="22" spans="1:5" x14ac:dyDescent="0.25">
      <c r="A22" s="9" t="s">
        <v>50</v>
      </c>
      <c r="B22" s="25" t="s">
        <v>313</v>
      </c>
      <c r="C22">
        <v>6.5774333333334239E-4</v>
      </c>
      <c r="D22">
        <f t="shared" si="0"/>
        <v>2.0372785463753613E-5</v>
      </c>
    </row>
    <row r="23" spans="1:5" x14ac:dyDescent="0.25">
      <c r="A23" s="9" t="s">
        <v>49</v>
      </c>
      <c r="B23" s="25" t="s">
        <v>313</v>
      </c>
      <c r="C23">
        <v>1.4682706666666668E-2</v>
      </c>
      <c r="D23">
        <f t="shared" si="0"/>
        <v>4.5477866180914668E-4</v>
      </c>
    </row>
    <row r="24" spans="1:5" x14ac:dyDescent="0.25">
      <c r="A24" s="6" t="s">
        <v>30</v>
      </c>
      <c r="B24" s="27">
        <v>0.6791666666666667</v>
      </c>
      <c r="C24">
        <v>-1.6651719999999999E-3</v>
      </c>
      <c r="D24">
        <f t="shared" si="0"/>
        <v>5.1576641217063993E-5</v>
      </c>
      <c r="E24">
        <v>0</v>
      </c>
    </row>
    <row r="25" spans="1:5" x14ac:dyDescent="0.25">
      <c r="A25" s="6" t="s">
        <v>28</v>
      </c>
      <c r="B25" s="27">
        <v>0.68125000000000002</v>
      </c>
      <c r="C25">
        <v>9.3759881818181838E-3</v>
      </c>
      <c r="D25">
        <f t="shared" si="0"/>
        <v>2.9040962645844913E-4</v>
      </c>
      <c r="E25">
        <v>3</v>
      </c>
    </row>
    <row r="26" spans="1:5" x14ac:dyDescent="0.25">
      <c r="A26" s="6" t="s">
        <v>24</v>
      </c>
      <c r="B26" s="27">
        <v>0.68333333333333324</v>
      </c>
      <c r="C26">
        <v>2.1342669523809529E-2</v>
      </c>
      <c r="D26">
        <f t="shared" si="0"/>
        <v>6.6106276627512963E-4</v>
      </c>
      <c r="E26">
        <v>6</v>
      </c>
    </row>
    <row r="27" spans="1:5" x14ac:dyDescent="0.25">
      <c r="A27" s="6" t="s">
        <v>31</v>
      </c>
      <c r="B27" s="27">
        <v>0.68541666666666667</v>
      </c>
      <c r="C27">
        <v>7.1751607272727266E-2</v>
      </c>
      <c r="D27">
        <f t="shared" si="0"/>
        <v>2.2224172067829232E-3</v>
      </c>
      <c r="E27">
        <v>9</v>
      </c>
    </row>
    <row r="28" spans="1:5" x14ac:dyDescent="0.25">
      <c r="A28" s="6" t="s">
        <v>16</v>
      </c>
      <c r="B28" s="27">
        <v>0.6875</v>
      </c>
      <c r="C28">
        <v>6.6353188181818193E-2</v>
      </c>
      <c r="D28">
        <f t="shared" si="0"/>
        <v>2.0552078586848492E-3</v>
      </c>
      <c r="E28">
        <v>12</v>
      </c>
    </row>
    <row r="29" spans="1:5" x14ac:dyDescent="0.25">
      <c r="A29" s="6" t="s">
        <v>15</v>
      </c>
      <c r="B29" s="27">
        <v>0.68958333333333333</v>
      </c>
      <c r="C29">
        <v>7.7250075454545444E-2</v>
      </c>
      <c r="D29">
        <f t="shared" si="0"/>
        <v>2.3927254516111322E-3</v>
      </c>
      <c r="E29">
        <v>15</v>
      </c>
    </row>
    <row r="30" spans="1:5" x14ac:dyDescent="0.25">
      <c r="A30" s="6" t="s">
        <v>25</v>
      </c>
      <c r="B30" s="27">
        <v>0.69166666666666676</v>
      </c>
      <c r="C30">
        <v>8.1949845454545502E-3</v>
      </c>
      <c r="D30">
        <f t="shared" si="0"/>
        <v>2.5382950090458741E-4</v>
      </c>
      <c r="E30">
        <v>18</v>
      </c>
    </row>
    <row r="31" spans="1:5" x14ac:dyDescent="0.25">
      <c r="A31" s="6" t="s">
        <v>12</v>
      </c>
      <c r="B31" s="27">
        <v>0.69374999999999998</v>
      </c>
      <c r="C31">
        <v>1.2404176521739134E-2</v>
      </c>
      <c r="D31">
        <f t="shared" si="0"/>
        <v>3.8420401139033575E-4</v>
      </c>
      <c r="E31">
        <v>21</v>
      </c>
    </row>
    <row r="32" spans="1:5" x14ac:dyDescent="0.25">
      <c r="A32" s="6" t="s">
        <v>26</v>
      </c>
      <c r="B32" s="27">
        <v>0.6958333333333333</v>
      </c>
      <c r="C32">
        <v>-1.5137927272727252E-3</v>
      </c>
      <c r="D32">
        <f t="shared" si="0"/>
        <v>4.6887855651876298E-5</v>
      </c>
      <c r="E32">
        <v>24</v>
      </c>
    </row>
    <row r="33" spans="1:25" x14ac:dyDescent="0.25">
      <c r="A33" s="6" t="s">
        <v>19</v>
      </c>
      <c r="B33" s="27">
        <v>0.69791666666666663</v>
      </c>
      <c r="C33">
        <v>4.1257890909090931E-3</v>
      </c>
      <c r="D33">
        <f t="shared" si="0"/>
        <v>1.2779120936401461E-4</v>
      </c>
      <c r="E33">
        <v>27</v>
      </c>
    </row>
    <row r="34" spans="1:25" x14ac:dyDescent="0.25">
      <c r="A34" s="6" t="s">
        <v>13</v>
      </c>
      <c r="B34" s="27">
        <v>0.70000000000000007</v>
      </c>
      <c r="C34">
        <v>1.4358916666667247E-4</v>
      </c>
      <c r="D34">
        <f t="shared" si="0"/>
        <v>4.4474966741118462E-6</v>
      </c>
      <c r="E34">
        <v>30</v>
      </c>
      <c r="W34" t="s">
        <v>329</v>
      </c>
      <c r="X34" s="16">
        <v>44394</v>
      </c>
      <c r="Y34">
        <v>2.2132108800000001E-2</v>
      </c>
    </row>
    <row r="35" spans="1:25" x14ac:dyDescent="0.25">
      <c r="A35" s="6" t="s">
        <v>27</v>
      </c>
      <c r="B35" s="27">
        <v>0.70208333333333339</v>
      </c>
      <c r="C35">
        <v>-1.5137927272727252E-3</v>
      </c>
      <c r="D35">
        <f t="shared" si="0"/>
        <v>4.6887855651876298E-5</v>
      </c>
      <c r="E35">
        <v>33</v>
      </c>
      <c r="W35" t="s">
        <v>329</v>
      </c>
      <c r="X35" s="16">
        <v>44396</v>
      </c>
      <c r="Y35">
        <v>2.2695664800000001E-2</v>
      </c>
    </row>
    <row r="36" spans="1:25" x14ac:dyDescent="0.25">
      <c r="A36" s="6" t="s">
        <v>29</v>
      </c>
      <c r="B36" s="27">
        <v>0.70416666666666661</v>
      </c>
      <c r="C36">
        <v>4.8383566666666648E-3</v>
      </c>
      <c r="D36">
        <f t="shared" si="0"/>
        <v>1.4986210786444661E-4</v>
      </c>
      <c r="E36">
        <v>36</v>
      </c>
      <c r="W36" t="s">
        <v>329</v>
      </c>
      <c r="X36" s="16">
        <v>44404</v>
      </c>
      <c r="Y36">
        <v>3.1571680000000435E-4</v>
      </c>
    </row>
    <row r="37" spans="1:25" x14ac:dyDescent="0.25">
      <c r="A37" s="6" t="s">
        <v>18</v>
      </c>
      <c r="B37" s="27">
        <v>0.70624999999999993</v>
      </c>
      <c r="C37">
        <v>-1.6651719999999978E-3</v>
      </c>
      <c r="D37">
        <f t="shared" si="0"/>
        <v>5.1576641217063925E-5</v>
      </c>
      <c r="E37">
        <v>39</v>
      </c>
      <c r="S37" s="8" t="s">
        <v>58</v>
      </c>
      <c r="T37" s="24" t="s">
        <v>295</v>
      </c>
      <c r="U37">
        <v>2.7761379999999999E-2</v>
      </c>
      <c r="W37" t="s">
        <v>329</v>
      </c>
      <c r="X37" s="16">
        <v>44421</v>
      </c>
      <c r="Y37">
        <v>1.4682706666666668E-2</v>
      </c>
    </row>
    <row r="38" spans="1:25" x14ac:dyDescent="0.25">
      <c r="A38" s="6" t="s">
        <v>14</v>
      </c>
      <c r="B38" s="27">
        <v>0.70833333333333337</v>
      </c>
      <c r="C38">
        <v>1.581395666666667E-2</v>
      </c>
      <c r="D38">
        <f t="shared" si="0"/>
        <v>4.8981773007164672E-4</v>
      </c>
      <c r="E38">
        <v>42</v>
      </c>
      <c r="S38" s="8" t="s">
        <v>57</v>
      </c>
      <c r="T38" s="24" t="s">
        <v>295</v>
      </c>
      <c r="U38">
        <v>2.2132108800000001E-2</v>
      </c>
      <c r="W38" t="s">
        <v>330</v>
      </c>
      <c r="X38" s="16">
        <v>44394</v>
      </c>
      <c r="Y38">
        <v>2.7761379999999999E-2</v>
      </c>
    </row>
    <row r="39" spans="1:25" x14ac:dyDescent="0.25">
      <c r="A39" s="6" t="s">
        <v>17</v>
      </c>
      <c r="B39" s="27">
        <v>0.7104166666666667</v>
      </c>
      <c r="C39">
        <v>-1.5858780952380932E-3</v>
      </c>
      <c r="D39">
        <f t="shared" si="0"/>
        <v>4.9120610682918029E-5</v>
      </c>
      <c r="E39">
        <v>45</v>
      </c>
      <c r="S39" s="8" t="s">
        <v>55</v>
      </c>
      <c r="T39" s="24" t="s">
        <v>296</v>
      </c>
      <c r="U39">
        <v>2.2695664800000001E-2</v>
      </c>
      <c r="W39" t="s">
        <v>330</v>
      </c>
      <c r="X39" s="16">
        <v>44396</v>
      </c>
      <c r="Y39">
        <v>2.2695664800000001E-2</v>
      </c>
    </row>
    <row r="40" spans="1:25" x14ac:dyDescent="0.25">
      <c r="A40" s="6" t="s">
        <v>20</v>
      </c>
      <c r="B40" s="26">
        <v>44404</v>
      </c>
      <c r="C40">
        <v>14.042816120000001</v>
      </c>
      <c r="D40">
        <f t="shared" si="0"/>
        <v>0.43495884431064347</v>
      </c>
      <c r="S40" s="8" t="s">
        <v>56</v>
      </c>
      <c r="T40" s="24" t="s">
        <v>296</v>
      </c>
      <c r="U40">
        <v>2.2695664800000001E-2</v>
      </c>
      <c r="W40" t="s">
        <v>330</v>
      </c>
      <c r="X40" s="16">
        <v>44404</v>
      </c>
      <c r="Y40">
        <v>8.1200000000000022E-4</v>
      </c>
    </row>
    <row r="41" spans="1:25" x14ac:dyDescent="0.25">
      <c r="A41" s="6" t="s">
        <v>21</v>
      </c>
      <c r="B41" s="26">
        <v>44404</v>
      </c>
      <c r="C41">
        <v>12.755082799999998</v>
      </c>
      <c r="D41">
        <f t="shared" si="0"/>
        <v>0.39507289893749353</v>
      </c>
      <c r="S41" s="9" t="s">
        <v>53</v>
      </c>
      <c r="T41" s="25" t="s">
        <v>311</v>
      </c>
      <c r="U41">
        <v>8.1200000000000022E-4</v>
      </c>
      <c r="W41" t="s">
        <v>330</v>
      </c>
      <c r="X41" s="16">
        <v>44421</v>
      </c>
      <c r="Y41">
        <v>6.5774333333334239E-4</v>
      </c>
    </row>
    <row r="42" spans="1:25" x14ac:dyDescent="0.25">
      <c r="A42" s="6" t="s">
        <v>22</v>
      </c>
      <c r="B42" s="26">
        <v>44404</v>
      </c>
      <c r="C42">
        <v>18.515120853999996</v>
      </c>
      <c r="D42">
        <f t="shared" si="0"/>
        <v>0.57348294673303257</v>
      </c>
      <c r="S42" s="9" t="s">
        <v>54</v>
      </c>
      <c r="T42" s="25" t="s">
        <v>311</v>
      </c>
      <c r="U42">
        <v>3.1571680000000435E-4</v>
      </c>
    </row>
    <row r="43" spans="1:25" x14ac:dyDescent="0.25">
      <c r="A43" s="6" t="s">
        <v>23</v>
      </c>
      <c r="B43" s="26">
        <v>44404</v>
      </c>
      <c r="C43">
        <v>38.367838026666682</v>
      </c>
      <c r="D43">
        <f t="shared" si="0"/>
        <v>1.1883962834925235</v>
      </c>
      <c r="S43" s="9" t="s">
        <v>50</v>
      </c>
      <c r="T43" s="25" t="s">
        <v>313</v>
      </c>
      <c r="U43">
        <v>6.5774333333334239E-4</v>
      </c>
    </row>
    <row r="44" spans="1:25" x14ac:dyDescent="0.25">
      <c r="S44" s="9" t="s">
        <v>49</v>
      </c>
      <c r="T44" s="25" t="s">
        <v>313</v>
      </c>
      <c r="U44">
        <v>1.4682706666666668E-2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3D41-6032-4AD8-951F-B827E5BCCE32}">
  <sheetPr codeName="Sheet6"/>
  <dimension ref="A1:AI119"/>
  <sheetViews>
    <sheetView topLeftCell="A25" workbookViewId="0">
      <selection activeCell="G32" sqref="G32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5.42578125" customWidth="1"/>
    <col min="5" max="5" width="12" bestFit="1" customWidth="1"/>
    <col min="7" max="7" width="9.140625" style="32"/>
    <col min="16" max="16" width="10.7109375" bestFit="1" customWidth="1"/>
    <col min="18" max="18" width="15.42578125" bestFit="1" customWidth="1"/>
    <col min="19" max="19" width="11.42578125" bestFit="1" customWidth="1"/>
  </cols>
  <sheetData>
    <row r="1" spans="1:33" x14ac:dyDescent="0.25">
      <c r="A1" t="s">
        <v>84</v>
      </c>
      <c r="B1" t="s">
        <v>285</v>
      </c>
      <c r="C1" t="s">
        <v>288</v>
      </c>
      <c r="D1" t="s">
        <v>152</v>
      </c>
      <c r="E1" s="22" t="s">
        <v>283</v>
      </c>
      <c r="F1" s="22" t="s">
        <v>284</v>
      </c>
      <c r="G1" s="31" t="s">
        <v>334</v>
      </c>
    </row>
    <row r="2" spans="1:33" x14ac:dyDescent="0.25">
      <c r="A2" t="s">
        <v>199</v>
      </c>
      <c r="D2">
        <v>9.6000000000000002E-2</v>
      </c>
      <c r="E2">
        <f t="shared" ref="E2:E33" si="0">0.0602*D2^2+0.028*D2-0.0003</f>
        <v>2.9428032000000004E-3</v>
      </c>
      <c r="P2" s="16">
        <v>44909</v>
      </c>
    </row>
    <row r="3" spans="1:33" x14ac:dyDescent="0.25">
      <c r="A3" t="s">
        <v>199</v>
      </c>
      <c r="D3">
        <v>9.7000000000000003E-2</v>
      </c>
      <c r="E3">
        <f t="shared" si="0"/>
        <v>2.9824218000000001E-3</v>
      </c>
      <c r="P3">
        <v>885</v>
      </c>
      <c r="S3" t="s">
        <v>209</v>
      </c>
      <c r="T3">
        <v>55</v>
      </c>
    </row>
    <row r="4" spans="1:33" x14ac:dyDescent="0.25">
      <c r="A4" s="19" t="s">
        <v>200</v>
      </c>
      <c r="D4">
        <v>9.2999999999999999E-2</v>
      </c>
      <c r="E4">
        <f t="shared" si="0"/>
        <v>2.8246698E-3</v>
      </c>
      <c r="P4" t="s">
        <v>84</v>
      </c>
      <c r="R4" t="s">
        <v>138</v>
      </c>
      <c r="S4" t="s">
        <v>137</v>
      </c>
    </row>
    <row r="5" spans="1:33" x14ac:dyDescent="0.25">
      <c r="A5" s="19" t="s">
        <v>200</v>
      </c>
      <c r="D5">
        <v>9.5000000000000001E-2</v>
      </c>
      <c r="E5">
        <f t="shared" si="0"/>
        <v>2.9033050000000001E-3</v>
      </c>
      <c r="P5" s="1" t="s">
        <v>72</v>
      </c>
      <c r="Q5">
        <v>0</v>
      </c>
      <c r="R5">
        <v>0</v>
      </c>
      <c r="S5">
        <v>9.4E-2</v>
      </c>
      <c r="T5">
        <v>9.7000000000000003E-2</v>
      </c>
    </row>
    <row r="6" spans="1:33" x14ac:dyDescent="0.25">
      <c r="A6" t="s">
        <v>201</v>
      </c>
      <c r="D6">
        <v>9.2999999999999999E-2</v>
      </c>
      <c r="E6">
        <f t="shared" si="0"/>
        <v>2.8246698E-3</v>
      </c>
      <c r="P6" s="1" t="s">
        <v>73</v>
      </c>
      <c r="Q6">
        <v>2.5000000000000001E-2</v>
      </c>
      <c r="R6">
        <v>3.3999999999999998E-3</v>
      </c>
      <c r="S6">
        <v>0.14199999999999999</v>
      </c>
      <c r="T6">
        <v>0.14000000000000001</v>
      </c>
    </row>
    <row r="7" spans="1:33" x14ac:dyDescent="0.25">
      <c r="A7" t="s">
        <v>201</v>
      </c>
      <c r="D7">
        <v>9.5000000000000001E-2</v>
      </c>
      <c r="E7">
        <f t="shared" si="0"/>
        <v>2.9033050000000001E-3</v>
      </c>
      <c r="P7" s="1" t="s">
        <v>74</v>
      </c>
      <c r="Q7">
        <v>0.05</v>
      </c>
      <c r="R7">
        <v>6.7999999999999996E-3</v>
      </c>
      <c r="S7">
        <v>0.183</v>
      </c>
      <c r="T7">
        <v>0.18</v>
      </c>
    </row>
    <row r="8" spans="1:33" x14ac:dyDescent="0.25">
      <c r="A8" t="s">
        <v>202</v>
      </c>
      <c r="D8">
        <v>9.5000000000000001E-2</v>
      </c>
      <c r="E8">
        <f t="shared" si="0"/>
        <v>2.9033050000000001E-3</v>
      </c>
      <c r="P8" s="1" t="s">
        <v>75</v>
      </c>
      <c r="Q8">
        <v>0.1</v>
      </c>
      <c r="R8">
        <v>1.3599999999999999E-2</v>
      </c>
      <c r="S8">
        <v>0.27500000000000002</v>
      </c>
      <c r="T8">
        <v>0.27700000000000002</v>
      </c>
    </row>
    <row r="9" spans="1:33" x14ac:dyDescent="0.25">
      <c r="A9" t="s">
        <v>202</v>
      </c>
      <c r="D9">
        <v>0.10199999999999999</v>
      </c>
      <c r="E9">
        <f t="shared" si="0"/>
        <v>3.1823208E-3</v>
      </c>
      <c r="P9" s="1" t="s">
        <v>76</v>
      </c>
      <c r="Q9">
        <v>0.15</v>
      </c>
      <c r="R9">
        <v>2.0400000000000001E-2</v>
      </c>
      <c r="S9">
        <v>0.36399999999999999</v>
      </c>
      <c r="T9">
        <v>0.371</v>
      </c>
      <c r="AG9">
        <v>0.92400000000000004</v>
      </c>
    </row>
    <row r="10" spans="1:33" x14ac:dyDescent="0.25">
      <c r="A10" s="19" t="s">
        <v>203</v>
      </c>
      <c r="D10">
        <v>9.4E-2</v>
      </c>
      <c r="E10">
        <f t="shared" si="0"/>
        <v>2.8639272000000001E-3</v>
      </c>
      <c r="P10" s="1" t="s">
        <v>77</v>
      </c>
      <c r="Q10">
        <v>0.2</v>
      </c>
      <c r="R10">
        <v>2.7199999999999998E-2</v>
      </c>
      <c r="S10">
        <v>0.46800000000000003</v>
      </c>
      <c r="T10">
        <v>0.46600000000000003</v>
      </c>
      <c r="AF10">
        <v>0.96299999999999997</v>
      </c>
    </row>
    <row r="11" spans="1:33" x14ac:dyDescent="0.25">
      <c r="A11" s="19" t="s">
        <v>203</v>
      </c>
      <c r="D11">
        <v>9.7000000000000003E-2</v>
      </c>
      <c r="E11">
        <f t="shared" si="0"/>
        <v>2.9824218000000001E-3</v>
      </c>
      <c r="P11" s="1" t="s">
        <v>133</v>
      </c>
      <c r="Q11">
        <v>0.35</v>
      </c>
      <c r="R11">
        <f>(Q11*R10)/Q10</f>
        <v>4.759999999999999E-2</v>
      </c>
      <c r="S11">
        <v>0.627</v>
      </c>
      <c r="T11">
        <v>0.92400000000000004</v>
      </c>
      <c r="AF11">
        <v>1.1180000000000001</v>
      </c>
      <c r="AG11">
        <v>1.1180000000000001</v>
      </c>
    </row>
    <row r="12" spans="1:33" x14ac:dyDescent="0.25">
      <c r="A12" t="s">
        <v>183</v>
      </c>
      <c r="B12">
        <v>75</v>
      </c>
      <c r="C12">
        <f>B12/1000</f>
        <v>7.4999999999999997E-2</v>
      </c>
      <c r="D12">
        <v>0.20599999999999999</v>
      </c>
      <c r="E12">
        <f t="shared" si="0"/>
        <v>8.0226471999999983E-3</v>
      </c>
      <c r="F12">
        <f>E12/C12</f>
        <v>0.10696862933333331</v>
      </c>
      <c r="G12" s="32">
        <f>ABS(F12*0.030973762)</f>
        <v>3.3132208664368844E-3</v>
      </c>
      <c r="P12" s="1" t="s">
        <v>134</v>
      </c>
      <c r="Q12">
        <v>0.5</v>
      </c>
      <c r="R12">
        <v>6.8000000000000005E-2</v>
      </c>
      <c r="S12">
        <v>0.80500000000000005</v>
      </c>
      <c r="T12">
        <v>0.96299999999999997</v>
      </c>
      <c r="AG12">
        <v>1.073</v>
      </c>
    </row>
    <row r="13" spans="1:33" x14ac:dyDescent="0.25">
      <c r="A13" t="s">
        <v>286</v>
      </c>
      <c r="B13">
        <v>90</v>
      </c>
      <c r="C13">
        <f t="shared" ref="C13:C76" si="1">B13/1000</f>
        <v>0.09</v>
      </c>
      <c r="D13">
        <v>0.68799999999999994</v>
      </c>
      <c r="E13">
        <f t="shared" si="0"/>
        <v>4.7459308799999995E-2</v>
      </c>
      <c r="F13">
        <f t="shared" ref="F13:F76" si="2">E13/C13</f>
        <v>0.52732565333333326</v>
      </c>
      <c r="G13" s="32">
        <f t="shared" ref="G13:G76" si="3">ABS(F13*0.030973762)</f>
        <v>1.633325928284117E-2</v>
      </c>
      <c r="P13" s="1" t="s">
        <v>135</v>
      </c>
      <c r="Q13">
        <v>0.75</v>
      </c>
      <c r="R13">
        <v>0.10199999999999999</v>
      </c>
      <c r="S13">
        <v>0.82399999999999995</v>
      </c>
      <c r="T13">
        <v>1.1180000000000001</v>
      </c>
      <c r="AF13">
        <v>1.6559999999999999</v>
      </c>
      <c r="AG13">
        <v>1.5660000000000001</v>
      </c>
    </row>
    <row r="14" spans="1:33" x14ac:dyDescent="0.25">
      <c r="A14" t="s">
        <v>226</v>
      </c>
      <c r="B14">
        <v>90</v>
      </c>
      <c r="C14">
        <f t="shared" si="1"/>
        <v>0.09</v>
      </c>
      <c r="D14">
        <v>0.999</v>
      </c>
      <c r="E14">
        <f t="shared" si="0"/>
        <v>8.7751660199999998E-2</v>
      </c>
      <c r="F14">
        <f t="shared" si="2"/>
        <v>0.9750184466666667</v>
      </c>
      <c r="G14" s="32">
        <f t="shared" si="3"/>
        <v>3.0199989312663027E-2</v>
      </c>
      <c r="P14" s="1" t="s">
        <v>136</v>
      </c>
      <c r="Q14">
        <v>1</v>
      </c>
      <c r="R14">
        <v>0.13600000000000001</v>
      </c>
      <c r="S14">
        <v>0.70599999999999996</v>
      </c>
      <c r="T14">
        <v>1.073</v>
      </c>
      <c r="AF14">
        <v>1.633</v>
      </c>
    </row>
    <row r="15" spans="1:33" x14ac:dyDescent="0.25">
      <c r="A15" t="s">
        <v>256</v>
      </c>
      <c r="B15">
        <v>75</v>
      </c>
      <c r="C15">
        <f t="shared" si="1"/>
        <v>7.4999999999999997E-2</v>
      </c>
      <c r="D15">
        <v>0.91</v>
      </c>
      <c r="E15">
        <f t="shared" si="0"/>
        <v>7.5031620000000007E-2</v>
      </c>
      <c r="F15">
        <f t="shared" si="2"/>
        <v>1.0004216000000001</v>
      </c>
      <c r="G15" s="32">
        <f t="shared" si="3"/>
        <v>3.0986820538059203E-2</v>
      </c>
      <c r="P15" s="1" t="s">
        <v>264</v>
      </c>
      <c r="Q15">
        <v>2</v>
      </c>
      <c r="R15">
        <v>0.27200000000000002</v>
      </c>
      <c r="S15">
        <v>1.6559999999999999</v>
      </c>
      <c r="T15">
        <v>1.556</v>
      </c>
    </row>
    <row r="16" spans="1:33" x14ac:dyDescent="0.25">
      <c r="A16" t="s">
        <v>237</v>
      </c>
      <c r="B16">
        <v>75</v>
      </c>
      <c r="C16">
        <f t="shared" si="1"/>
        <v>7.4999999999999997E-2</v>
      </c>
      <c r="D16">
        <v>0.70699999999999996</v>
      </c>
      <c r="E16">
        <f t="shared" si="0"/>
        <v>4.9586909799999988E-2</v>
      </c>
      <c r="F16">
        <f t="shared" si="2"/>
        <v>0.66115879733333316</v>
      </c>
      <c r="G16" s="32">
        <f t="shared" si="3"/>
        <v>2.0478575232808896E-2</v>
      </c>
      <c r="P16" s="1" t="s">
        <v>265</v>
      </c>
      <c r="Q16">
        <v>3</v>
      </c>
      <c r="R16">
        <v>0.40799999999999997</v>
      </c>
      <c r="S16">
        <v>1.633</v>
      </c>
      <c r="T16">
        <v>1.633</v>
      </c>
    </row>
    <row r="17" spans="1:35" x14ac:dyDescent="0.25">
      <c r="A17" t="s">
        <v>250</v>
      </c>
      <c r="B17">
        <v>93</v>
      </c>
      <c r="C17">
        <f t="shared" si="1"/>
        <v>9.2999999999999999E-2</v>
      </c>
      <c r="D17">
        <v>0.93799999999999994</v>
      </c>
      <c r="E17">
        <f t="shared" si="0"/>
        <v>7.8930608799999996E-2</v>
      </c>
      <c r="F17">
        <f t="shared" si="2"/>
        <v>0.84871622365591393</v>
      </c>
      <c r="G17" s="32">
        <f t="shared" si="3"/>
        <v>2.6287934317057046E-2</v>
      </c>
    </row>
    <row r="18" spans="1:35" x14ac:dyDescent="0.25">
      <c r="A18" t="s">
        <v>230</v>
      </c>
      <c r="B18">
        <v>90</v>
      </c>
      <c r="C18">
        <f t="shared" si="1"/>
        <v>0.09</v>
      </c>
      <c r="D18">
        <v>0.89500000000000002</v>
      </c>
      <c r="E18">
        <f t="shared" si="0"/>
        <v>7.2981705000000008E-2</v>
      </c>
      <c r="F18">
        <f t="shared" si="2"/>
        <v>0.81090783333333349</v>
      </c>
      <c r="G18" s="32">
        <f t="shared" si="3"/>
        <v>2.5116866233602337E-2</v>
      </c>
    </row>
    <row r="19" spans="1:35" x14ac:dyDescent="0.25">
      <c r="A19" s="19" t="s">
        <v>170</v>
      </c>
      <c r="B19">
        <v>75</v>
      </c>
      <c r="C19">
        <f t="shared" si="1"/>
        <v>7.4999999999999997E-2</v>
      </c>
      <c r="D19">
        <v>0.72399999999999998</v>
      </c>
      <c r="E19">
        <f t="shared" si="0"/>
        <v>5.1527395199999992E-2</v>
      </c>
      <c r="F19">
        <f t="shared" si="2"/>
        <v>0.6870319359999999</v>
      </c>
      <c r="G19" s="32">
        <f t="shared" si="3"/>
        <v>2.1279963672063227E-2</v>
      </c>
    </row>
    <row r="20" spans="1:35" x14ac:dyDescent="0.25">
      <c r="A20" s="19" t="s">
        <v>238</v>
      </c>
      <c r="B20">
        <v>70</v>
      </c>
      <c r="C20">
        <f t="shared" si="1"/>
        <v>7.0000000000000007E-2</v>
      </c>
      <c r="D20">
        <v>0.22900000000000001</v>
      </c>
      <c r="E20">
        <f t="shared" si="0"/>
        <v>9.2689482E-3</v>
      </c>
      <c r="F20">
        <f t="shared" si="2"/>
        <v>0.13241354571428571</v>
      </c>
      <c r="G20" s="32">
        <f t="shared" si="3"/>
        <v>4.1013456505304049E-3</v>
      </c>
    </row>
    <row r="21" spans="1:35" x14ac:dyDescent="0.25">
      <c r="A21" t="s">
        <v>218</v>
      </c>
      <c r="B21">
        <v>95</v>
      </c>
      <c r="C21">
        <f t="shared" si="1"/>
        <v>9.5000000000000001E-2</v>
      </c>
      <c r="D21">
        <v>0.247</v>
      </c>
      <c r="E21">
        <f t="shared" si="0"/>
        <v>1.0288741800000001E-2</v>
      </c>
      <c r="F21">
        <f t="shared" si="2"/>
        <v>0.1083025452631579</v>
      </c>
      <c r="G21" s="32">
        <f t="shared" si="3"/>
        <v>3.3545372609752799E-3</v>
      </c>
    </row>
    <row r="22" spans="1:35" x14ac:dyDescent="0.25">
      <c r="A22" t="s">
        <v>186</v>
      </c>
      <c r="B22">
        <v>75</v>
      </c>
      <c r="C22">
        <f t="shared" si="1"/>
        <v>7.4999999999999997E-2</v>
      </c>
      <c r="D22">
        <v>0.215</v>
      </c>
      <c r="E22">
        <f t="shared" si="0"/>
        <v>8.5027450000000008E-3</v>
      </c>
      <c r="F22">
        <f t="shared" si="2"/>
        <v>0.11336993333333335</v>
      </c>
      <c r="G22" s="32">
        <f t="shared" si="3"/>
        <v>3.5114933330225337E-3</v>
      </c>
      <c r="AI22">
        <f>0.136*3</f>
        <v>0.40800000000000003</v>
      </c>
    </row>
    <row r="23" spans="1:35" x14ac:dyDescent="0.25">
      <c r="A23" s="19" t="s">
        <v>182</v>
      </c>
      <c r="B23">
        <v>130</v>
      </c>
      <c r="C23">
        <f t="shared" si="1"/>
        <v>0.13</v>
      </c>
      <c r="D23">
        <v>1.0049999999999999</v>
      </c>
      <c r="E23">
        <f t="shared" si="0"/>
        <v>8.8643504999999984E-2</v>
      </c>
      <c r="F23">
        <f t="shared" si="2"/>
        <v>0.68187311538461526</v>
      </c>
      <c r="G23" s="32">
        <f t="shared" si="3"/>
        <v>2.1120175590121609E-2</v>
      </c>
    </row>
    <row r="24" spans="1:35" x14ac:dyDescent="0.25">
      <c r="A24" s="19" t="s">
        <v>163</v>
      </c>
      <c r="B24">
        <v>110</v>
      </c>
      <c r="C24">
        <f t="shared" si="1"/>
        <v>0.11</v>
      </c>
      <c r="D24">
        <v>1.069</v>
      </c>
      <c r="E24">
        <f t="shared" si="0"/>
        <v>9.8426212200000002E-2</v>
      </c>
      <c r="F24">
        <f t="shared" si="2"/>
        <v>0.89478374727272725</v>
      </c>
      <c r="G24" s="32">
        <f t="shared" si="3"/>
        <v>2.7714818829493601E-2</v>
      </c>
      <c r="P24" s="16">
        <v>44920</v>
      </c>
    </row>
    <row r="25" spans="1:35" x14ac:dyDescent="0.25">
      <c r="A25" t="s">
        <v>181</v>
      </c>
      <c r="B25">
        <v>90</v>
      </c>
      <c r="C25">
        <f t="shared" si="1"/>
        <v>0.09</v>
      </c>
      <c r="D25">
        <v>1.1639999999999999</v>
      </c>
      <c r="E25">
        <f t="shared" si="0"/>
        <v>0.11385673919999999</v>
      </c>
      <c r="F25">
        <f t="shared" si="2"/>
        <v>1.26507488</v>
      </c>
      <c r="G25" s="32">
        <f t="shared" si="3"/>
        <v>3.9184128245298558E-2</v>
      </c>
      <c r="P25">
        <v>885</v>
      </c>
      <c r="T25" t="s">
        <v>262</v>
      </c>
    </row>
    <row r="26" spans="1:35" x14ac:dyDescent="0.25">
      <c r="A26" t="s">
        <v>251</v>
      </c>
      <c r="B26">
        <v>80</v>
      </c>
      <c r="C26">
        <f t="shared" si="1"/>
        <v>0.08</v>
      </c>
      <c r="D26">
        <v>1.0149999999999999</v>
      </c>
      <c r="E26">
        <f t="shared" si="0"/>
        <v>9.0139544999999988E-2</v>
      </c>
      <c r="F26">
        <f t="shared" si="2"/>
        <v>1.1267443124999998</v>
      </c>
      <c r="G26" s="32">
        <f t="shared" si="3"/>
        <v>3.4899510170228618E-2</v>
      </c>
      <c r="P26" t="s">
        <v>84</v>
      </c>
      <c r="R26" t="s">
        <v>138</v>
      </c>
      <c r="S26" t="s">
        <v>96</v>
      </c>
      <c r="T26" t="s">
        <v>96</v>
      </c>
    </row>
    <row r="27" spans="1:35" x14ac:dyDescent="0.25">
      <c r="A27" t="s">
        <v>169</v>
      </c>
      <c r="B27">
        <v>80</v>
      </c>
      <c r="C27">
        <f t="shared" si="1"/>
        <v>0.08</v>
      </c>
      <c r="D27">
        <v>1.006</v>
      </c>
      <c r="E27">
        <f t="shared" si="0"/>
        <v>8.8792567200000005E-2</v>
      </c>
      <c r="F27">
        <f t="shared" si="2"/>
        <v>1.1099070900000001</v>
      </c>
      <c r="G27" s="32">
        <f t="shared" si="3"/>
        <v>3.4377998047772584E-2</v>
      </c>
      <c r="P27" s="1" t="s">
        <v>72</v>
      </c>
      <c r="Q27">
        <v>0</v>
      </c>
      <c r="R27">
        <v>0</v>
      </c>
      <c r="S27">
        <v>9.2999999999999999E-2</v>
      </c>
      <c r="T27">
        <v>9.7000000000000003E-2</v>
      </c>
    </row>
    <row r="28" spans="1:35" x14ac:dyDescent="0.25">
      <c r="A28" t="s">
        <v>220</v>
      </c>
      <c r="B28">
        <v>65</v>
      </c>
      <c r="C28">
        <f t="shared" si="1"/>
        <v>6.5000000000000002E-2</v>
      </c>
      <c r="D28">
        <v>0.40699999999999997</v>
      </c>
      <c r="E28">
        <f t="shared" si="0"/>
        <v>2.1068069799999999E-2</v>
      </c>
      <c r="F28">
        <f t="shared" si="2"/>
        <v>0.32412415076923073</v>
      </c>
      <c r="G28" s="32">
        <f t="shared" si="3"/>
        <v>1.003934430437827E-2</v>
      </c>
      <c r="P28" s="1" t="s">
        <v>73</v>
      </c>
      <c r="Q28">
        <v>2.5000000000000001E-2</v>
      </c>
      <c r="R28">
        <v>3.3999999999999998E-3</v>
      </c>
      <c r="S28">
        <v>0.13700000000000001</v>
      </c>
      <c r="T28">
        <v>0.13800000000000001</v>
      </c>
    </row>
    <row r="29" spans="1:35" x14ac:dyDescent="0.25">
      <c r="A29" t="s">
        <v>236</v>
      </c>
      <c r="B29">
        <v>75</v>
      </c>
      <c r="C29">
        <f t="shared" si="1"/>
        <v>7.4999999999999997E-2</v>
      </c>
      <c r="D29">
        <v>0.252</v>
      </c>
      <c r="E29">
        <f t="shared" si="0"/>
        <v>1.05789408E-2</v>
      </c>
      <c r="F29">
        <f t="shared" si="2"/>
        <v>0.141052544</v>
      </c>
      <c r="G29" s="32">
        <f t="shared" si="3"/>
        <v>4.3689279273505278E-3</v>
      </c>
      <c r="P29" s="1" t="s">
        <v>74</v>
      </c>
      <c r="Q29">
        <v>0.05</v>
      </c>
      <c r="R29">
        <v>6.7999999999999996E-3</v>
      </c>
      <c r="S29">
        <v>0.182</v>
      </c>
      <c r="T29">
        <v>0.182</v>
      </c>
    </row>
    <row r="30" spans="1:35" x14ac:dyDescent="0.25">
      <c r="A30" t="s">
        <v>184</v>
      </c>
      <c r="B30">
        <v>65</v>
      </c>
      <c r="C30">
        <f t="shared" si="1"/>
        <v>6.5000000000000002E-2</v>
      </c>
      <c r="D30">
        <v>0.17699999999999999</v>
      </c>
      <c r="E30">
        <f t="shared" si="0"/>
        <v>6.5420057999999994E-3</v>
      </c>
      <c r="F30">
        <f t="shared" si="2"/>
        <v>0.10064624307692306</v>
      </c>
      <c r="G30" s="32">
        <f t="shared" si="3"/>
        <v>3.1173927792587626E-3</v>
      </c>
      <c r="P30" s="1" t="s">
        <v>75</v>
      </c>
      <c r="Q30">
        <v>0.1</v>
      </c>
      <c r="R30">
        <v>1.3599999999999999E-2</v>
      </c>
      <c r="S30">
        <v>0.27800000000000002</v>
      </c>
      <c r="T30">
        <v>0.28000000000000003</v>
      </c>
    </row>
    <row r="31" spans="1:35" x14ac:dyDescent="0.25">
      <c r="A31" t="s">
        <v>240</v>
      </c>
      <c r="B31">
        <v>80</v>
      </c>
      <c r="C31">
        <f t="shared" si="1"/>
        <v>0.08</v>
      </c>
      <c r="D31">
        <v>0.17899999999999999</v>
      </c>
      <c r="E31">
        <f t="shared" si="0"/>
        <v>6.6408682000000004E-3</v>
      </c>
      <c r="F31">
        <f t="shared" si="2"/>
        <v>8.301085250000001E-2</v>
      </c>
      <c r="G31" s="32">
        <f t="shared" si="3"/>
        <v>2.5711583887521052E-3</v>
      </c>
      <c r="P31" s="1" t="s">
        <v>76</v>
      </c>
      <c r="Q31">
        <v>0.15</v>
      </c>
      <c r="R31">
        <v>2.0400000000000001E-2</v>
      </c>
      <c r="S31">
        <v>0.36099999999999999</v>
      </c>
      <c r="T31">
        <v>0.35799999999999998</v>
      </c>
    </row>
    <row r="32" spans="1:35" x14ac:dyDescent="0.25">
      <c r="A32" t="s">
        <v>287</v>
      </c>
      <c r="B32">
        <v>75</v>
      </c>
      <c r="C32">
        <f t="shared" si="1"/>
        <v>7.4999999999999997E-2</v>
      </c>
      <c r="D32">
        <v>0.746</v>
      </c>
      <c r="E32">
        <f t="shared" si="0"/>
        <v>5.4090263199999995E-2</v>
      </c>
      <c r="F32">
        <f t="shared" si="2"/>
        <v>0.72120350933333333</v>
      </c>
      <c r="G32" s="32">
        <f t="shared" si="3"/>
        <v>2.2338385851655443E-2</v>
      </c>
      <c r="P32" s="1" t="s">
        <v>77</v>
      </c>
      <c r="Q32">
        <v>0.2</v>
      </c>
      <c r="R32">
        <v>2.7199999999999998E-2</v>
      </c>
      <c r="S32">
        <v>0.46800000000000003</v>
      </c>
      <c r="T32">
        <v>0.47299999999999998</v>
      </c>
    </row>
    <row r="33" spans="1:20" x14ac:dyDescent="0.25">
      <c r="A33" t="s">
        <v>161</v>
      </c>
      <c r="B33">
        <v>75</v>
      </c>
      <c r="C33">
        <f t="shared" si="1"/>
        <v>7.4999999999999997E-2</v>
      </c>
      <c r="D33">
        <v>0.17199999999999999</v>
      </c>
      <c r="E33">
        <f t="shared" si="0"/>
        <v>6.2969567999999997E-3</v>
      </c>
      <c r="F33">
        <f t="shared" si="2"/>
        <v>8.3959424000000005E-2</v>
      </c>
      <c r="G33" s="32">
        <f t="shared" si="3"/>
        <v>2.600539216633088E-3</v>
      </c>
      <c r="P33" s="1" t="s">
        <v>133</v>
      </c>
      <c r="Q33">
        <v>0.35</v>
      </c>
      <c r="R33">
        <f>(Q33*R32)/Q32</f>
        <v>4.759999999999999E-2</v>
      </c>
      <c r="S33">
        <v>0.61599999999999999</v>
      </c>
      <c r="T33">
        <v>0.621</v>
      </c>
    </row>
    <row r="34" spans="1:20" x14ac:dyDescent="0.25">
      <c r="A34" t="s">
        <v>219</v>
      </c>
      <c r="B34">
        <v>80</v>
      </c>
      <c r="C34">
        <f t="shared" si="1"/>
        <v>0.08</v>
      </c>
      <c r="D34">
        <v>0.16400000000000001</v>
      </c>
      <c r="E34">
        <f t="shared" ref="E34:E65" si="4">0.0602*D34^2+0.028*D34-0.0003</f>
        <v>5.9111392000000011E-3</v>
      </c>
      <c r="F34">
        <f t="shared" si="2"/>
        <v>7.3889240000000009E-2</v>
      </c>
      <c r="G34" s="32">
        <f t="shared" si="3"/>
        <v>2.2886277341208801E-3</v>
      </c>
      <c r="P34" s="1" t="s">
        <v>134</v>
      </c>
      <c r="Q34">
        <v>0.5</v>
      </c>
      <c r="R34">
        <v>6.8000000000000005E-2</v>
      </c>
    </row>
    <row r="35" spans="1:20" x14ac:dyDescent="0.25">
      <c r="A35" t="s">
        <v>179</v>
      </c>
      <c r="B35">
        <v>50</v>
      </c>
      <c r="C35">
        <f t="shared" si="1"/>
        <v>0.05</v>
      </c>
      <c r="D35">
        <v>0.33500000000000002</v>
      </c>
      <c r="E35">
        <f t="shared" si="4"/>
        <v>1.5835945000000001E-2</v>
      </c>
      <c r="F35">
        <f t="shared" si="2"/>
        <v>0.31671889999999997</v>
      </c>
      <c r="G35" s="32">
        <f t="shared" si="3"/>
        <v>9.8099758295017991E-3</v>
      </c>
      <c r="P35" s="1" t="s">
        <v>135</v>
      </c>
      <c r="Q35">
        <v>0.75</v>
      </c>
      <c r="R35">
        <v>0.10199999999999999</v>
      </c>
    </row>
    <row r="36" spans="1:20" x14ac:dyDescent="0.25">
      <c r="A36" t="s">
        <v>224</v>
      </c>
      <c r="B36">
        <v>75</v>
      </c>
      <c r="C36">
        <f t="shared" si="1"/>
        <v>7.4999999999999997E-2</v>
      </c>
      <c r="D36">
        <v>0.45600000000000002</v>
      </c>
      <c r="E36">
        <f t="shared" si="4"/>
        <v>2.4985747199999998E-2</v>
      </c>
      <c r="F36">
        <f t="shared" si="2"/>
        <v>0.33314329599999998</v>
      </c>
      <c r="G36" s="32">
        <f t="shared" si="3"/>
        <v>1.031870116219955E-2</v>
      </c>
      <c r="P36" s="1" t="s">
        <v>136</v>
      </c>
      <c r="Q36">
        <v>1</v>
      </c>
      <c r="R36">
        <v>0.13600000000000001</v>
      </c>
    </row>
    <row r="37" spans="1:20" x14ac:dyDescent="0.25">
      <c r="A37" t="s">
        <v>172</v>
      </c>
      <c r="B37">
        <v>70</v>
      </c>
      <c r="C37">
        <f t="shared" si="1"/>
        <v>7.0000000000000007E-2</v>
      </c>
      <c r="D37">
        <v>0.308</v>
      </c>
      <c r="E37">
        <f t="shared" si="4"/>
        <v>1.4034812799999999E-2</v>
      </c>
      <c r="F37">
        <f t="shared" si="2"/>
        <v>0.20049732571428569</v>
      </c>
      <c r="G37" s="32">
        <f t="shared" si="3"/>
        <v>6.2101564483107649E-3</v>
      </c>
    </row>
    <row r="38" spans="1:20" x14ac:dyDescent="0.25">
      <c r="A38" t="s">
        <v>154</v>
      </c>
      <c r="B38">
        <v>75</v>
      </c>
      <c r="C38">
        <f t="shared" si="1"/>
        <v>7.4999999999999997E-2</v>
      </c>
      <c r="D38">
        <v>0.28699999999999998</v>
      </c>
      <c r="E38">
        <f t="shared" si="4"/>
        <v>1.2694613799999999E-2</v>
      </c>
      <c r="F38">
        <f t="shared" si="2"/>
        <v>0.16926151733333333</v>
      </c>
      <c r="G38" s="32">
        <f t="shared" si="3"/>
        <v>5.2426659536415413E-3</v>
      </c>
      <c r="P38" s="19"/>
    </row>
    <row r="39" spans="1:20" x14ac:dyDescent="0.25">
      <c r="A39" t="s">
        <v>261</v>
      </c>
      <c r="B39">
        <v>68</v>
      </c>
      <c r="C39">
        <f t="shared" si="1"/>
        <v>6.8000000000000005E-2</v>
      </c>
      <c r="D39">
        <v>0.191</v>
      </c>
      <c r="E39">
        <f t="shared" si="4"/>
        <v>7.2441562000000008E-3</v>
      </c>
      <c r="F39">
        <f t="shared" si="2"/>
        <v>0.10653170882352941</v>
      </c>
      <c r="G39" s="32">
        <f t="shared" si="3"/>
        <v>3.2996877945532998E-3</v>
      </c>
    </row>
    <row r="40" spans="1:20" x14ac:dyDescent="0.25">
      <c r="A40" s="19" t="s">
        <v>217</v>
      </c>
      <c r="B40" s="19">
        <v>75</v>
      </c>
      <c r="C40">
        <f t="shared" si="1"/>
        <v>7.4999999999999997E-2</v>
      </c>
      <c r="D40">
        <v>0.17199999999999999</v>
      </c>
      <c r="E40">
        <f t="shared" si="4"/>
        <v>6.2969567999999997E-3</v>
      </c>
      <c r="F40">
        <f t="shared" si="2"/>
        <v>8.3959424000000005E-2</v>
      </c>
      <c r="G40" s="32">
        <f t="shared" si="3"/>
        <v>2.600539216633088E-3</v>
      </c>
    </row>
    <row r="41" spans="1:20" x14ac:dyDescent="0.25">
      <c r="A41" t="s">
        <v>153</v>
      </c>
      <c r="B41">
        <v>50</v>
      </c>
      <c r="C41">
        <f t="shared" si="1"/>
        <v>0.05</v>
      </c>
      <c r="D41">
        <v>0.127</v>
      </c>
      <c r="E41">
        <f t="shared" si="4"/>
        <v>4.2269658000000003E-3</v>
      </c>
      <c r="F41">
        <f t="shared" si="2"/>
        <v>8.4539316000000003E-2</v>
      </c>
      <c r="G41" s="32">
        <f t="shared" si="3"/>
        <v>2.618500653426792E-3</v>
      </c>
      <c r="P41" s="19"/>
    </row>
    <row r="42" spans="1:20" x14ac:dyDescent="0.25">
      <c r="A42" t="s">
        <v>207</v>
      </c>
      <c r="B42">
        <v>65</v>
      </c>
      <c r="C42">
        <f t="shared" si="1"/>
        <v>6.5000000000000002E-2</v>
      </c>
      <c r="D42">
        <v>0.35099999999999998</v>
      </c>
      <c r="E42">
        <f t="shared" si="4"/>
        <v>1.6944700199999996E-2</v>
      </c>
      <c r="F42">
        <f t="shared" si="2"/>
        <v>0.26068769538461534</v>
      </c>
      <c r="G42" s="32">
        <f t="shared" si="3"/>
        <v>8.0744786331715737E-3</v>
      </c>
    </row>
    <row r="43" spans="1:20" x14ac:dyDescent="0.25">
      <c r="A43" t="s">
        <v>216</v>
      </c>
      <c r="B43">
        <v>80</v>
      </c>
      <c r="C43">
        <f t="shared" si="1"/>
        <v>0.08</v>
      </c>
      <c r="D43">
        <v>0.27300000000000002</v>
      </c>
      <c r="E43">
        <f t="shared" si="4"/>
        <v>1.1830645800000001E-2</v>
      </c>
      <c r="F43">
        <f t="shared" si="2"/>
        <v>0.14788307250000002</v>
      </c>
      <c r="G43" s="32">
        <f t="shared" si="3"/>
        <v>4.5804950914437453E-3</v>
      </c>
    </row>
    <row r="44" spans="1:20" x14ac:dyDescent="0.25">
      <c r="A44" t="s">
        <v>159</v>
      </c>
      <c r="B44">
        <v>95</v>
      </c>
      <c r="C44">
        <f t="shared" si="1"/>
        <v>9.5000000000000001E-2</v>
      </c>
      <c r="D44">
        <v>0.28299999999999997</v>
      </c>
      <c r="E44">
        <f t="shared" si="4"/>
        <v>1.2445357799999997E-2</v>
      </c>
      <c r="F44">
        <f t="shared" si="2"/>
        <v>0.13100376631578944</v>
      </c>
      <c r="G44" s="32">
        <f t="shared" si="3"/>
        <v>4.0576794789688791E-3</v>
      </c>
    </row>
    <row r="45" spans="1:20" x14ac:dyDescent="0.25">
      <c r="A45" t="s">
        <v>223</v>
      </c>
      <c r="B45">
        <v>80</v>
      </c>
      <c r="C45">
        <f t="shared" si="1"/>
        <v>0.08</v>
      </c>
      <c r="D45">
        <v>0.219</v>
      </c>
      <c r="E45">
        <f t="shared" si="4"/>
        <v>8.7192521999999995E-3</v>
      </c>
      <c r="F45">
        <f t="shared" si="2"/>
        <v>0.10899065249999999</v>
      </c>
      <c r="G45" s="32">
        <f t="shared" si="3"/>
        <v>3.3758505307597045E-3</v>
      </c>
    </row>
    <row r="46" spans="1:20" x14ac:dyDescent="0.25">
      <c r="A46" s="19" t="s">
        <v>176</v>
      </c>
      <c r="B46" s="19">
        <v>60</v>
      </c>
      <c r="C46">
        <f t="shared" si="1"/>
        <v>0.06</v>
      </c>
      <c r="D46">
        <v>0.18099999999999999</v>
      </c>
      <c r="E46">
        <f t="shared" si="4"/>
        <v>6.7402121999999998E-3</v>
      </c>
      <c r="F46">
        <f t="shared" si="2"/>
        <v>0.11233687000000001</v>
      </c>
      <c r="G46" s="32">
        <f t="shared" si="3"/>
        <v>3.4794954752049401E-3</v>
      </c>
    </row>
    <row r="47" spans="1:20" x14ac:dyDescent="0.25">
      <c r="A47" t="s">
        <v>160</v>
      </c>
      <c r="B47">
        <v>75</v>
      </c>
      <c r="C47">
        <f t="shared" si="1"/>
        <v>7.4999999999999997E-2</v>
      </c>
      <c r="D47">
        <v>0.76600000000000001</v>
      </c>
      <c r="E47">
        <f t="shared" si="4"/>
        <v>5.6470711200000002E-2</v>
      </c>
      <c r="F47">
        <f t="shared" si="2"/>
        <v>0.75294281600000001</v>
      </c>
      <c r="G47" s="32">
        <f t="shared" si="3"/>
        <v>2.3321471582393793E-2</v>
      </c>
    </row>
    <row r="48" spans="1:20" x14ac:dyDescent="0.25">
      <c r="A48" t="s">
        <v>229</v>
      </c>
      <c r="B48">
        <v>95</v>
      </c>
      <c r="C48">
        <f t="shared" si="1"/>
        <v>9.5000000000000001E-2</v>
      </c>
      <c r="D48">
        <v>0.78600000000000003</v>
      </c>
      <c r="E48">
        <f t="shared" si="4"/>
        <v>5.8899319199999994E-2</v>
      </c>
      <c r="F48">
        <f t="shared" si="2"/>
        <v>0.61999283368421043</v>
      </c>
      <c r="G48" s="32">
        <f t="shared" si="3"/>
        <v>1.9203510472240316E-2</v>
      </c>
    </row>
    <row r="49" spans="1:7" x14ac:dyDescent="0.25">
      <c r="A49" t="s">
        <v>208</v>
      </c>
      <c r="B49">
        <v>100</v>
      </c>
      <c r="C49">
        <f t="shared" si="1"/>
        <v>0.1</v>
      </c>
      <c r="D49">
        <v>0.59</v>
      </c>
      <c r="E49">
        <f t="shared" si="4"/>
        <v>3.7175619999999999E-2</v>
      </c>
      <c r="F49">
        <f t="shared" si="2"/>
        <v>0.37175619999999998</v>
      </c>
      <c r="G49" s="32">
        <f t="shared" si="3"/>
        <v>1.15146880608244E-2</v>
      </c>
    </row>
    <row r="50" spans="1:7" x14ac:dyDescent="0.25">
      <c r="A50" t="s">
        <v>166</v>
      </c>
      <c r="B50">
        <v>78</v>
      </c>
      <c r="C50">
        <f t="shared" si="1"/>
        <v>7.8E-2</v>
      </c>
      <c r="D50">
        <v>0.45400000000000001</v>
      </c>
      <c r="E50">
        <f t="shared" si="4"/>
        <v>2.4820183199999998E-2</v>
      </c>
      <c r="F50">
        <f t="shared" si="2"/>
        <v>0.31820747692307688</v>
      </c>
      <c r="G50" s="32">
        <f t="shared" si="3"/>
        <v>9.856082656835876E-3</v>
      </c>
    </row>
    <row r="51" spans="1:7" x14ac:dyDescent="0.25">
      <c r="A51" t="s">
        <v>257</v>
      </c>
      <c r="B51">
        <v>75</v>
      </c>
      <c r="C51">
        <f t="shared" si="1"/>
        <v>7.4999999999999997E-2</v>
      </c>
      <c r="D51">
        <v>0.495</v>
      </c>
      <c r="E51">
        <f t="shared" si="4"/>
        <v>2.8310505E-2</v>
      </c>
      <c r="F51">
        <f t="shared" si="2"/>
        <v>0.37747340000000001</v>
      </c>
      <c r="G51" s="32">
        <f t="shared" si="3"/>
        <v>1.16917712529308E-2</v>
      </c>
    </row>
    <row r="52" spans="1:7" x14ac:dyDescent="0.25">
      <c r="A52" t="s">
        <v>210</v>
      </c>
      <c r="B52">
        <v>80</v>
      </c>
      <c r="C52">
        <f t="shared" si="1"/>
        <v>0.08</v>
      </c>
      <c r="D52">
        <v>0.53300000000000003</v>
      </c>
      <c r="E52">
        <f t="shared" si="4"/>
        <v>3.1726157800000002E-2</v>
      </c>
      <c r="F52">
        <f t="shared" si="2"/>
        <v>0.39657697250000001</v>
      </c>
      <c r="G52" s="32">
        <f t="shared" si="3"/>
        <v>1.2283480760895546E-2</v>
      </c>
    </row>
    <row r="53" spans="1:7" x14ac:dyDescent="0.25">
      <c r="A53" s="19" t="s">
        <v>233</v>
      </c>
      <c r="B53" s="19">
        <v>65</v>
      </c>
      <c r="C53">
        <f t="shared" si="1"/>
        <v>6.5000000000000002E-2</v>
      </c>
      <c r="D53">
        <v>0.371</v>
      </c>
      <c r="E53">
        <f t="shared" si="4"/>
        <v>1.8373988199999997E-2</v>
      </c>
      <c r="F53">
        <f t="shared" si="2"/>
        <v>0.28267674153846145</v>
      </c>
      <c r="G53" s="32">
        <f t="shared" si="3"/>
        <v>8.7555621153478178E-3</v>
      </c>
    </row>
    <row r="54" spans="1:7" x14ac:dyDescent="0.25">
      <c r="A54" t="s">
        <v>177</v>
      </c>
      <c r="B54">
        <v>50</v>
      </c>
      <c r="C54">
        <f t="shared" si="1"/>
        <v>0.05</v>
      </c>
      <c r="D54">
        <v>0.22900000000000001</v>
      </c>
      <c r="E54">
        <f t="shared" si="4"/>
        <v>9.2689482E-3</v>
      </c>
      <c r="F54">
        <f t="shared" si="2"/>
        <v>0.18537896399999998</v>
      </c>
      <c r="G54" s="32">
        <f t="shared" si="3"/>
        <v>5.741883910742567E-3</v>
      </c>
    </row>
    <row r="55" spans="1:7" x14ac:dyDescent="0.25">
      <c r="A55" t="s">
        <v>245</v>
      </c>
      <c r="B55">
        <v>270</v>
      </c>
      <c r="C55">
        <f t="shared" si="1"/>
        <v>0.27</v>
      </c>
      <c r="D55">
        <v>0.17499999999999999</v>
      </c>
      <c r="E55">
        <f t="shared" si="4"/>
        <v>6.4436249999999997E-3</v>
      </c>
      <c r="F55">
        <f t="shared" si="2"/>
        <v>2.3865277777777773E-2</v>
      </c>
      <c r="G55" s="32">
        <f t="shared" si="3"/>
        <v>7.3919743395277761E-4</v>
      </c>
    </row>
    <row r="56" spans="1:7" x14ac:dyDescent="0.25">
      <c r="A56" t="s">
        <v>254</v>
      </c>
      <c r="B56">
        <v>50</v>
      </c>
      <c r="C56">
        <f t="shared" si="1"/>
        <v>0.05</v>
      </c>
      <c r="D56">
        <v>0.127</v>
      </c>
      <c r="E56">
        <f t="shared" si="4"/>
        <v>4.2269658000000003E-3</v>
      </c>
      <c r="F56">
        <f t="shared" si="2"/>
        <v>8.4539316000000003E-2</v>
      </c>
      <c r="G56" s="32">
        <f t="shared" si="3"/>
        <v>2.618500653426792E-3</v>
      </c>
    </row>
    <row r="57" spans="1:7" x14ac:dyDescent="0.25">
      <c r="A57" t="s">
        <v>185</v>
      </c>
      <c r="B57">
        <v>100</v>
      </c>
      <c r="C57">
        <f t="shared" si="1"/>
        <v>0.1</v>
      </c>
      <c r="D57">
        <v>0.124</v>
      </c>
      <c r="E57">
        <f t="shared" si="4"/>
        <v>4.0976352000000006E-3</v>
      </c>
      <c r="F57">
        <f t="shared" si="2"/>
        <v>4.0976352000000001E-2</v>
      </c>
      <c r="G57" s="32">
        <f t="shared" si="3"/>
        <v>1.2691917744762238E-3</v>
      </c>
    </row>
    <row r="58" spans="1:7" x14ac:dyDescent="0.25">
      <c r="A58" t="s">
        <v>232</v>
      </c>
      <c r="B58">
        <v>235</v>
      </c>
      <c r="C58">
        <f t="shared" si="1"/>
        <v>0.23499999999999999</v>
      </c>
      <c r="D58">
        <v>0.14599999999999999</v>
      </c>
      <c r="E58">
        <f t="shared" si="4"/>
        <v>5.0712231999999998E-3</v>
      </c>
      <c r="F58">
        <f t="shared" si="2"/>
        <v>2.1579673191489363E-2</v>
      </c>
      <c r="G58" s="32">
        <f t="shared" si="3"/>
        <v>6.6840366147097189E-4</v>
      </c>
    </row>
    <row r="59" spans="1:7" x14ac:dyDescent="0.25">
      <c r="A59" t="s">
        <v>247</v>
      </c>
      <c r="B59">
        <v>50</v>
      </c>
      <c r="C59">
        <f t="shared" si="1"/>
        <v>0.05</v>
      </c>
      <c r="D59">
        <v>0.114</v>
      </c>
      <c r="E59">
        <f t="shared" si="4"/>
        <v>3.6743592000000004E-3</v>
      </c>
      <c r="F59">
        <f t="shared" si="2"/>
        <v>7.3487183999999997E-2</v>
      </c>
      <c r="G59" s="32">
        <f t="shared" si="3"/>
        <v>2.2761745472662078E-3</v>
      </c>
    </row>
    <row r="60" spans="1:7" x14ac:dyDescent="0.25">
      <c r="A60" t="s">
        <v>180</v>
      </c>
      <c r="B60">
        <v>125</v>
      </c>
      <c r="C60">
        <f t="shared" si="1"/>
        <v>0.125</v>
      </c>
      <c r="D60">
        <v>0.124</v>
      </c>
      <c r="E60">
        <f t="shared" si="4"/>
        <v>4.0976352000000006E-3</v>
      </c>
      <c r="F60">
        <f t="shared" si="2"/>
        <v>3.2781081600000005E-2</v>
      </c>
      <c r="G60" s="32">
        <f t="shared" si="3"/>
        <v>1.0153534195809792E-3</v>
      </c>
    </row>
    <row r="61" spans="1:7" x14ac:dyDescent="0.25">
      <c r="A61" s="19" t="s">
        <v>252</v>
      </c>
      <c r="B61" s="19">
        <v>70</v>
      </c>
      <c r="C61">
        <f t="shared" si="1"/>
        <v>7.0000000000000007E-2</v>
      </c>
      <c r="D61">
        <v>2.0379999999999998</v>
      </c>
      <c r="E61">
        <f t="shared" si="4"/>
        <v>0.30680132879999994</v>
      </c>
      <c r="F61">
        <f t="shared" si="2"/>
        <v>4.3828761257142848</v>
      </c>
      <c r="G61" s="32">
        <f t="shared" si="3"/>
        <v>0.13575416199335633</v>
      </c>
    </row>
    <row r="62" spans="1:7" x14ac:dyDescent="0.25">
      <c r="A62" t="s">
        <v>178</v>
      </c>
      <c r="B62">
        <v>25</v>
      </c>
      <c r="C62">
        <f t="shared" si="1"/>
        <v>2.5000000000000001E-2</v>
      </c>
      <c r="D62">
        <v>1.6659999999999999</v>
      </c>
      <c r="E62">
        <f t="shared" si="4"/>
        <v>0.21343647119999998</v>
      </c>
      <c r="F62">
        <f t="shared" si="2"/>
        <v>8.5374588479999982</v>
      </c>
      <c r="G62" s="32">
        <f t="shared" si="3"/>
        <v>0.26443721844274609</v>
      </c>
    </row>
    <row r="63" spans="1:7" x14ac:dyDescent="0.25">
      <c r="A63" t="s">
        <v>222</v>
      </c>
      <c r="B63">
        <v>50</v>
      </c>
      <c r="C63">
        <f t="shared" si="1"/>
        <v>0.05</v>
      </c>
      <c r="D63">
        <v>1.597</v>
      </c>
      <c r="E63">
        <f t="shared" si="4"/>
        <v>0.19795062179999998</v>
      </c>
      <c r="F63">
        <f t="shared" si="2"/>
        <v>3.9590124359999992</v>
      </c>
      <c r="G63" s="32">
        <f t="shared" si="3"/>
        <v>0.1226255089477042</v>
      </c>
    </row>
    <row r="64" spans="1:7" x14ac:dyDescent="0.25">
      <c r="A64" t="s">
        <v>158</v>
      </c>
      <c r="B64">
        <v>45</v>
      </c>
      <c r="C64">
        <f t="shared" si="1"/>
        <v>4.4999999999999998E-2</v>
      </c>
      <c r="D64">
        <v>1.4179999999999999</v>
      </c>
      <c r="E64">
        <f t="shared" si="4"/>
        <v>0.16044958479999999</v>
      </c>
      <c r="F64">
        <f t="shared" si="2"/>
        <v>3.5655463288888889</v>
      </c>
      <c r="G64" s="32">
        <f t="shared" si="3"/>
        <v>0.11043838339097817</v>
      </c>
    </row>
    <row r="65" spans="1:7" x14ac:dyDescent="0.25">
      <c r="A65" t="s">
        <v>155</v>
      </c>
      <c r="B65">
        <v>20</v>
      </c>
      <c r="C65">
        <f t="shared" si="1"/>
        <v>0.02</v>
      </c>
      <c r="D65">
        <v>0.56000000000000005</v>
      </c>
      <c r="E65">
        <f t="shared" si="4"/>
        <v>3.4258719999999999E-2</v>
      </c>
      <c r="F65">
        <f t="shared" si="2"/>
        <v>1.712936</v>
      </c>
      <c r="G65" s="32">
        <f t="shared" si="3"/>
        <v>5.3056071985231996E-2</v>
      </c>
    </row>
    <row r="66" spans="1:7" x14ac:dyDescent="0.25">
      <c r="A66" t="s">
        <v>174</v>
      </c>
      <c r="B66">
        <v>25</v>
      </c>
      <c r="C66">
        <f t="shared" si="1"/>
        <v>2.5000000000000001E-2</v>
      </c>
      <c r="D66">
        <v>0.621</v>
      </c>
      <c r="E66">
        <f t="shared" ref="E66:E97" si="5">0.0602*D66^2+0.028*D66-0.0003</f>
        <v>4.0303588199999997E-2</v>
      </c>
      <c r="F66">
        <f t="shared" si="2"/>
        <v>1.6121435279999998</v>
      </c>
      <c r="G66" s="32">
        <f t="shared" si="3"/>
        <v>4.9934149946112331E-2</v>
      </c>
    </row>
    <row r="67" spans="1:7" x14ac:dyDescent="0.25">
      <c r="A67" t="s">
        <v>175</v>
      </c>
      <c r="B67">
        <v>103</v>
      </c>
      <c r="C67">
        <f t="shared" si="1"/>
        <v>0.10299999999999999</v>
      </c>
      <c r="D67">
        <v>1.679</v>
      </c>
      <c r="E67">
        <f t="shared" si="5"/>
        <v>0.21641826820000001</v>
      </c>
      <c r="F67">
        <f t="shared" si="2"/>
        <v>2.1011482349514568</v>
      </c>
      <c r="G67" s="32">
        <f t="shared" si="3"/>
        <v>6.5080465356106496E-2</v>
      </c>
    </row>
    <row r="68" spans="1:7" x14ac:dyDescent="0.25">
      <c r="A68" t="s">
        <v>248</v>
      </c>
      <c r="B68">
        <v>20</v>
      </c>
      <c r="C68">
        <f t="shared" si="1"/>
        <v>0.02</v>
      </c>
      <c r="D68">
        <v>0.71199999999999997</v>
      </c>
      <c r="E68">
        <f t="shared" si="5"/>
        <v>5.0154028799999993E-2</v>
      </c>
      <c r="F68">
        <f t="shared" si="2"/>
        <v>2.5077014399999995</v>
      </c>
      <c r="G68" s="32">
        <f t="shared" si="3"/>
        <v>7.7672947569617262E-2</v>
      </c>
    </row>
    <row r="69" spans="1:7" x14ac:dyDescent="0.25">
      <c r="A69" t="s">
        <v>167</v>
      </c>
      <c r="B69">
        <v>50</v>
      </c>
      <c r="C69">
        <f t="shared" si="1"/>
        <v>0.05</v>
      </c>
      <c r="D69">
        <v>1.1599999999999999</v>
      </c>
      <c r="E69">
        <f t="shared" si="5"/>
        <v>0.11318511999999999</v>
      </c>
      <c r="F69">
        <f t="shared" si="2"/>
        <v>2.2637023999999997</v>
      </c>
      <c r="G69" s="32">
        <f t="shared" si="3"/>
        <v>7.0115379376428782E-2</v>
      </c>
    </row>
    <row r="70" spans="1:7" x14ac:dyDescent="0.25">
      <c r="A70" s="19" t="s">
        <v>246</v>
      </c>
      <c r="B70" s="19">
        <v>95</v>
      </c>
      <c r="C70">
        <f t="shared" si="1"/>
        <v>9.5000000000000001E-2</v>
      </c>
      <c r="D70">
        <v>1.8340000000000001</v>
      </c>
      <c r="E70">
        <f t="shared" si="5"/>
        <v>0.25353807119999999</v>
      </c>
      <c r="F70">
        <f t="shared" si="2"/>
        <v>2.668821802105263</v>
      </c>
      <c r="G70" s="32">
        <f t="shared" si="3"/>
        <v>8.2663451318819511E-2</v>
      </c>
    </row>
    <row r="71" spans="1:7" x14ac:dyDescent="0.25">
      <c r="A71" s="19" t="s">
        <v>157</v>
      </c>
      <c r="B71" s="19">
        <v>38</v>
      </c>
      <c r="C71">
        <f t="shared" si="1"/>
        <v>3.7999999999999999E-2</v>
      </c>
      <c r="D71">
        <v>0.97799999999999998</v>
      </c>
      <c r="E71">
        <f t="shared" si="5"/>
        <v>8.4664336800000004E-2</v>
      </c>
      <c r="F71">
        <f t="shared" si="2"/>
        <v>2.2280088631578949</v>
      </c>
      <c r="G71" s="32">
        <f t="shared" si="3"/>
        <v>6.9009816261343199E-2</v>
      </c>
    </row>
    <row r="72" spans="1:7" x14ac:dyDescent="0.25">
      <c r="A72" t="s">
        <v>215</v>
      </c>
      <c r="B72">
        <v>50</v>
      </c>
      <c r="C72">
        <f t="shared" si="1"/>
        <v>0.05</v>
      </c>
      <c r="D72">
        <v>0.92700000000000005</v>
      </c>
      <c r="E72">
        <f t="shared" si="5"/>
        <v>7.7387605800000009E-2</v>
      </c>
      <c r="F72">
        <f t="shared" si="2"/>
        <v>1.5477521160000001</v>
      </c>
      <c r="G72" s="32">
        <f t="shared" si="3"/>
        <v>4.7939705675980389E-2</v>
      </c>
    </row>
    <row r="73" spans="1:7" x14ac:dyDescent="0.25">
      <c r="A73" t="s">
        <v>243</v>
      </c>
      <c r="B73">
        <v>65</v>
      </c>
      <c r="C73">
        <f t="shared" si="1"/>
        <v>6.5000000000000002E-2</v>
      </c>
      <c r="D73">
        <v>2.0289999999999999</v>
      </c>
      <c r="E73">
        <f t="shared" si="5"/>
        <v>0.30434582819999995</v>
      </c>
      <c r="F73">
        <f t="shared" si="2"/>
        <v>4.6822435107692302</v>
      </c>
      <c r="G73" s="32">
        <f t="shared" si="3"/>
        <v>0.14502669612861058</v>
      </c>
    </row>
    <row r="74" spans="1:7" x14ac:dyDescent="0.25">
      <c r="A74" s="19" t="s">
        <v>249</v>
      </c>
      <c r="B74" s="19">
        <v>25</v>
      </c>
      <c r="C74">
        <f t="shared" si="1"/>
        <v>2.5000000000000001E-2</v>
      </c>
      <c r="D74">
        <v>0.98499999999999999</v>
      </c>
      <c r="E74">
        <f t="shared" si="5"/>
        <v>8.5687545000000004E-2</v>
      </c>
      <c r="F74">
        <f t="shared" si="2"/>
        <v>3.4275017999999999</v>
      </c>
      <c r="G74" s="32">
        <f t="shared" si="3"/>
        <v>0.1061626250077716</v>
      </c>
    </row>
    <row r="75" spans="1:7" x14ac:dyDescent="0.25">
      <c r="A75" t="s">
        <v>206</v>
      </c>
      <c r="B75" s="19">
        <v>52</v>
      </c>
      <c r="C75">
        <f t="shared" si="1"/>
        <v>5.1999999999999998E-2</v>
      </c>
      <c r="D75">
        <v>1.2629999999999999</v>
      </c>
      <c r="E75">
        <f t="shared" si="5"/>
        <v>0.13109317379999999</v>
      </c>
      <c r="F75">
        <f t="shared" si="2"/>
        <v>2.5210225730769231</v>
      </c>
      <c r="G75" s="32">
        <f t="shared" si="3"/>
        <v>7.8085553175112218E-2</v>
      </c>
    </row>
    <row r="76" spans="1:7" x14ac:dyDescent="0.25">
      <c r="A76" t="s">
        <v>168</v>
      </c>
      <c r="B76">
        <v>55</v>
      </c>
      <c r="C76">
        <f t="shared" si="1"/>
        <v>5.5E-2</v>
      </c>
      <c r="D76">
        <v>1.903</v>
      </c>
      <c r="E76">
        <f t="shared" si="5"/>
        <v>0.27099282179999995</v>
      </c>
      <c r="F76">
        <f t="shared" si="2"/>
        <v>4.9271422145454533</v>
      </c>
      <c r="G76" s="32">
        <f t="shared" si="3"/>
        <v>0.15261213029348381</v>
      </c>
    </row>
    <row r="77" spans="1:7" x14ac:dyDescent="0.25">
      <c r="A77" s="19" t="s">
        <v>255</v>
      </c>
      <c r="B77" s="19">
        <v>40</v>
      </c>
      <c r="C77">
        <f t="shared" ref="C77:C105" si="6">B77/1000</f>
        <v>0.04</v>
      </c>
      <c r="D77">
        <v>0.629</v>
      </c>
      <c r="E77">
        <f t="shared" si="5"/>
        <v>4.1129588199999997E-2</v>
      </c>
      <c r="F77">
        <f t="shared" ref="F77:F105" si="7">E77/C77</f>
        <v>1.0282397049999998</v>
      </c>
      <c r="G77" s="32">
        <f t="shared" ref="G77:G105" si="8">ABS(F77*0.030973762)</f>
        <v>3.1848451901620202E-2</v>
      </c>
    </row>
    <row r="78" spans="1:7" x14ac:dyDescent="0.25">
      <c r="A78" t="s">
        <v>244</v>
      </c>
      <c r="B78" s="19">
        <v>45</v>
      </c>
      <c r="C78">
        <f t="shared" si="6"/>
        <v>4.4999999999999998E-2</v>
      </c>
      <c r="D78">
        <v>0.67</v>
      </c>
      <c r="E78">
        <f t="shared" si="5"/>
        <v>4.5483780000000008E-2</v>
      </c>
      <c r="F78">
        <f t="shared" si="7"/>
        <v>1.0107506666666668</v>
      </c>
      <c r="G78" s="32">
        <f t="shared" si="8"/>
        <v>3.130675059067467E-2</v>
      </c>
    </row>
    <row r="79" spans="1:7" x14ac:dyDescent="0.25">
      <c r="A79" t="s">
        <v>162</v>
      </c>
      <c r="B79">
        <v>100</v>
      </c>
      <c r="C79">
        <f t="shared" si="6"/>
        <v>0.1</v>
      </c>
      <c r="D79">
        <v>1.7549999999999999</v>
      </c>
      <c r="E79">
        <f t="shared" si="5"/>
        <v>0.23425750499999995</v>
      </c>
      <c r="F79">
        <f t="shared" si="7"/>
        <v>2.3425750499999993</v>
      </c>
      <c r="G79" s="32">
        <f t="shared" si="8"/>
        <v>7.2558362065838072E-2</v>
      </c>
    </row>
    <row r="80" spans="1:7" x14ac:dyDescent="0.25">
      <c r="A80" t="s">
        <v>241</v>
      </c>
      <c r="B80">
        <v>30</v>
      </c>
      <c r="C80">
        <f t="shared" si="6"/>
        <v>0.03</v>
      </c>
      <c r="D80">
        <v>0.65900000000000003</v>
      </c>
      <c r="E80">
        <f t="shared" si="5"/>
        <v>4.4295716199999995E-2</v>
      </c>
      <c r="F80">
        <f t="shared" si="7"/>
        <v>1.4765238733333332</v>
      </c>
      <c r="G80" s="32">
        <f t="shared" si="8"/>
        <v>4.5733499039944808E-2</v>
      </c>
    </row>
    <row r="81" spans="1:11" x14ac:dyDescent="0.25">
      <c r="A81" t="s">
        <v>213</v>
      </c>
      <c r="B81">
        <v>40</v>
      </c>
      <c r="C81">
        <f t="shared" si="6"/>
        <v>0.04</v>
      </c>
      <c r="D81">
        <v>1.111</v>
      </c>
      <c r="E81">
        <f t="shared" si="5"/>
        <v>0.10511412419999999</v>
      </c>
      <c r="F81">
        <f t="shared" si="7"/>
        <v>2.6278531049999998</v>
      </c>
      <c r="G81" s="32">
        <f t="shared" si="8"/>
        <v>8.1394496645231004E-2</v>
      </c>
    </row>
    <row r="82" spans="1:11" x14ac:dyDescent="0.25">
      <c r="A82" t="s">
        <v>165</v>
      </c>
      <c r="B82">
        <v>100</v>
      </c>
      <c r="C82">
        <f t="shared" si="6"/>
        <v>0.1</v>
      </c>
      <c r="D82">
        <v>1.113</v>
      </c>
      <c r="E82">
        <f t="shared" si="5"/>
        <v>0.1054378938</v>
      </c>
      <c r="F82">
        <f t="shared" si="7"/>
        <v>1.0543789379999999</v>
      </c>
      <c r="G82" s="32">
        <f t="shared" si="8"/>
        <v>3.2658082283424754E-2</v>
      </c>
    </row>
    <row r="83" spans="1:11" x14ac:dyDescent="0.25">
      <c r="A83" t="s">
        <v>228</v>
      </c>
      <c r="B83">
        <v>35</v>
      </c>
      <c r="C83">
        <f t="shared" si="6"/>
        <v>3.5000000000000003E-2</v>
      </c>
      <c r="D83">
        <v>0.61899999999999999</v>
      </c>
      <c r="E83">
        <f t="shared" si="5"/>
        <v>4.0098292199999996E-2</v>
      </c>
      <c r="F83">
        <f t="shared" si="7"/>
        <v>1.1456654914285713</v>
      </c>
      <c r="G83" s="32">
        <f t="shared" si="8"/>
        <v>3.5485570263121609E-2</v>
      </c>
    </row>
    <row r="84" spans="1:11" x14ac:dyDescent="0.25">
      <c r="A84" t="s">
        <v>231</v>
      </c>
      <c r="B84">
        <v>50</v>
      </c>
      <c r="C84">
        <f t="shared" si="6"/>
        <v>0.05</v>
      </c>
      <c r="D84">
        <v>0.93400000000000005</v>
      </c>
      <c r="E84">
        <f t="shared" si="5"/>
        <v>7.8367831200000015E-2</v>
      </c>
      <c r="F84">
        <f t="shared" si="7"/>
        <v>1.5673566240000003</v>
      </c>
      <c r="G84" s="32">
        <f t="shared" si="8"/>
        <v>4.8546931040899494E-2</v>
      </c>
    </row>
    <row r="85" spans="1:11" x14ac:dyDescent="0.25">
      <c r="A85" t="s">
        <v>156</v>
      </c>
      <c r="B85">
        <v>100</v>
      </c>
      <c r="C85">
        <f t="shared" si="6"/>
        <v>0.1</v>
      </c>
      <c r="D85">
        <v>1.9830000000000001</v>
      </c>
      <c r="E85">
        <f t="shared" si="5"/>
        <v>0.29194779779999996</v>
      </c>
      <c r="F85">
        <f t="shared" si="7"/>
        <v>2.9194779779999993</v>
      </c>
      <c r="G85" s="32">
        <f t="shared" si="8"/>
        <v>9.0427216054813214E-2</v>
      </c>
    </row>
    <row r="86" spans="1:11" x14ac:dyDescent="0.25">
      <c r="A86" t="s">
        <v>239</v>
      </c>
      <c r="B86">
        <v>18</v>
      </c>
      <c r="C86">
        <f t="shared" si="6"/>
        <v>1.7999999999999999E-2</v>
      </c>
      <c r="D86">
        <v>1.3320000000000001</v>
      </c>
      <c r="E86">
        <f t="shared" si="5"/>
        <v>0.14380428480000002</v>
      </c>
      <c r="F86">
        <f t="shared" si="7"/>
        <v>7.9891269333333348</v>
      </c>
      <c r="G86" s="32">
        <f t="shared" si="8"/>
        <v>0.24745331622085656</v>
      </c>
    </row>
    <row r="87" spans="1:11" x14ac:dyDescent="0.25">
      <c r="A87" t="s">
        <v>234</v>
      </c>
      <c r="B87">
        <v>45</v>
      </c>
      <c r="C87">
        <f t="shared" si="6"/>
        <v>4.4999999999999998E-2</v>
      </c>
      <c r="D87">
        <v>2.2440000000000002</v>
      </c>
      <c r="E87">
        <f t="shared" si="5"/>
        <v>0.36567126720000004</v>
      </c>
      <c r="F87">
        <f t="shared" si="7"/>
        <v>8.1260281600000006</v>
      </c>
      <c r="G87" s="32">
        <f t="shared" si="8"/>
        <v>0.25169366223313794</v>
      </c>
    </row>
    <row r="88" spans="1:11" x14ac:dyDescent="0.25">
      <c r="A88" t="s">
        <v>173</v>
      </c>
      <c r="B88">
        <v>30</v>
      </c>
      <c r="C88">
        <f t="shared" si="6"/>
        <v>0.03</v>
      </c>
      <c r="D88">
        <v>2.048</v>
      </c>
      <c r="E88">
        <f t="shared" si="5"/>
        <v>0.30954110079999997</v>
      </c>
      <c r="F88">
        <f t="shared" si="7"/>
        <v>10.318036693333333</v>
      </c>
      <c r="G88" s="32">
        <f t="shared" si="8"/>
        <v>0.31958841284657363</v>
      </c>
    </row>
    <row r="89" spans="1:11" x14ac:dyDescent="0.25">
      <c r="A89" s="19" t="s">
        <v>227</v>
      </c>
      <c r="B89" s="19">
        <v>100</v>
      </c>
      <c r="C89">
        <f t="shared" si="6"/>
        <v>0.1</v>
      </c>
      <c r="D89">
        <v>1.2729999999999999</v>
      </c>
      <c r="E89">
        <f t="shared" si="5"/>
        <v>0.13289984579999997</v>
      </c>
      <c r="F89">
        <f t="shared" si="7"/>
        <v>1.3289984579999996</v>
      </c>
      <c r="G89" s="32">
        <f t="shared" si="8"/>
        <v>4.1164081936458985E-2</v>
      </c>
    </row>
    <row r="90" spans="1:11" x14ac:dyDescent="0.25">
      <c r="A90" t="s">
        <v>171</v>
      </c>
      <c r="B90">
        <v>45</v>
      </c>
      <c r="C90">
        <f t="shared" si="6"/>
        <v>4.4999999999999998E-2</v>
      </c>
      <c r="D90">
        <v>0.86199999999999999</v>
      </c>
      <c r="E90">
        <f t="shared" si="5"/>
        <v>6.8567248799999994E-2</v>
      </c>
      <c r="F90">
        <f t="shared" si="7"/>
        <v>1.52371664</v>
      </c>
      <c r="G90" s="32">
        <f t="shared" si="8"/>
        <v>4.7195236562799676E-2</v>
      </c>
    </row>
    <row r="91" spans="1:11" x14ac:dyDescent="0.25">
      <c r="A91" t="s">
        <v>225</v>
      </c>
      <c r="B91">
        <v>125</v>
      </c>
      <c r="C91">
        <f t="shared" si="6"/>
        <v>0.125</v>
      </c>
      <c r="D91">
        <v>0.49299999999999999</v>
      </c>
      <c r="E91">
        <f t="shared" si="5"/>
        <v>2.81355498E-2</v>
      </c>
      <c r="F91">
        <f t="shared" si="7"/>
        <v>0.2250843984</v>
      </c>
      <c r="G91" s="32">
        <f t="shared" si="8"/>
        <v>6.9717105859547802E-3</v>
      </c>
    </row>
    <row r="92" spans="1:11" x14ac:dyDescent="0.25">
      <c r="A92" t="s">
        <v>214</v>
      </c>
      <c r="B92">
        <v>70</v>
      </c>
      <c r="C92">
        <f t="shared" si="6"/>
        <v>7.0000000000000007E-2</v>
      </c>
      <c r="D92">
        <v>0.55200000000000005</v>
      </c>
      <c r="E92">
        <f t="shared" si="5"/>
        <v>3.34991808E-2</v>
      </c>
      <c r="F92">
        <f t="shared" si="7"/>
        <v>0.47855972571428568</v>
      </c>
      <c r="G92" s="32">
        <f t="shared" si="8"/>
        <v>1.4822795047059564E-2</v>
      </c>
      <c r="I92" t="s">
        <v>214</v>
      </c>
      <c r="J92">
        <f>F92</f>
        <v>0.47855972571428568</v>
      </c>
      <c r="K92">
        <f>G92</f>
        <v>1.4822795047059564E-2</v>
      </c>
    </row>
    <row r="93" spans="1:11" x14ac:dyDescent="0.25">
      <c r="A93" s="19" t="s">
        <v>221</v>
      </c>
      <c r="B93" s="19">
        <v>75</v>
      </c>
      <c r="C93">
        <f t="shared" si="6"/>
        <v>7.4999999999999997E-2</v>
      </c>
      <c r="D93">
        <v>0.16500000000000001</v>
      </c>
      <c r="E93">
        <f t="shared" si="5"/>
        <v>5.9589450000000002E-3</v>
      </c>
      <c r="F93">
        <f t="shared" si="7"/>
        <v>7.9452600000000012E-2</v>
      </c>
      <c r="G93" s="32">
        <f t="shared" si="8"/>
        <v>2.4609459226812001E-3</v>
      </c>
      <c r="I93" s="19" t="s">
        <v>260</v>
      </c>
      <c r="J93">
        <f>F94</f>
        <v>0.39552839999999995</v>
      </c>
      <c r="K93">
        <f>G94</f>
        <v>1.2251002525840798E-2</v>
      </c>
    </row>
    <row r="94" spans="1:11" x14ac:dyDescent="0.25">
      <c r="A94" s="19" t="s">
        <v>260</v>
      </c>
      <c r="B94" s="19">
        <v>50</v>
      </c>
      <c r="C94">
        <f t="shared" si="6"/>
        <v>0.05</v>
      </c>
      <c r="D94">
        <v>0.39</v>
      </c>
      <c r="E94">
        <f t="shared" si="5"/>
        <v>1.9776419999999999E-2</v>
      </c>
      <c r="F94">
        <f t="shared" si="7"/>
        <v>0.39552839999999995</v>
      </c>
      <c r="G94" s="32">
        <f t="shared" si="8"/>
        <v>1.2251002525840798E-2</v>
      </c>
      <c r="I94" t="s">
        <v>204</v>
      </c>
      <c r="J94">
        <f>F95</f>
        <v>0.13813607</v>
      </c>
      <c r="K94">
        <f>G95</f>
        <v>4.2785937557953402E-3</v>
      </c>
    </row>
    <row r="95" spans="1:11" x14ac:dyDescent="0.25">
      <c r="A95" t="s">
        <v>204</v>
      </c>
      <c r="B95">
        <v>60</v>
      </c>
      <c r="C95">
        <f t="shared" si="6"/>
        <v>0.06</v>
      </c>
      <c r="D95">
        <v>0.21099999999999999</v>
      </c>
      <c r="E95">
        <f t="shared" si="5"/>
        <v>8.2881641999999998E-3</v>
      </c>
      <c r="F95">
        <f t="shared" si="7"/>
        <v>0.13813607</v>
      </c>
      <c r="G95" s="32">
        <f t="shared" si="8"/>
        <v>4.2785937557953402E-3</v>
      </c>
      <c r="I95" s="19" t="s">
        <v>221</v>
      </c>
      <c r="J95">
        <f>F93</f>
        <v>7.9452600000000012E-2</v>
      </c>
      <c r="K95">
        <f>G93</f>
        <v>2.4609459226812001E-3</v>
      </c>
    </row>
    <row r="96" spans="1:11" x14ac:dyDescent="0.25">
      <c r="A96" t="s">
        <v>211</v>
      </c>
      <c r="B96">
        <v>55</v>
      </c>
      <c r="C96">
        <f t="shared" si="6"/>
        <v>5.5E-2</v>
      </c>
      <c r="D96">
        <v>0.151</v>
      </c>
      <c r="E96">
        <f t="shared" si="5"/>
        <v>5.3006201999999999E-3</v>
      </c>
      <c r="F96">
        <f t="shared" si="7"/>
        <v>9.6374912727272721E-2</v>
      </c>
      <c r="G96" s="32">
        <f t="shared" si="8"/>
        <v>2.9850936095853161E-3</v>
      </c>
    </row>
    <row r="97" spans="1:11" x14ac:dyDescent="0.25">
      <c r="A97" t="s">
        <v>253</v>
      </c>
      <c r="B97">
        <v>70</v>
      </c>
      <c r="C97">
        <f t="shared" si="6"/>
        <v>7.0000000000000007E-2</v>
      </c>
      <c r="D97">
        <v>0.19600000000000001</v>
      </c>
      <c r="E97">
        <f t="shared" si="5"/>
        <v>7.5006432000000005E-3</v>
      </c>
      <c r="F97">
        <f t="shared" si="7"/>
        <v>0.10715204571428572</v>
      </c>
      <c r="G97" s="32">
        <f t="shared" si="8"/>
        <v>3.3189019617674057E-3</v>
      </c>
      <c r="I97" t="s">
        <v>211</v>
      </c>
      <c r="J97">
        <f>F96</f>
        <v>9.6374912727272721E-2</v>
      </c>
      <c r="K97">
        <f>G96</f>
        <v>2.9850936095853161E-3</v>
      </c>
    </row>
    <row r="98" spans="1:11" x14ac:dyDescent="0.25">
      <c r="A98" t="s">
        <v>187</v>
      </c>
      <c r="B98">
        <v>80</v>
      </c>
      <c r="C98">
        <f t="shared" si="6"/>
        <v>0.08</v>
      </c>
      <c r="D98">
        <v>0.14099999999999999</v>
      </c>
      <c r="E98">
        <f t="shared" ref="E98:E105" si="9">0.0602*D98^2+0.028*D98-0.0003</f>
        <v>4.8448362E-3</v>
      </c>
      <c r="F98">
        <f t="shared" si="7"/>
        <v>6.05604525E-2</v>
      </c>
      <c r="G98" s="32">
        <f t="shared" si="8"/>
        <v>1.875785042347305E-3</v>
      </c>
      <c r="I98" t="s">
        <v>205</v>
      </c>
      <c r="J98">
        <f>F99</f>
        <v>0.16967160754716981</v>
      </c>
      <c r="K98">
        <f>G99</f>
        <v>5.2553679903234417E-3</v>
      </c>
    </row>
    <row r="99" spans="1:11" x14ac:dyDescent="0.25">
      <c r="A99" t="s">
        <v>205</v>
      </c>
      <c r="B99">
        <v>53</v>
      </c>
      <c r="C99">
        <f t="shared" si="6"/>
        <v>5.2999999999999999E-2</v>
      </c>
      <c r="D99">
        <v>0.224</v>
      </c>
      <c r="E99">
        <f t="shared" si="9"/>
        <v>8.9925952E-3</v>
      </c>
      <c r="F99">
        <f t="shared" si="7"/>
        <v>0.16967160754716981</v>
      </c>
      <c r="G99" s="32">
        <f t="shared" si="8"/>
        <v>5.2553679903234417E-3</v>
      </c>
      <c r="I99" t="s">
        <v>235</v>
      </c>
      <c r="J99">
        <f>F100</f>
        <v>0.29422207</v>
      </c>
      <c r="K99">
        <f>G100</f>
        <v>9.1131643713273404E-3</v>
      </c>
    </row>
    <row r="100" spans="1:11" x14ac:dyDescent="0.25">
      <c r="A100" t="s">
        <v>235</v>
      </c>
      <c r="B100">
        <v>60</v>
      </c>
      <c r="C100">
        <f t="shared" si="6"/>
        <v>0.06</v>
      </c>
      <c r="D100">
        <v>0.36099999999999999</v>
      </c>
      <c r="E100">
        <f t="shared" si="9"/>
        <v>1.7653324200000001E-2</v>
      </c>
      <c r="F100">
        <f t="shared" si="7"/>
        <v>0.29422207</v>
      </c>
      <c r="G100" s="32">
        <f t="shared" si="8"/>
        <v>9.1131643713273404E-3</v>
      </c>
      <c r="I100" t="s">
        <v>253</v>
      </c>
      <c r="J100">
        <f>F97</f>
        <v>0.10715204571428572</v>
      </c>
      <c r="K100">
        <f>G97</f>
        <v>3.3189019617674057E-3</v>
      </c>
    </row>
    <row r="101" spans="1:11" x14ac:dyDescent="0.25">
      <c r="A101" t="s">
        <v>259</v>
      </c>
      <c r="B101">
        <v>80</v>
      </c>
      <c r="C101">
        <f t="shared" si="6"/>
        <v>0.08</v>
      </c>
      <c r="D101">
        <v>0.13800000000000001</v>
      </c>
      <c r="E101">
        <f t="shared" si="9"/>
        <v>4.7104488000000002E-3</v>
      </c>
      <c r="F101">
        <f t="shared" si="7"/>
        <v>5.888061E-2</v>
      </c>
      <c r="G101" s="32">
        <f t="shared" si="8"/>
        <v>1.82375400055482E-3</v>
      </c>
      <c r="I101" t="s">
        <v>187</v>
      </c>
      <c r="J101">
        <f>F98</f>
        <v>6.05604525E-2</v>
      </c>
      <c r="K101">
        <f>G98</f>
        <v>1.875785042347305E-3</v>
      </c>
    </row>
    <row r="102" spans="1:11" x14ac:dyDescent="0.25">
      <c r="A102" s="19" t="s">
        <v>258</v>
      </c>
      <c r="B102" s="19">
        <v>53</v>
      </c>
      <c r="C102">
        <f t="shared" si="6"/>
        <v>5.2999999999999999E-2</v>
      </c>
      <c r="D102">
        <v>0.109</v>
      </c>
      <c r="E102">
        <f t="shared" si="9"/>
        <v>3.4672361999999999E-3</v>
      </c>
      <c r="F102">
        <f t="shared" si="7"/>
        <v>6.5419550943396229E-2</v>
      </c>
      <c r="G102" s="32">
        <f t="shared" si="8"/>
        <v>2.0262896010676303E-3</v>
      </c>
    </row>
    <row r="103" spans="1:11" x14ac:dyDescent="0.25">
      <c r="A103" t="s">
        <v>212</v>
      </c>
      <c r="B103">
        <v>54</v>
      </c>
      <c r="C103">
        <f t="shared" si="6"/>
        <v>5.3999999999999999E-2</v>
      </c>
      <c r="D103">
        <v>0.11</v>
      </c>
      <c r="E103">
        <f t="shared" si="9"/>
        <v>3.5084200000000004E-3</v>
      </c>
      <c r="F103">
        <f t="shared" si="7"/>
        <v>6.4970740740740746E-2</v>
      </c>
      <c r="G103" s="32">
        <f t="shared" si="8"/>
        <v>2.0123882606674073E-3</v>
      </c>
    </row>
    <row r="104" spans="1:11" x14ac:dyDescent="0.25">
      <c r="A104" t="s">
        <v>242</v>
      </c>
      <c r="B104">
        <v>50</v>
      </c>
      <c r="C104">
        <f t="shared" si="6"/>
        <v>0.05</v>
      </c>
      <c r="D104">
        <v>0.10299999999999999</v>
      </c>
      <c r="E104">
        <f t="shared" si="9"/>
        <v>3.2226617999999998E-3</v>
      </c>
      <c r="F104">
        <f t="shared" si="7"/>
        <v>6.4453235999999997E-2</v>
      </c>
      <c r="G104" s="32">
        <f t="shared" si="8"/>
        <v>1.9963591919938319E-3</v>
      </c>
    </row>
    <row r="105" spans="1:11" x14ac:dyDescent="0.25">
      <c r="A105" t="s">
        <v>164</v>
      </c>
      <c r="B105">
        <v>53</v>
      </c>
      <c r="C105">
        <f t="shared" si="6"/>
        <v>5.2999999999999999E-2</v>
      </c>
      <c r="D105">
        <v>0.108</v>
      </c>
      <c r="E105">
        <f t="shared" si="9"/>
        <v>3.4261728000000002E-3</v>
      </c>
      <c r="F105">
        <f t="shared" si="7"/>
        <v>6.4644769811320765E-2</v>
      </c>
      <c r="G105" s="32">
        <f t="shared" si="8"/>
        <v>2.0022917146806343E-3</v>
      </c>
    </row>
    <row r="107" spans="1:11" x14ac:dyDescent="0.25">
      <c r="A107" s="19" t="s">
        <v>188</v>
      </c>
      <c r="B107" s="19"/>
      <c r="C107" s="19"/>
    </row>
    <row r="108" spans="1:11" x14ac:dyDescent="0.25">
      <c r="A108" t="s">
        <v>189</v>
      </c>
    </row>
    <row r="109" spans="1:11" x14ac:dyDescent="0.25">
      <c r="A109" t="s">
        <v>190</v>
      </c>
    </row>
    <row r="110" spans="1:11" x14ac:dyDescent="0.25">
      <c r="A110" t="s">
        <v>191</v>
      </c>
    </row>
    <row r="111" spans="1:11" x14ac:dyDescent="0.25">
      <c r="A111" t="s">
        <v>192</v>
      </c>
    </row>
    <row r="112" spans="1:11" x14ac:dyDescent="0.25">
      <c r="A112" t="s">
        <v>193</v>
      </c>
    </row>
    <row r="113" spans="1:5" x14ac:dyDescent="0.25">
      <c r="A113" s="19" t="s">
        <v>194</v>
      </c>
      <c r="B113" s="19"/>
      <c r="C113" s="19"/>
    </row>
    <row r="114" spans="1:5" x14ac:dyDescent="0.25">
      <c r="A114" t="s">
        <v>195</v>
      </c>
      <c r="E114">
        <v>0.106</v>
      </c>
    </row>
    <row r="115" spans="1:5" x14ac:dyDescent="0.25">
      <c r="A115" t="s">
        <v>196</v>
      </c>
      <c r="E115">
        <v>0.96</v>
      </c>
    </row>
    <row r="116" spans="1:5" x14ac:dyDescent="0.25">
      <c r="A116" t="s">
        <v>197</v>
      </c>
      <c r="E116">
        <v>0.97</v>
      </c>
    </row>
    <row r="117" spans="1:5" x14ac:dyDescent="0.25">
      <c r="A117" t="s">
        <v>198</v>
      </c>
      <c r="E117">
        <v>9.8000000000000004E-2</v>
      </c>
    </row>
    <row r="118" spans="1:5" x14ac:dyDescent="0.25">
      <c r="A118" s="16">
        <v>44910</v>
      </c>
      <c r="B118" s="16"/>
      <c r="C118" s="16"/>
      <c r="E118">
        <v>9.5000000000000001E-2</v>
      </c>
    </row>
    <row r="119" spans="1:5" x14ac:dyDescent="0.25">
      <c r="A119" s="19" t="s">
        <v>188</v>
      </c>
      <c r="B119" s="19"/>
      <c r="C119" s="19"/>
    </row>
  </sheetData>
  <sortState xmlns:xlrd2="http://schemas.microsoft.com/office/spreadsheetml/2017/richdata2" ref="A2:E105">
    <sortCondition ref="A2:A105"/>
  </sortState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B768-E234-4211-B64C-1BE40469D1FE}">
  <sheetPr codeName="Sheet7"/>
  <dimension ref="A1:X131"/>
  <sheetViews>
    <sheetView topLeftCell="F43" zoomScale="115" zoomScaleNormal="115" workbookViewId="0">
      <selection activeCell="O68" sqref="O68"/>
    </sheetView>
  </sheetViews>
  <sheetFormatPr defaultRowHeight="15" x14ac:dyDescent="0.25"/>
  <cols>
    <col min="7" max="7" width="16.5703125" bestFit="1" customWidth="1"/>
    <col min="8" max="8" width="17.5703125" bestFit="1" customWidth="1"/>
    <col min="12" max="12" width="17.5703125" bestFit="1" customWidth="1"/>
    <col min="13" max="13" width="11.140625" customWidth="1"/>
    <col min="15" max="15" width="17.5703125" bestFit="1" customWidth="1"/>
    <col min="19" max="19" width="16.5703125" bestFit="1" customWidth="1"/>
  </cols>
  <sheetData>
    <row r="1" spans="1:24" x14ac:dyDescent="0.25">
      <c r="A1" t="s">
        <v>84</v>
      </c>
      <c r="B1" t="s">
        <v>289</v>
      </c>
      <c r="C1" t="s">
        <v>334</v>
      </c>
      <c r="E1" t="s">
        <v>290</v>
      </c>
      <c r="K1" t="s">
        <v>291</v>
      </c>
      <c r="S1" t="s">
        <v>292</v>
      </c>
    </row>
    <row r="2" spans="1:24" x14ac:dyDescent="0.25">
      <c r="A2" t="s">
        <v>183</v>
      </c>
      <c r="B2">
        <v>0.10696862933333331</v>
      </c>
      <c r="C2">
        <f>ABS(B2*0.030973762)</f>
        <v>3.3132208664368844E-3</v>
      </c>
      <c r="E2" t="s">
        <v>84</v>
      </c>
      <c r="F2" t="s">
        <v>293</v>
      </c>
      <c r="G2" t="s">
        <v>294</v>
      </c>
      <c r="H2" t="s">
        <v>332</v>
      </c>
      <c r="I2" t="s">
        <v>289</v>
      </c>
      <c r="L2" t="s">
        <v>84</v>
      </c>
      <c r="M2" t="s">
        <v>293</v>
      </c>
      <c r="N2" t="s">
        <v>294</v>
      </c>
      <c r="P2" t="s">
        <v>289</v>
      </c>
      <c r="Q2" t="s">
        <v>334</v>
      </c>
      <c r="S2" t="s">
        <v>84</v>
      </c>
      <c r="T2" t="s">
        <v>293</v>
      </c>
      <c r="U2" t="s">
        <v>294</v>
      </c>
      <c r="W2" t="s">
        <v>289</v>
      </c>
      <c r="X2" t="s">
        <v>334</v>
      </c>
    </row>
    <row r="3" spans="1:24" x14ac:dyDescent="0.25">
      <c r="A3" t="s">
        <v>286</v>
      </c>
      <c r="B3">
        <v>0.52732565333333326</v>
      </c>
      <c r="C3">
        <f t="shared" ref="C3:C66" si="0">ABS(B3*0.030973762)</f>
        <v>1.633325928284117E-2</v>
      </c>
      <c r="E3" t="s">
        <v>183</v>
      </c>
      <c r="F3" s="23">
        <v>0.49802083333333336</v>
      </c>
      <c r="G3">
        <v>760.85</v>
      </c>
      <c r="H3">
        <v>5.7169999999999845</v>
      </c>
      <c r="I3">
        <v>0.106968629333333</v>
      </c>
      <c r="L3" t="s">
        <v>220</v>
      </c>
      <c r="M3" s="23">
        <v>0.49802083333333336</v>
      </c>
      <c r="N3">
        <v>764.40800000000002</v>
      </c>
      <c r="O3">
        <v>9.2749999999999773</v>
      </c>
      <c r="P3">
        <v>0.32412415076923073</v>
      </c>
      <c r="Q3">
        <f>ABS(P3*0.030973762)</f>
        <v>1.003934430437827E-2</v>
      </c>
      <c r="S3" t="s">
        <v>207</v>
      </c>
      <c r="T3" s="23">
        <v>0.46828703703703706</v>
      </c>
      <c r="U3">
        <v>757.875</v>
      </c>
      <c r="V3">
        <v>3.5610000000000355</v>
      </c>
      <c r="W3">
        <v>0.26068769538461534</v>
      </c>
      <c r="X3">
        <f>ABS(W3*0.030973762)</f>
        <v>8.0744786331715737E-3</v>
      </c>
    </row>
    <row r="4" spans="1:24" x14ac:dyDescent="0.25">
      <c r="A4" t="s">
        <v>226</v>
      </c>
      <c r="B4">
        <v>0.9750184466666667</v>
      </c>
      <c r="C4">
        <f t="shared" si="0"/>
        <v>3.0199989312663027E-2</v>
      </c>
      <c r="E4" t="s">
        <v>238</v>
      </c>
      <c r="F4" s="23">
        <v>0.49815972222222221</v>
      </c>
      <c r="G4">
        <v>760.85</v>
      </c>
      <c r="H4">
        <v>5.7169999999999845</v>
      </c>
      <c r="I4">
        <v>0.13241354571428571</v>
      </c>
      <c r="L4" t="s">
        <v>287</v>
      </c>
      <c r="M4" s="23">
        <v>0.49815972222222221</v>
      </c>
      <c r="N4">
        <v>777.88300000000004</v>
      </c>
      <c r="O4">
        <v>22.75</v>
      </c>
      <c r="P4">
        <v>0.72120350933333333</v>
      </c>
      <c r="Q4">
        <f t="shared" ref="Q4:Q16" si="1">ABS(P4*0.030973762)</f>
        <v>2.2338385851655443E-2</v>
      </c>
      <c r="S4" t="s">
        <v>160</v>
      </c>
      <c r="T4" s="23">
        <v>0.47123842592592591</v>
      </c>
      <c r="U4">
        <v>761.84199999999998</v>
      </c>
      <c r="V4">
        <v>7.52800000000002</v>
      </c>
      <c r="W4">
        <v>0.75294281600000001</v>
      </c>
      <c r="X4">
        <f t="shared" ref="X4:X15" si="2">ABS(W4*0.030973762)</f>
        <v>2.3321471582393793E-2</v>
      </c>
    </row>
    <row r="5" spans="1:24" x14ac:dyDescent="0.25">
      <c r="A5" t="s">
        <v>256</v>
      </c>
      <c r="B5">
        <v>1.0004216000000001</v>
      </c>
      <c r="C5">
        <f t="shared" si="0"/>
        <v>3.0986820538059203E-2</v>
      </c>
      <c r="E5" t="s">
        <v>218</v>
      </c>
      <c r="F5" s="23">
        <v>0.49828703703703708</v>
      </c>
      <c r="G5">
        <v>761.02499999999998</v>
      </c>
      <c r="H5">
        <v>5.8919999999999391</v>
      </c>
      <c r="I5">
        <v>0.1083025452631579</v>
      </c>
      <c r="L5" t="s">
        <v>179</v>
      </c>
      <c r="M5" s="23">
        <v>0.49828703703703708</v>
      </c>
      <c r="N5">
        <v>774.38300000000004</v>
      </c>
      <c r="O5">
        <v>19.25</v>
      </c>
      <c r="P5">
        <v>0.31671889999999997</v>
      </c>
      <c r="Q5">
        <f t="shared" si="1"/>
        <v>9.8099758295017991E-3</v>
      </c>
      <c r="S5" t="s">
        <v>229</v>
      </c>
      <c r="T5" s="23">
        <v>0.47129629629629632</v>
      </c>
      <c r="U5">
        <v>766.45</v>
      </c>
      <c r="V5">
        <v>12.136000000000081</v>
      </c>
      <c r="W5">
        <v>0.61999283368421043</v>
      </c>
      <c r="X5">
        <f t="shared" si="2"/>
        <v>1.9203510472240316E-2</v>
      </c>
    </row>
    <row r="6" spans="1:24" x14ac:dyDescent="0.25">
      <c r="A6" t="s">
        <v>237</v>
      </c>
      <c r="B6">
        <v>0.66115879733333316</v>
      </c>
      <c r="C6">
        <f t="shared" si="0"/>
        <v>2.0478575232808896E-2</v>
      </c>
      <c r="E6" t="s">
        <v>186</v>
      </c>
      <c r="F6" s="23">
        <v>0.49840277777777775</v>
      </c>
      <c r="G6">
        <v>761.2</v>
      </c>
      <c r="H6">
        <v>6.0670000000000073</v>
      </c>
      <c r="I6">
        <v>0.11336993333333335</v>
      </c>
      <c r="L6" t="s">
        <v>224</v>
      </c>
      <c r="M6" s="23">
        <v>0.49840277777777775</v>
      </c>
      <c r="N6">
        <v>771.23299999999995</v>
      </c>
      <c r="O6">
        <v>16.099999999999909</v>
      </c>
      <c r="P6">
        <v>0.33314329599999998</v>
      </c>
      <c r="Q6">
        <f t="shared" si="1"/>
        <v>1.031870116219955E-2</v>
      </c>
      <c r="S6" t="s">
        <v>208</v>
      </c>
      <c r="T6" s="23">
        <v>0.47135416666666669</v>
      </c>
      <c r="U6">
        <v>776.30799999999999</v>
      </c>
      <c r="V6">
        <v>21.994000000000028</v>
      </c>
      <c r="W6">
        <v>0.37175619999999998</v>
      </c>
      <c r="X6">
        <f t="shared" si="2"/>
        <v>1.15146880608244E-2</v>
      </c>
    </row>
    <row r="7" spans="1:24" x14ac:dyDescent="0.25">
      <c r="A7" t="s">
        <v>250</v>
      </c>
      <c r="B7">
        <v>0.84871622365591393</v>
      </c>
      <c r="C7">
        <f t="shared" si="0"/>
        <v>2.6287934317057046E-2</v>
      </c>
      <c r="E7" t="s">
        <v>182</v>
      </c>
      <c r="F7" s="23">
        <v>0.49853009259259262</v>
      </c>
      <c r="G7">
        <v>763.53300000000002</v>
      </c>
      <c r="H7">
        <v>8.3999999999999773</v>
      </c>
      <c r="I7">
        <v>0.68187311538461526</v>
      </c>
      <c r="L7" t="s">
        <v>172</v>
      </c>
      <c r="M7" s="23">
        <v>0.49853009259259262</v>
      </c>
      <c r="N7">
        <v>768.84199999999998</v>
      </c>
      <c r="O7">
        <v>13.708999999999946</v>
      </c>
      <c r="P7">
        <v>0.20049732571428569</v>
      </c>
      <c r="Q7">
        <f t="shared" si="1"/>
        <v>6.2101564483107649E-3</v>
      </c>
      <c r="S7" t="s">
        <v>166</v>
      </c>
      <c r="T7" s="23">
        <v>0.47141203703703699</v>
      </c>
      <c r="U7">
        <v>777.59199999999998</v>
      </c>
      <c r="V7">
        <v>23.27800000000002</v>
      </c>
      <c r="W7">
        <v>0.31820747692307688</v>
      </c>
      <c r="X7">
        <f t="shared" si="2"/>
        <v>9.856082656835876E-3</v>
      </c>
    </row>
    <row r="8" spans="1:24" x14ac:dyDescent="0.25">
      <c r="A8" t="s">
        <v>230</v>
      </c>
      <c r="B8">
        <v>0.81090783333333349</v>
      </c>
      <c r="C8">
        <f t="shared" si="0"/>
        <v>2.5116866233602337E-2</v>
      </c>
      <c r="E8" t="s">
        <v>163</v>
      </c>
      <c r="F8" s="23">
        <v>0.49865740740740744</v>
      </c>
      <c r="G8">
        <v>769.65800000000002</v>
      </c>
      <c r="H8">
        <v>14.524999999999977</v>
      </c>
      <c r="I8">
        <v>0.89478374727272725</v>
      </c>
      <c r="L8" t="s">
        <v>154</v>
      </c>
      <c r="M8" s="23">
        <v>0.49865740740740744</v>
      </c>
      <c r="N8">
        <v>767.90800000000002</v>
      </c>
      <c r="O8">
        <v>12.774999999999977</v>
      </c>
      <c r="P8">
        <v>0.16926151733333333</v>
      </c>
      <c r="Q8">
        <f t="shared" si="1"/>
        <v>5.2426659536415413E-3</v>
      </c>
      <c r="S8" t="s">
        <v>257</v>
      </c>
      <c r="T8" s="23">
        <v>0.47152777777777777</v>
      </c>
      <c r="U8">
        <v>770.41700000000003</v>
      </c>
      <c r="V8">
        <v>16.103000000000065</v>
      </c>
      <c r="W8">
        <v>0.37747340000000001</v>
      </c>
      <c r="X8">
        <f t="shared" si="2"/>
        <v>1.16917712529308E-2</v>
      </c>
    </row>
    <row r="9" spans="1:24" x14ac:dyDescent="0.25">
      <c r="A9" s="19" t="s">
        <v>170</v>
      </c>
      <c r="B9">
        <v>0.6870319359999999</v>
      </c>
      <c r="C9">
        <f t="shared" si="0"/>
        <v>2.1279963672063227E-2</v>
      </c>
      <c r="E9" t="s">
        <v>181</v>
      </c>
      <c r="F9" s="23">
        <v>0.49877314814814816</v>
      </c>
      <c r="G9">
        <v>771.58299999999997</v>
      </c>
      <c r="H9">
        <v>16.449999999999932</v>
      </c>
      <c r="I9">
        <v>1.26507488</v>
      </c>
      <c r="L9" t="s">
        <v>261</v>
      </c>
      <c r="M9" s="23">
        <v>0.49877314814814816</v>
      </c>
      <c r="N9">
        <v>767.26700000000005</v>
      </c>
      <c r="O9">
        <v>12.134000000000015</v>
      </c>
      <c r="P9">
        <v>0.10653170882352941</v>
      </c>
      <c r="Q9">
        <f t="shared" si="1"/>
        <v>3.2996877945532998E-3</v>
      </c>
      <c r="S9" t="s">
        <v>210</v>
      </c>
      <c r="T9" s="23">
        <v>0.47164351851851855</v>
      </c>
      <c r="U9">
        <v>768.02499999999998</v>
      </c>
      <c r="V9">
        <v>13.711000000000013</v>
      </c>
      <c r="W9">
        <v>0.39657697250000001</v>
      </c>
      <c r="X9">
        <f t="shared" si="2"/>
        <v>1.2283480760895546E-2</v>
      </c>
    </row>
    <row r="10" spans="1:24" x14ac:dyDescent="0.25">
      <c r="A10" s="19" t="s">
        <v>238</v>
      </c>
      <c r="B10">
        <v>0.13241354571428571</v>
      </c>
      <c r="C10">
        <f t="shared" si="0"/>
        <v>4.1013456505304049E-3</v>
      </c>
      <c r="E10" t="s">
        <v>251</v>
      </c>
      <c r="F10" s="23">
        <v>0.49890046296296298</v>
      </c>
      <c r="G10">
        <v>771.23299999999995</v>
      </c>
      <c r="H10">
        <v>16.099999999999909</v>
      </c>
      <c r="I10">
        <v>1.1267443124999998</v>
      </c>
      <c r="L10" t="s">
        <v>217</v>
      </c>
      <c r="M10" s="23">
        <v>0.49890046296296298</v>
      </c>
      <c r="N10">
        <v>767.09199999999998</v>
      </c>
      <c r="O10">
        <v>11.958999999999946</v>
      </c>
      <c r="P10">
        <v>8.3959424000000005E-2</v>
      </c>
      <c r="Q10">
        <f t="shared" si="1"/>
        <v>2.600539216633088E-3</v>
      </c>
      <c r="S10" t="s">
        <v>233</v>
      </c>
      <c r="T10" s="23">
        <v>0.47175925925925927</v>
      </c>
      <c r="U10">
        <v>766.8</v>
      </c>
      <c r="V10">
        <v>12.48599999999999</v>
      </c>
      <c r="W10">
        <v>0.28267674153846145</v>
      </c>
      <c r="X10">
        <f t="shared" si="2"/>
        <v>8.7555621153478178E-3</v>
      </c>
    </row>
    <row r="11" spans="1:24" x14ac:dyDescent="0.25">
      <c r="A11" t="s">
        <v>218</v>
      </c>
      <c r="B11">
        <v>0.1083025452631579</v>
      </c>
      <c r="C11">
        <f t="shared" si="0"/>
        <v>3.3545372609752799E-3</v>
      </c>
      <c r="E11" t="s">
        <v>169</v>
      </c>
      <c r="F11" s="23">
        <v>0.4990046296296296</v>
      </c>
      <c r="G11">
        <v>770.88300000000004</v>
      </c>
      <c r="H11">
        <v>15.75</v>
      </c>
      <c r="I11">
        <v>1.1099070900000001</v>
      </c>
      <c r="L11" t="s">
        <v>153</v>
      </c>
      <c r="M11" s="23">
        <v>0.4990046296296296</v>
      </c>
      <c r="N11">
        <v>767.09199999999998</v>
      </c>
      <c r="O11">
        <v>11.958999999999946</v>
      </c>
      <c r="P11">
        <v>8.4539316000000003E-2</v>
      </c>
      <c r="Q11">
        <f t="shared" si="1"/>
        <v>2.618500653426792E-3</v>
      </c>
      <c r="S11" t="s">
        <v>177</v>
      </c>
      <c r="T11" s="23">
        <v>0.47187499999999999</v>
      </c>
      <c r="U11">
        <v>765.69200000000001</v>
      </c>
      <c r="V11">
        <v>11.378000000000043</v>
      </c>
      <c r="W11">
        <v>0.18537896399999998</v>
      </c>
      <c r="X11">
        <f t="shared" si="2"/>
        <v>5.741883910742567E-3</v>
      </c>
    </row>
    <row r="12" spans="1:24" x14ac:dyDescent="0.25">
      <c r="A12" t="s">
        <v>186</v>
      </c>
      <c r="B12">
        <v>0.11336993333333335</v>
      </c>
      <c r="C12">
        <f t="shared" si="0"/>
        <v>3.5114933330225337E-3</v>
      </c>
      <c r="E12" t="s">
        <v>226</v>
      </c>
      <c r="F12" s="23">
        <v>0.49912037037037038</v>
      </c>
      <c r="G12">
        <v>770.00800000000004</v>
      </c>
      <c r="H12">
        <v>14.875</v>
      </c>
      <c r="I12">
        <v>0.9750184466666667</v>
      </c>
      <c r="L12" t="s">
        <v>236</v>
      </c>
      <c r="M12" s="23">
        <v>0.49912037037037038</v>
      </c>
      <c r="N12">
        <v>766.91700000000003</v>
      </c>
      <c r="O12">
        <v>11.783999999999992</v>
      </c>
      <c r="P12">
        <v>0.141052544</v>
      </c>
      <c r="Q12">
        <f t="shared" si="1"/>
        <v>4.3689279273505278E-3</v>
      </c>
      <c r="S12" t="s">
        <v>216</v>
      </c>
      <c r="T12" s="23">
        <v>0.47199074074074071</v>
      </c>
      <c r="U12">
        <v>764.875</v>
      </c>
      <c r="V12">
        <v>10.561000000000035</v>
      </c>
      <c r="W12">
        <v>0.14788307250000002</v>
      </c>
      <c r="X12">
        <f t="shared" si="2"/>
        <v>4.5804950914437453E-3</v>
      </c>
    </row>
    <row r="13" spans="1:24" x14ac:dyDescent="0.25">
      <c r="A13" s="19" t="s">
        <v>182</v>
      </c>
      <c r="B13">
        <v>0.68187311538461526</v>
      </c>
      <c r="C13">
        <f t="shared" si="0"/>
        <v>2.1120175590121609E-2</v>
      </c>
      <c r="E13" t="s">
        <v>256</v>
      </c>
      <c r="F13" s="23">
        <v>0.49923611111111116</v>
      </c>
      <c r="G13">
        <v>768.25</v>
      </c>
      <c r="H13">
        <v>13.116999999999962</v>
      </c>
      <c r="I13">
        <v>1.0004216000000001</v>
      </c>
      <c r="L13" t="s">
        <v>184</v>
      </c>
      <c r="M13" s="23">
        <v>0.49923611111111116</v>
      </c>
      <c r="N13">
        <v>767.09199999999998</v>
      </c>
      <c r="O13">
        <v>11.958999999999946</v>
      </c>
      <c r="P13">
        <v>0.10064624307692306</v>
      </c>
      <c r="Q13">
        <f t="shared" si="1"/>
        <v>3.1173927792587626E-3</v>
      </c>
      <c r="S13" t="s">
        <v>159</v>
      </c>
      <c r="T13" s="23">
        <v>0.47210648148148149</v>
      </c>
      <c r="U13">
        <v>765.16700000000003</v>
      </c>
      <c r="V13">
        <v>10.853000000000065</v>
      </c>
      <c r="W13">
        <v>0.13100376631578944</v>
      </c>
      <c r="X13">
        <f t="shared" si="2"/>
        <v>4.0576794789688791E-3</v>
      </c>
    </row>
    <row r="14" spans="1:24" x14ac:dyDescent="0.25">
      <c r="A14" s="19" t="s">
        <v>163</v>
      </c>
      <c r="B14">
        <v>0.89478374727272725</v>
      </c>
      <c r="C14">
        <f t="shared" si="0"/>
        <v>2.7714818829493601E-2</v>
      </c>
      <c r="E14" t="s">
        <v>237</v>
      </c>
      <c r="F14" s="23">
        <v>0.49935185185185182</v>
      </c>
      <c r="G14">
        <v>767.32500000000005</v>
      </c>
      <c r="H14">
        <v>12.192000000000007</v>
      </c>
      <c r="I14">
        <v>0.66115879733333316</v>
      </c>
      <c r="L14" t="s">
        <v>240</v>
      </c>
      <c r="M14" s="23">
        <v>0.49935185185185182</v>
      </c>
      <c r="N14">
        <v>766.8</v>
      </c>
      <c r="O14">
        <v>11.666999999999916</v>
      </c>
      <c r="P14">
        <v>8.301085250000001E-2</v>
      </c>
      <c r="Q14">
        <f t="shared" si="1"/>
        <v>2.5711583887521052E-3</v>
      </c>
      <c r="S14" t="s">
        <v>223</v>
      </c>
      <c r="T14" s="23">
        <v>0.47222222222222227</v>
      </c>
      <c r="U14">
        <v>765.16700000000003</v>
      </c>
      <c r="V14">
        <v>10.853000000000065</v>
      </c>
      <c r="W14">
        <v>0.10899065249999999</v>
      </c>
      <c r="X14">
        <f t="shared" si="2"/>
        <v>3.3758505307597045E-3</v>
      </c>
    </row>
    <row r="15" spans="1:24" x14ac:dyDescent="0.25">
      <c r="A15" t="s">
        <v>181</v>
      </c>
      <c r="B15">
        <v>1.26507488</v>
      </c>
      <c r="C15">
        <f t="shared" si="0"/>
        <v>3.9184128245298558E-2</v>
      </c>
      <c r="E15" t="s">
        <v>250</v>
      </c>
      <c r="F15" s="23">
        <v>0.49945601851851856</v>
      </c>
      <c r="G15">
        <v>766.8</v>
      </c>
      <c r="H15">
        <v>11.666999999999916</v>
      </c>
      <c r="I15">
        <v>0.84871622365591393</v>
      </c>
      <c r="L15" t="s">
        <v>161</v>
      </c>
      <c r="M15" s="23">
        <v>0.49945601851851856</v>
      </c>
      <c r="N15">
        <v>766.625</v>
      </c>
      <c r="O15">
        <v>11.491999999999962</v>
      </c>
      <c r="P15">
        <v>8.3959424000000005E-2</v>
      </c>
      <c r="Q15">
        <f t="shared" si="1"/>
        <v>2.600539216633088E-3</v>
      </c>
      <c r="S15" t="s">
        <v>176</v>
      </c>
      <c r="T15" s="23">
        <v>0.47233796296296293</v>
      </c>
      <c r="U15">
        <v>764.7</v>
      </c>
      <c r="V15">
        <v>10.386000000000081</v>
      </c>
      <c r="W15">
        <v>0.11233687000000001</v>
      </c>
      <c r="X15">
        <f t="shared" si="2"/>
        <v>3.4794954752049401E-3</v>
      </c>
    </row>
    <row r="16" spans="1:24" x14ac:dyDescent="0.25">
      <c r="A16" t="s">
        <v>251</v>
      </c>
      <c r="B16">
        <v>1.1267443124999998</v>
      </c>
      <c r="C16">
        <f t="shared" si="0"/>
        <v>3.4899510170228618E-2</v>
      </c>
      <c r="E16" t="s">
        <v>230</v>
      </c>
      <c r="F16" s="23">
        <v>0.49958333333333332</v>
      </c>
      <c r="G16">
        <v>766.39200000000005</v>
      </c>
      <c r="H16">
        <v>11.259000000000015</v>
      </c>
      <c r="I16">
        <v>0.81090783333333349</v>
      </c>
      <c r="L16" t="s">
        <v>219</v>
      </c>
      <c r="M16" s="23">
        <v>0.49958333333333332</v>
      </c>
      <c r="N16">
        <v>766.8</v>
      </c>
      <c r="O16">
        <v>11.666999999999916</v>
      </c>
      <c r="P16">
        <v>7.3889240000000009E-2</v>
      </c>
      <c r="Q16">
        <f t="shared" si="1"/>
        <v>2.2886277341208801E-3</v>
      </c>
    </row>
    <row r="17" spans="1:9" x14ac:dyDescent="0.25">
      <c r="A17" t="s">
        <v>169</v>
      </c>
      <c r="B17">
        <v>1.1099070900000001</v>
      </c>
      <c r="C17">
        <f t="shared" si="0"/>
        <v>3.4377998047772584E-2</v>
      </c>
      <c r="E17" t="s">
        <v>170</v>
      </c>
      <c r="F17" s="23">
        <v>0.4996990740740741</v>
      </c>
      <c r="G17">
        <v>765.86699999999996</v>
      </c>
      <c r="H17">
        <v>10.733999999999924</v>
      </c>
      <c r="I17">
        <v>0.6870319359999999</v>
      </c>
    </row>
    <row r="18" spans="1:9" x14ac:dyDescent="0.25">
      <c r="A18" t="s">
        <v>220</v>
      </c>
      <c r="B18">
        <v>0.32412415076923073</v>
      </c>
      <c r="C18">
        <f t="shared" si="0"/>
        <v>1.003934430437827E-2</v>
      </c>
      <c r="E18" t="s">
        <v>286</v>
      </c>
      <c r="F18" s="23">
        <v>0.49980324074074073</v>
      </c>
      <c r="G18">
        <v>765.51700000000005</v>
      </c>
      <c r="H18">
        <v>10.384000000000015</v>
      </c>
      <c r="I18">
        <v>0.52732565333333326</v>
      </c>
    </row>
    <row r="19" spans="1:9" x14ac:dyDescent="0.25">
      <c r="A19" t="s">
        <v>236</v>
      </c>
      <c r="B19">
        <v>0.141052544</v>
      </c>
      <c r="C19">
        <f t="shared" si="0"/>
        <v>4.3689279273505278E-3</v>
      </c>
    </row>
    <row r="20" spans="1:9" x14ac:dyDescent="0.25">
      <c r="A20" t="s">
        <v>184</v>
      </c>
      <c r="B20">
        <v>0.10064624307692306</v>
      </c>
      <c r="C20">
        <f t="shared" si="0"/>
        <v>3.1173927792587626E-3</v>
      </c>
    </row>
    <row r="21" spans="1:9" x14ac:dyDescent="0.25">
      <c r="A21" t="s">
        <v>240</v>
      </c>
      <c r="B21">
        <v>8.301085250000001E-2</v>
      </c>
      <c r="C21">
        <f t="shared" si="0"/>
        <v>2.5711583887521052E-3</v>
      </c>
    </row>
    <row r="22" spans="1:9" x14ac:dyDescent="0.25">
      <c r="A22" t="s">
        <v>287</v>
      </c>
      <c r="B22">
        <v>0.72120350933333333</v>
      </c>
      <c r="C22">
        <f t="shared" si="0"/>
        <v>2.2338385851655443E-2</v>
      </c>
    </row>
    <row r="23" spans="1:9" x14ac:dyDescent="0.25">
      <c r="A23" t="s">
        <v>161</v>
      </c>
      <c r="B23">
        <v>8.3959424000000005E-2</v>
      </c>
      <c r="C23">
        <f t="shared" si="0"/>
        <v>2.600539216633088E-3</v>
      </c>
    </row>
    <row r="24" spans="1:9" x14ac:dyDescent="0.25">
      <c r="A24" t="s">
        <v>219</v>
      </c>
      <c r="B24">
        <v>7.3889240000000009E-2</v>
      </c>
      <c r="C24">
        <f t="shared" si="0"/>
        <v>2.2886277341208801E-3</v>
      </c>
    </row>
    <row r="25" spans="1:9" x14ac:dyDescent="0.25">
      <c r="A25" t="s">
        <v>179</v>
      </c>
      <c r="B25">
        <v>0.31671889999999997</v>
      </c>
      <c r="C25">
        <f t="shared" si="0"/>
        <v>9.8099758295017991E-3</v>
      </c>
    </row>
    <row r="26" spans="1:9" x14ac:dyDescent="0.25">
      <c r="A26" t="s">
        <v>224</v>
      </c>
      <c r="B26">
        <v>0.33314329599999998</v>
      </c>
      <c r="C26">
        <f t="shared" si="0"/>
        <v>1.031870116219955E-2</v>
      </c>
    </row>
    <row r="27" spans="1:9" x14ac:dyDescent="0.25">
      <c r="A27" t="s">
        <v>172</v>
      </c>
      <c r="B27">
        <v>0.20049732571428569</v>
      </c>
      <c r="C27">
        <f t="shared" si="0"/>
        <v>6.2101564483107649E-3</v>
      </c>
    </row>
    <row r="28" spans="1:9" x14ac:dyDescent="0.25">
      <c r="A28" t="s">
        <v>154</v>
      </c>
      <c r="B28">
        <v>0.16926151733333333</v>
      </c>
      <c r="C28">
        <f t="shared" si="0"/>
        <v>5.2426659536415413E-3</v>
      </c>
    </row>
    <row r="29" spans="1:9" x14ac:dyDescent="0.25">
      <c r="A29" t="s">
        <v>261</v>
      </c>
      <c r="B29">
        <v>0.10653170882352941</v>
      </c>
      <c r="C29">
        <f t="shared" si="0"/>
        <v>3.2996877945532998E-3</v>
      </c>
    </row>
    <row r="30" spans="1:9" x14ac:dyDescent="0.25">
      <c r="A30" s="19" t="s">
        <v>217</v>
      </c>
      <c r="B30">
        <v>8.3959424000000005E-2</v>
      </c>
      <c r="C30">
        <f t="shared" si="0"/>
        <v>2.600539216633088E-3</v>
      </c>
    </row>
    <row r="31" spans="1:9" x14ac:dyDescent="0.25">
      <c r="A31" t="s">
        <v>153</v>
      </c>
      <c r="B31">
        <v>8.4539316000000003E-2</v>
      </c>
      <c r="C31">
        <f t="shared" si="0"/>
        <v>2.618500653426792E-3</v>
      </c>
    </row>
    <row r="32" spans="1:9" x14ac:dyDescent="0.25">
      <c r="A32" t="s">
        <v>207</v>
      </c>
      <c r="B32">
        <v>0.26068769538461534</v>
      </c>
      <c r="C32">
        <f t="shared" si="0"/>
        <v>8.0744786331715737E-3</v>
      </c>
    </row>
    <row r="33" spans="1:3" x14ac:dyDescent="0.25">
      <c r="A33" t="s">
        <v>216</v>
      </c>
      <c r="B33">
        <v>0.14788307250000002</v>
      </c>
      <c r="C33">
        <f t="shared" si="0"/>
        <v>4.5804950914437453E-3</v>
      </c>
    </row>
    <row r="34" spans="1:3" x14ac:dyDescent="0.25">
      <c r="A34" t="s">
        <v>159</v>
      </c>
      <c r="B34">
        <v>0.13100376631578944</v>
      </c>
      <c r="C34">
        <f t="shared" si="0"/>
        <v>4.0576794789688791E-3</v>
      </c>
    </row>
    <row r="35" spans="1:3" x14ac:dyDescent="0.25">
      <c r="A35" t="s">
        <v>223</v>
      </c>
      <c r="B35">
        <v>0.10899065249999999</v>
      </c>
      <c r="C35">
        <f t="shared" si="0"/>
        <v>3.3758505307597045E-3</v>
      </c>
    </row>
    <row r="36" spans="1:3" x14ac:dyDescent="0.25">
      <c r="A36" s="19" t="s">
        <v>176</v>
      </c>
      <c r="B36">
        <v>0.11233687000000001</v>
      </c>
      <c r="C36">
        <f t="shared" si="0"/>
        <v>3.4794954752049401E-3</v>
      </c>
    </row>
    <row r="37" spans="1:3" x14ac:dyDescent="0.25">
      <c r="A37" t="s">
        <v>160</v>
      </c>
      <c r="B37">
        <v>0.75294281600000001</v>
      </c>
      <c r="C37">
        <f t="shared" si="0"/>
        <v>2.3321471582393793E-2</v>
      </c>
    </row>
    <row r="38" spans="1:3" x14ac:dyDescent="0.25">
      <c r="A38" t="s">
        <v>229</v>
      </c>
      <c r="B38">
        <v>0.61999283368421043</v>
      </c>
      <c r="C38">
        <f t="shared" si="0"/>
        <v>1.9203510472240316E-2</v>
      </c>
    </row>
    <row r="39" spans="1:3" x14ac:dyDescent="0.25">
      <c r="A39" t="s">
        <v>208</v>
      </c>
      <c r="B39">
        <v>0.37175619999999998</v>
      </c>
      <c r="C39">
        <f t="shared" si="0"/>
        <v>1.15146880608244E-2</v>
      </c>
    </row>
    <row r="40" spans="1:3" x14ac:dyDescent="0.25">
      <c r="A40" t="s">
        <v>166</v>
      </c>
      <c r="B40">
        <v>0.31820747692307688</v>
      </c>
      <c r="C40">
        <f t="shared" si="0"/>
        <v>9.856082656835876E-3</v>
      </c>
    </row>
    <row r="41" spans="1:3" x14ac:dyDescent="0.25">
      <c r="A41" t="s">
        <v>257</v>
      </c>
      <c r="B41">
        <v>0.37747340000000001</v>
      </c>
      <c r="C41">
        <f t="shared" si="0"/>
        <v>1.16917712529308E-2</v>
      </c>
    </row>
    <row r="42" spans="1:3" x14ac:dyDescent="0.25">
      <c r="A42" t="s">
        <v>210</v>
      </c>
      <c r="B42">
        <v>0.39657697250000001</v>
      </c>
      <c r="C42">
        <f t="shared" si="0"/>
        <v>1.2283480760895546E-2</v>
      </c>
    </row>
    <row r="43" spans="1:3" x14ac:dyDescent="0.25">
      <c r="A43" s="19" t="s">
        <v>233</v>
      </c>
      <c r="B43">
        <v>0.28267674153846145</v>
      </c>
      <c r="C43">
        <f t="shared" si="0"/>
        <v>8.7555621153478178E-3</v>
      </c>
    </row>
    <row r="44" spans="1:3" x14ac:dyDescent="0.25">
      <c r="A44" t="s">
        <v>177</v>
      </c>
      <c r="B44">
        <v>0.18537896399999998</v>
      </c>
      <c r="C44">
        <f t="shared" si="0"/>
        <v>5.741883910742567E-3</v>
      </c>
    </row>
    <row r="45" spans="1:3" x14ac:dyDescent="0.25">
      <c r="A45" t="s">
        <v>245</v>
      </c>
      <c r="B45">
        <v>2.3865277777777773E-2</v>
      </c>
      <c r="C45">
        <f t="shared" si="0"/>
        <v>7.3919743395277761E-4</v>
      </c>
    </row>
    <row r="46" spans="1:3" x14ac:dyDescent="0.25">
      <c r="A46" t="s">
        <v>254</v>
      </c>
      <c r="B46">
        <v>8.4539316000000003E-2</v>
      </c>
      <c r="C46">
        <f t="shared" si="0"/>
        <v>2.618500653426792E-3</v>
      </c>
    </row>
    <row r="47" spans="1:3" x14ac:dyDescent="0.25">
      <c r="A47" t="s">
        <v>185</v>
      </c>
      <c r="B47">
        <v>4.0976352000000001E-2</v>
      </c>
      <c r="C47">
        <f t="shared" si="0"/>
        <v>1.2691917744762238E-3</v>
      </c>
    </row>
    <row r="48" spans="1:3" x14ac:dyDescent="0.25">
      <c r="A48" t="s">
        <v>232</v>
      </c>
      <c r="B48">
        <v>2.1579673191489363E-2</v>
      </c>
      <c r="C48">
        <f t="shared" si="0"/>
        <v>6.6840366147097189E-4</v>
      </c>
    </row>
    <row r="49" spans="1:18" x14ac:dyDescent="0.25">
      <c r="A49" t="s">
        <v>247</v>
      </c>
      <c r="B49">
        <v>7.3487183999999997E-2</v>
      </c>
      <c r="C49">
        <f t="shared" si="0"/>
        <v>2.2761745472662078E-3</v>
      </c>
    </row>
    <row r="50" spans="1:18" x14ac:dyDescent="0.25">
      <c r="A50" t="s">
        <v>180</v>
      </c>
      <c r="B50">
        <v>3.2781081600000005E-2</v>
      </c>
      <c r="C50">
        <f t="shared" si="0"/>
        <v>1.0153534195809792E-3</v>
      </c>
    </row>
    <row r="51" spans="1:18" x14ac:dyDescent="0.25">
      <c r="A51" s="19" t="s">
        <v>252</v>
      </c>
      <c r="B51">
        <v>4.3828761257142848</v>
      </c>
      <c r="C51">
        <f t="shared" si="0"/>
        <v>0.13575416199335633</v>
      </c>
    </row>
    <row r="52" spans="1:18" x14ac:dyDescent="0.25">
      <c r="A52" t="s">
        <v>178</v>
      </c>
      <c r="B52">
        <v>8.5374588479999982</v>
      </c>
      <c r="C52">
        <f t="shared" si="0"/>
        <v>0.26443721844274609</v>
      </c>
    </row>
    <row r="53" spans="1:18" x14ac:dyDescent="0.25">
      <c r="A53" t="s">
        <v>222</v>
      </c>
      <c r="B53">
        <v>3.9590124359999992</v>
      </c>
      <c r="C53">
        <f t="shared" si="0"/>
        <v>0.1226255089477042</v>
      </c>
    </row>
    <row r="54" spans="1:18" x14ac:dyDescent="0.25">
      <c r="A54" t="s">
        <v>158</v>
      </c>
      <c r="B54">
        <v>3.5655463288888889</v>
      </c>
      <c r="C54">
        <f t="shared" si="0"/>
        <v>0.11043838339097817</v>
      </c>
    </row>
    <row r="55" spans="1:18" x14ac:dyDescent="0.25">
      <c r="A55" t="s">
        <v>155</v>
      </c>
      <c r="B55">
        <v>1.712936</v>
      </c>
      <c r="C55">
        <f t="shared" si="0"/>
        <v>5.3056071985231996E-2</v>
      </c>
    </row>
    <row r="56" spans="1:18" x14ac:dyDescent="0.25">
      <c r="A56" t="s">
        <v>174</v>
      </c>
      <c r="B56">
        <v>1.6121435279999998</v>
      </c>
      <c r="C56">
        <f t="shared" si="0"/>
        <v>4.9934149946112331E-2</v>
      </c>
      <c r="G56" s="30"/>
      <c r="H56" s="30"/>
      <c r="I56" s="30"/>
      <c r="J56" s="30"/>
      <c r="K56" s="30"/>
      <c r="L56" s="30"/>
    </row>
    <row r="57" spans="1:18" x14ac:dyDescent="0.25">
      <c r="A57" t="s">
        <v>175</v>
      </c>
      <c r="B57">
        <v>2.1011482349514568</v>
      </c>
      <c r="C57">
        <f t="shared" si="0"/>
        <v>6.5080465356106496E-2</v>
      </c>
      <c r="G57" s="30" t="s">
        <v>84</v>
      </c>
      <c r="H57" s="30" t="s">
        <v>315</v>
      </c>
      <c r="I57" s="30" t="s">
        <v>331</v>
      </c>
      <c r="J57" s="30"/>
      <c r="K57" s="30" t="s">
        <v>289</v>
      </c>
      <c r="L57" s="30" t="s">
        <v>334</v>
      </c>
      <c r="M57" t="s">
        <v>315</v>
      </c>
      <c r="N57" t="s">
        <v>289</v>
      </c>
      <c r="P57" t="s">
        <v>315</v>
      </c>
      <c r="R57" t="s">
        <v>289</v>
      </c>
    </row>
    <row r="58" spans="1:18" x14ac:dyDescent="0.25">
      <c r="A58" t="s">
        <v>248</v>
      </c>
      <c r="B58">
        <v>2.5077014399999995</v>
      </c>
      <c r="C58">
        <f t="shared" si="0"/>
        <v>7.7672947569617262E-2</v>
      </c>
      <c r="G58" t="s">
        <v>214</v>
      </c>
      <c r="H58">
        <v>760.12699999999995</v>
      </c>
      <c r="I58">
        <v>1.0624567579942639</v>
      </c>
      <c r="K58">
        <v>0.47855972571428568</v>
      </c>
      <c r="L58">
        <f>ABS(K58*0.030973762)</f>
        <v>1.4822795047059564E-2</v>
      </c>
      <c r="M58">
        <v>764.66110000000003</v>
      </c>
      <c r="N58" s="29">
        <v>9.6374912727272721E-2</v>
      </c>
      <c r="P58">
        <v>758.93669999999997</v>
      </c>
      <c r="R58">
        <v>5.888061E-2</v>
      </c>
    </row>
    <row r="59" spans="1:18" x14ac:dyDescent="0.25">
      <c r="A59" t="s">
        <v>167</v>
      </c>
      <c r="B59">
        <v>2.2637023999999997</v>
      </c>
      <c r="C59">
        <f t="shared" si="0"/>
        <v>7.0115379376428782E-2</v>
      </c>
      <c r="G59" t="s">
        <v>260</v>
      </c>
      <c r="H59">
        <v>761.45309999999995</v>
      </c>
      <c r="I59">
        <v>2.9504046144412648</v>
      </c>
      <c r="K59">
        <v>0.39552839999999995</v>
      </c>
      <c r="M59">
        <v>765.49369999999999</v>
      </c>
      <c r="N59" s="29">
        <v>0.16967160754716981</v>
      </c>
      <c r="P59">
        <v>759.19330000000002</v>
      </c>
      <c r="R59">
        <v>6.4644769811320765E-2</v>
      </c>
    </row>
    <row r="60" spans="1:18" x14ac:dyDescent="0.25">
      <c r="A60" s="19" t="s">
        <v>246</v>
      </c>
      <c r="B60">
        <v>2.668821802105263</v>
      </c>
      <c r="C60">
        <f t="shared" si="0"/>
        <v>8.2663451318819511E-2</v>
      </c>
      <c r="G60" t="s">
        <v>204</v>
      </c>
      <c r="H60">
        <v>760.65940000000001</v>
      </c>
      <c r="I60">
        <v>2.4119111160649758</v>
      </c>
      <c r="K60">
        <v>0.13813607</v>
      </c>
      <c r="M60">
        <v>764.67269999999996</v>
      </c>
      <c r="N60" s="29">
        <v>0.29422207</v>
      </c>
      <c r="P60">
        <v>759.87779999999998</v>
      </c>
      <c r="R60">
        <v>6.5419550943396229E-2</v>
      </c>
    </row>
    <row r="61" spans="1:18" x14ac:dyDescent="0.25">
      <c r="A61" s="19" t="s">
        <v>157</v>
      </c>
      <c r="B61">
        <v>2.2280088631578949</v>
      </c>
      <c r="C61">
        <f t="shared" si="0"/>
        <v>6.9009816261343199E-2</v>
      </c>
      <c r="G61" t="s">
        <v>221</v>
      </c>
      <c r="H61">
        <v>759.45</v>
      </c>
      <c r="I61">
        <v>2.0481544713461397</v>
      </c>
      <c r="K61">
        <v>7.9452600000000012E-2</v>
      </c>
      <c r="M61">
        <v>763.56870000000004</v>
      </c>
      <c r="N61" s="29">
        <v>0.10715204571428572</v>
      </c>
      <c r="P61">
        <v>759.74199999999996</v>
      </c>
      <c r="R61">
        <v>6.4970740740740746E-2</v>
      </c>
    </row>
    <row r="62" spans="1:18" x14ac:dyDescent="0.25">
      <c r="A62" t="s">
        <v>215</v>
      </c>
      <c r="B62">
        <v>1.5477521160000001</v>
      </c>
      <c r="C62">
        <f t="shared" si="0"/>
        <v>4.7939705675980389E-2</v>
      </c>
      <c r="G62" t="s">
        <v>211</v>
      </c>
      <c r="H62">
        <v>764.66110000000003</v>
      </c>
      <c r="I62">
        <v>2.5798708531756338</v>
      </c>
      <c r="K62">
        <v>9.6374912727272721E-2</v>
      </c>
      <c r="M62">
        <v>762.30799999999999</v>
      </c>
      <c r="N62" s="29">
        <v>6.05604525E-2</v>
      </c>
      <c r="P62">
        <v>759.64869999999996</v>
      </c>
      <c r="R62">
        <v>6.4453235999999997E-2</v>
      </c>
    </row>
    <row r="63" spans="1:18" x14ac:dyDescent="0.25">
      <c r="A63" t="s">
        <v>243</v>
      </c>
      <c r="B63">
        <v>4.6822435107692302</v>
      </c>
      <c r="C63">
        <f t="shared" si="0"/>
        <v>0.14502669612861058</v>
      </c>
      <c r="G63" t="s">
        <v>205</v>
      </c>
      <c r="H63">
        <v>765.49369999999999</v>
      </c>
      <c r="I63">
        <v>4.6330754582608034</v>
      </c>
      <c r="K63">
        <v>0.16967160754716981</v>
      </c>
    </row>
    <row r="64" spans="1:18" x14ac:dyDescent="0.25">
      <c r="A64" s="19" t="s">
        <v>249</v>
      </c>
      <c r="B64">
        <v>3.4275017999999999</v>
      </c>
      <c r="C64">
        <f t="shared" si="0"/>
        <v>0.1061626250077716</v>
      </c>
      <c r="G64" t="s">
        <v>235</v>
      </c>
      <c r="H64">
        <v>764.67269999999996</v>
      </c>
      <c r="I64">
        <v>4.1567339061509294</v>
      </c>
      <c r="K64">
        <v>0.29422207</v>
      </c>
    </row>
    <row r="65" spans="1:11" x14ac:dyDescent="0.25">
      <c r="A65" t="s">
        <v>206</v>
      </c>
      <c r="B65">
        <v>2.5210225730769231</v>
      </c>
      <c r="C65">
        <f t="shared" si="0"/>
        <v>7.8085553175112218E-2</v>
      </c>
      <c r="G65" t="s">
        <v>253</v>
      </c>
      <c r="H65">
        <v>763.56870000000004</v>
      </c>
      <c r="I65">
        <v>3.1618702067139566</v>
      </c>
      <c r="K65">
        <v>0.10715204571428572</v>
      </c>
    </row>
    <row r="66" spans="1:11" x14ac:dyDescent="0.25">
      <c r="A66" t="s">
        <v>168</v>
      </c>
      <c r="B66">
        <v>4.9271422145454533</v>
      </c>
      <c r="C66">
        <f t="shared" si="0"/>
        <v>0.15261213029348381</v>
      </c>
      <c r="G66" t="s">
        <v>187</v>
      </c>
      <c r="H66">
        <v>762.30799999999999</v>
      </c>
      <c r="I66">
        <v>2.9743309048210591</v>
      </c>
      <c r="K66">
        <v>6.05604525E-2</v>
      </c>
    </row>
    <row r="67" spans="1:11" x14ac:dyDescent="0.25">
      <c r="A67" s="19" t="s">
        <v>255</v>
      </c>
      <c r="B67">
        <v>1.0282397049999998</v>
      </c>
      <c r="C67">
        <f t="shared" ref="C67:C95" si="3">ABS(B67*0.030973762)</f>
        <v>3.1848451901620202E-2</v>
      </c>
      <c r="G67" t="s">
        <v>259</v>
      </c>
      <c r="H67">
        <v>758.93669999999997</v>
      </c>
      <c r="I67">
        <v>0.92354460999561794</v>
      </c>
      <c r="K67">
        <v>5.888061E-2</v>
      </c>
    </row>
    <row r="68" spans="1:11" x14ac:dyDescent="0.25">
      <c r="A68" t="s">
        <v>244</v>
      </c>
      <c r="B68">
        <v>1.0107506666666668</v>
      </c>
      <c r="C68">
        <f t="shared" si="3"/>
        <v>3.130675059067467E-2</v>
      </c>
      <c r="G68" t="s">
        <v>164</v>
      </c>
      <c r="H68">
        <v>759.19330000000002</v>
      </c>
      <c r="I68">
        <v>0.8336560798174788</v>
      </c>
      <c r="K68">
        <v>6.4644769811320765E-2</v>
      </c>
    </row>
    <row r="69" spans="1:11" x14ac:dyDescent="0.25">
      <c r="A69" t="s">
        <v>162</v>
      </c>
      <c r="B69">
        <v>2.3425750499999993</v>
      </c>
      <c r="C69">
        <f t="shared" si="3"/>
        <v>7.2558362065838072E-2</v>
      </c>
      <c r="G69" t="s">
        <v>258</v>
      </c>
      <c r="H69">
        <v>759.87779999999998</v>
      </c>
      <c r="I69">
        <v>0.87742750896381172</v>
      </c>
      <c r="K69">
        <v>6.5419550943396229E-2</v>
      </c>
    </row>
    <row r="70" spans="1:11" x14ac:dyDescent="0.25">
      <c r="A70" t="s">
        <v>241</v>
      </c>
      <c r="B70">
        <v>1.4765238733333332</v>
      </c>
      <c r="C70">
        <f t="shared" si="3"/>
        <v>4.5733499039944808E-2</v>
      </c>
      <c r="G70" t="s">
        <v>212</v>
      </c>
      <c r="H70">
        <v>759.74199999999996</v>
      </c>
      <c r="I70">
        <v>0.8676976225576909</v>
      </c>
      <c r="K70">
        <v>6.4970740740740746E-2</v>
      </c>
    </row>
    <row r="71" spans="1:11" x14ac:dyDescent="0.25">
      <c r="A71" t="s">
        <v>213</v>
      </c>
      <c r="B71">
        <v>2.6278531049999998</v>
      </c>
      <c r="C71">
        <f t="shared" si="3"/>
        <v>8.1394496645231004E-2</v>
      </c>
      <c r="G71" t="s">
        <v>242</v>
      </c>
      <c r="H71">
        <v>759.64869999999996</v>
      </c>
      <c r="I71">
        <v>0.93455313839525411</v>
      </c>
      <c r="K71">
        <v>6.4453235999999997E-2</v>
      </c>
    </row>
    <row r="72" spans="1:11" x14ac:dyDescent="0.25">
      <c r="A72" t="s">
        <v>165</v>
      </c>
      <c r="B72">
        <v>1.0543789379999999</v>
      </c>
      <c r="C72">
        <f t="shared" si="3"/>
        <v>3.2658082283424754E-2</v>
      </c>
    </row>
    <row r="73" spans="1:11" x14ac:dyDescent="0.25">
      <c r="A73" t="s">
        <v>228</v>
      </c>
      <c r="B73">
        <v>1.1456654914285713</v>
      </c>
      <c r="C73">
        <f t="shared" si="3"/>
        <v>3.5485570263121609E-2</v>
      </c>
    </row>
    <row r="74" spans="1:11" x14ac:dyDescent="0.25">
      <c r="A74" t="s">
        <v>231</v>
      </c>
      <c r="B74">
        <v>1.5673566240000003</v>
      </c>
      <c r="C74">
        <f t="shared" si="3"/>
        <v>4.8546931040899494E-2</v>
      </c>
    </row>
    <row r="75" spans="1:11" x14ac:dyDescent="0.25">
      <c r="A75" t="s">
        <v>156</v>
      </c>
      <c r="B75">
        <v>2.9194779779999993</v>
      </c>
      <c r="C75">
        <f t="shared" si="3"/>
        <v>9.0427216054813214E-2</v>
      </c>
    </row>
    <row r="76" spans="1:11" x14ac:dyDescent="0.25">
      <c r="A76" t="s">
        <v>239</v>
      </c>
      <c r="B76">
        <v>7.9891269333333348</v>
      </c>
      <c r="C76">
        <f t="shared" si="3"/>
        <v>0.24745331622085656</v>
      </c>
    </row>
    <row r="77" spans="1:11" x14ac:dyDescent="0.25">
      <c r="A77" t="s">
        <v>234</v>
      </c>
      <c r="B77">
        <v>8.1260281600000006</v>
      </c>
      <c r="C77">
        <f t="shared" si="3"/>
        <v>0.25169366223313794</v>
      </c>
    </row>
    <row r="78" spans="1:11" x14ac:dyDescent="0.25">
      <c r="A78" t="s">
        <v>173</v>
      </c>
      <c r="B78">
        <v>10.318036693333333</v>
      </c>
      <c r="C78">
        <f t="shared" si="3"/>
        <v>0.31958841284657363</v>
      </c>
    </row>
    <row r="79" spans="1:11" x14ac:dyDescent="0.25">
      <c r="A79" s="19" t="s">
        <v>227</v>
      </c>
      <c r="B79">
        <v>1.3289984579999996</v>
      </c>
      <c r="C79">
        <f t="shared" si="3"/>
        <v>4.1164081936458985E-2</v>
      </c>
    </row>
    <row r="80" spans="1:11" x14ac:dyDescent="0.25">
      <c r="A80" t="s">
        <v>171</v>
      </c>
      <c r="B80">
        <v>1.52371664</v>
      </c>
      <c r="C80">
        <f t="shared" si="3"/>
        <v>4.7195236562799676E-2</v>
      </c>
    </row>
    <row r="81" spans="1:14" x14ac:dyDescent="0.25">
      <c r="A81" t="s">
        <v>225</v>
      </c>
      <c r="B81">
        <v>0.2250843984</v>
      </c>
      <c r="C81">
        <f t="shared" si="3"/>
        <v>6.9717105859547802E-3</v>
      </c>
      <c r="G81" s="19" t="s">
        <v>252</v>
      </c>
      <c r="H81">
        <v>4.3828761257142848</v>
      </c>
      <c r="L81" s="16">
        <v>44762</v>
      </c>
      <c r="M81" t="s">
        <v>316</v>
      </c>
      <c r="N81">
        <v>4.3828761257142848</v>
      </c>
    </row>
    <row r="82" spans="1:14" x14ac:dyDescent="0.25">
      <c r="A82" t="s">
        <v>214</v>
      </c>
      <c r="B82">
        <v>0.47855972571428568</v>
      </c>
      <c r="C82">
        <f t="shared" si="3"/>
        <v>1.4822795047059564E-2</v>
      </c>
      <c r="G82" t="s">
        <v>178</v>
      </c>
      <c r="H82">
        <v>8.5374588479999982</v>
      </c>
      <c r="L82" s="16">
        <v>44762</v>
      </c>
      <c r="M82" t="s">
        <v>317</v>
      </c>
      <c r="N82">
        <v>3.5655463288888889</v>
      </c>
    </row>
    <row r="83" spans="1:14" x14ac:dyDescent="0.25">
      <c r="A83" s="19" t="s">
        <v>221</v>
      </c>
      <c r="B83">
        <v>7.9452600000000012E-2</v>
      </c>
      <c r="C83">
        <f t="shared" si="3"/>
        <v>2.4609459226812001E-3</v>
      </c>
      <c r="G83" t="s">
        <v>222</v>
      </c>
      <c r="H83">
        <v>3.9590124359999992</v>
      </c>
      <c r="L83" s="16">
        <v>44762</v>
      </c>
      <c r="M83" t="s">
        <v>318</v>
      </c>
      <c r="N83">
        <v>2.1011482349514568</v>
      </c>
    </row>
    <row r="84" spans="1:14" x14ac:dyDescent="0.25">
      <c r="A84" s="19" t="s">
        <v>260</v>
      </c>
      <c r="B84">
        <v>0.39552839999999995</v>
      </c>
      <c r="C84">
        <f t="shared" si="3"/>
        <v>1.2251002525840798E-2</v>
      </c>
      <c r="G84" t="s">
        <v>158</v>
      </c>
      <c r="H84">
        <v>3.5655463288888889</v>
      </c>
      <c r="L84" s="16">
        <v>44762</v>
      </c>
      <c r="M84" t="s">
        <v>319</v>
      </c>
      <c r="N84">
        <v>2.668821802105263</v>
      </c>
    </row>
    <row r="85" spans="1:14" x14ac:dyDescent="0.25">
      <c r="A85" t="s">
        <v>204</v>
      </c>
      <c r="B85">
        <v>0.13813607</v>
      </c>
      <c r="C85">
        <f t="shared" si="3"/>
        <v>4.2785937557953402E-3</v>
      </c>
      <c r="G85" t="s">
        <v>155</v>
      </c>
      <c r="H85">
        <v>1.712936</v>
      </c>
      <c r="L85" s="16">
        <v>44762</v>
      </c>
      <c r="M85" t="s">
        <v>320</v>
      </c>
      <c r="N85">
        <v>4.6822435107692302</v>
      </c>
    </row>
    <row r="86" spans="1:14" x14ac:dyDescent="0.25">
      <c r="A86" t="s">
        <v>211</v>
      </c>
      <c r="B86">
        <v>9.6374912727272721E-2</v>
      </c>
      <c r="C86">
        <f t="shared" si="3"/>
        <v>2.9850936095853161E-3</v>
      </c>
      <c r="G86" t="s">
        <v>174</v>
      </c>
      <c r="H86">
        <v>1.6121435279999998</v>
      </c>
      <c r="L86" s="16">
        <v>44762</v>
      </c>
      <c r="M86" t="s">
        <v>321</v>
      </c>
      <c r="N86">
        <v>4.9271422145454533</v>
      </c>
    </row>
    <row r="87" spans="1:14" x14ac:dyDescent="0.25">
      <c r="A87" t="s">
        <v>253</v>
      </c>
      <c r="B87">
        <v>0.10715204571428572</v>
      </c>
      <c r="C87">
        <f t="shared" si="3"/>
        <v>3.3189019617674057E-3</v>
      </c>
      <c r="G87" t="s">
        <v>175</v>
      </c>
      <c r="H87">
        <v>2.1011482349514568</v>
      </c>
      <c r="L87" s="16">
        <v>44762</v>
      </c>
      <c r="M87" t="s">
        <v>322</v>
      </c>
      <c r="N87">
        <v>2.3425750499999993</v>
      </c>
    </row>
    <row r="88" spans="1:14" x14ac:dyDescent="0.25">
      <c r="A88" t="s">
        <v>187</v>
      </c>
      <c r="B88">
        <v>6.05604525E-2</v>
      </c>
      <c r="C88">
        <f t="shared" si="3"/>
        <v>1.875785042347305E-3</v>
      </c>
      <c r="G88" t="s">
        <v>248</v>
      </c>
      <c r="H88">
        <v>2.5077014399999995</v>
      </c>
      <c r="L88" s="16">
        <v>44762</v>
      </c>
      <c r="M88" t="s">
        <v>323</v>
      </c>
      <c r="N88">
        <v>1.0543789379999999</v>
      </c>
    </row>
    <row r="89" spans="1:14" x14ac:dyDescent="0.25">
      <c r="A89" t="s">
        <v>205</v>
      </c>
      <c r="B89">
        <v>0.16967160754716981</v>
      </c>
      <c r="C89">
        <f t="shared" si="3"/>
        <v>5.2553679903234417E-3</v>
      </c>
      <c r="G89" t="s">
        <v>167</v>
      </c>
      <c r="H89">
        <v>2.2637023999999997</v>
      </c>
      <c r="L89" s="16">
        <v>44762</v>
      </c>
      <c r="M89" t="s">
        <v>324</v>
      </c>
      <c r="N89">
        <v>2.9194779779999993</v>
      </c>
    </row>
    <row r="90" spans="1:14" x14ac:dyDescent="0.25">
      <c r="A90" t="s">
        <v>235</v>
      </c>
      <c r="B90">
        <v>0.29422207</v>
      </c>
      <c r="C90">
        <f t="shared" si="3"/>
        <v>9.1131643713273404E-3</v>
      </c>
      <c r="G90" s="19" t="s">
        <v>246</v>
      </c>
      <c r="H90">
        <v>2.668821802105263</v>
      </c>
      <c r="L90" s="16">
        <v>44784</v>
      </c>
      <c r="M90" t="s">
        <v>316</v>
      </c>
      <c r="N90">
        <v>8.5374588479999982</v>
      </c>
    </row>
    <row r="91" spans="1:14" x14ac:dyDescent="0.25">
      <c r="A91" t="s">
        <v>259</v>
      </c>
      <c r="B91">
        <v>5.888061E-2</v>
      </c>
      <c r="C91">
        <f t="shared" si="3"/>
        <v>1.82375400055482E-3</v>
      </c>
      <c r="G91" s="19" t="s">
        <v>157</v>
      </c>
      <c r="H91">
        <v>2.2280088631578949</v>
      </c>
      <c r="L91" s="16">
        <v>44784</v>
      </c>
      <c r="M91" t="s">
        <v>317</v>
      </c>
      <c r="N91">
        <v>1.712936</v>
      </c>
    </row>
    <row r="92" spans="1:14" x14ac:dyDescent="0.25">
      <c r="A92" s="19" t="s">
        <v>258</v>
      </c>
      <c r="B92">
        <v>6.5419550943396229E-2</v>
      </c>
      <c r="C92">
        <f t="shared" si="3"/>
        <v>2.0262896010676303E-3</v>
      </c>
      <c r="G92" t="s">
        <v>215</v>
      </c>
      <c r="H92">
        <v>1.5477521160000001</v>
      </c>
      <c r="L92" s="16">
        <v>44784</v>
      </c>
      <c r="M92" t="s">
        <v>318</v>
      </c>
      <c r="N92">
        <v>2.5077014399999995</v>
      </c>
    </row>
    <row r="93" spans="1:14" x14ac:dyDescent="0.25">
      <c r="A93" t="s">
        <v>212</v>
      </c>
      <c r="B93">
        <v>6.4970740740740746E-2</v>
      </c>
      <c r="C93">
        <f t="shared" si="3"/>
        <v>2.0123882606674073E-3</v>
      </c>
      <c r="G93" t="s">
        <v>243</v>
      </c>
      <c r="H93">
        <v>4.6822435107692302</v>
      </c>
      <c r="L93" s="16">
        <v>44784</v>
      </c>
      <c r="M93" t="s">
        <v>319</v>
      </c>
      <c r="N93">
        <v>2.2280088631578949</v>
      </c>
    </row>
    <row r="94" spans="1:14" x14ac:dyDescent="0.25">
      <c r="A94" t="s">
        <v>242</v>
      </c>
      <c r="B94">
        <v>6.4453235999999997E-2</v>
      </c>
      <c r="C94">
        <f t="shared" si="3"/>
        <v>1.9963591919938319E-3</v>
      </c>
      <c r="G94" s="19" t="s">
        <v>249</v>
      </c>
      <c r="H94">
        <v>3.4275017999999999</v>
      </c>
      <c r="L94" s="16">
        <v>44784</v>
      </c>
      <c r="M94" t="s">
        <v>320</v>
      </c>
      <c r="N94">
        <v>3.4275017999999999</v>
      </c>
    </row>
    <row r="95" spans="1:14" x14ac:dyDescent="0.25">
      <c r="A95" t="s">
        <v>164</v>
      </c>
      <c r="B95">
        <v>6.4644769811320765E-2</v>
      </c>
      <c r="C95">
        <f t="shared" si="3"/>
        <v>2.0022917146806343E-3</v>
      </c>
      <c r="G95" t="s">
        <v>206</v>
      </c>
      <c r="H95">
        <v>2.5210225730769231</v>
      </c>
      <c r="L95" s="16">
        <v>44784</v>
      </c>
      <c r="M95" t="s">
        <v>321</v>
      </c>
      <c r="N95">
        <v>1.0282397049999998</v>
      </c>
    </row>
    <row r="96" spans="1:14" x14ac:dyDescent="0.25">
      <c r="G96" t="s">
        <v>168</v>
      </c>
      <c r="H96">
        <v>4.9271422145454533</v>
      </c>
      <c r="L96" s="16">
        <v>44784</v>
      </c>
      <c r="M96" t="s">
        <v>322</v>
      </c>
      <c r="N96">
        <v>1.4765238733333332</v>
      </c>
    </row>
    <row r="97" spans="7:14" x14ac:dyDescent="0.25">
      <c r="G97" s="19" t="s">
        <v>255</v>
      </c>
      <c r="H97">
        <v>1.0282397049999998</v>
      </c>
      <c r="L97" s="16">
        <v>44784</v>
      </c>
      <c r="M97" t="s">
        <v>323</v>
      </c>
      <c r="N97">
        <v>1.1456654914285713</v>
      </c>
    </row>
    <row r="98" spans="7:14" x14ac:dyDescent="0.25">
      <c r="G98" t="s">
        <v>244</v>
      </c>
      <c r="H98">
        <v>1.0107506666666668</v>
      </c>
      <c r="L98" s="16">
        <v>44784</v>
      </c>
      <c r="M98" t="s">
        <v>324</v>
      </c>
      <c r="N98">
        <v>7.9891269333333348</v>
      </c>
    </row>
    <row r="99" spans="7:14" x14ac:dyDescent="0.25">
      <c r="G99" t="s">
        <v>162</v>
      </c>
      <c r="H99">
        <v>2.3425750499999993</v>
      </c>
      <c r="L99" s="16">
        <v>44796</v>
      </c>
      <c r="M99" t="s">
        <v>316</v>
      </c>
      <c r="N99">
        <v>3.9590124359999992</v>
      </c>
    </row>
    <row r="100" spans="7:14" x14ac:dyDescent="0.25">
      <c r="G100" t="s">
        <v>241</v>
      </c>
      <c r="H100">
        <v>1.4765238733333332</v>
      </c>
      <c r="L100" s="16">
        <v>44796</v>
      </c>
      <c r="M100" t="s">
        <v>317</v>
      </c>
      <c r="N100">
        <v>1.6121435279999998</v>
      </c>
    </row>
    <row r="101" spans="7:14" x14ac:dyDescent="0.25">
      <c r="G101" t="s">
        <v>213</v>
      </c>
      <c r="H101">
        <v>2.6278531049999998</v>
      </c>
      <c r="L101" s="16">
        <v>44796</v>
      </c>
      <c r="M101" t="s">
        <v>318</v>
      </c>
      <c r="N101">
        <v>2.2637023999999997</v>
      </c>
    </row>
    <row r="102" spans="7:14" x14ac:dyDescent="0.25">
      <c r="G102" t="s">
        <v>165</v>
      </c>
      <c r="H102">
        <v>1.0543789379999999</v>
      </c>
      <c r="L102" s="16">
        <v>44796</v>
      </c>
      <c r="M102" t="s">
        <v>319</v>
      </c>
      <c r="N102">
        <v>1.5477521160000001</v>
      </c>
    </row>
    <row r="103" spans="7:14" x14ac:dyDescent="0.25">
      <c r="G103" t="s">
        <v>228</v>
      </c>
      <c r="H103">
        <v>1.1456654914285713</v>
      </c>
      <c r="L103" s="16">
        <v>44796</v>
      </c>
      <c r="M103" t="s">
        <v>320</v>
      </c>
      <c r="N103">
        <v>2.5210225730769231</v>
      </c>
    </row>
    <row r="104" spans="7:14" x14ac:dyDescent="0.25">
      <c r="G104" t="s">
        <v>231</v>
      </c>
      <c r="H104">
        <v>1.5673566240000003</v>
      </c>
      <c r="L104" s="16">
        <v>44796</v>
      </c>
      <c r="M104" t="s">
        <v>321</v>
      </c>
      <c r="N104">
        <v>1.0107506666666668</v>
      </c>
    </row>
    <row r="105" spans="7:14" x14ac:dyDescent="0.25">
      <c r="G105" t="s">
        <v>156</v>
      </c>
      <c r="H105">
        <v>2.9194779779999993</v>
      </c>
      <c r="L105" s="16">
        <v>44796</v>
      </c>
      <c r="M105" t="s">
        <v>322</v>
      </c>
      <c r="N105">
        <v>2.6278531049999998</v>
      </c>
    </row>
    <row r="106" spans="7:14" x14ac:dyDescent="0.25">
      <c r="G106" t="s">
        <v>239</v>
      </c>
      <c r="H106">
        <v>7.9891269333333348</v>
      </c>
      <c r="L106" s="16">
        <v>44796</v>
      </c>
      <c r="M106" t="s">
        <v>323</v>
      </c>
      <c r="N106">
        <v>1.5673566240000003</v>
      </c>
    </row>
    <row r="107" spans="7:14" x14ac:dyDescent="0.25">
      <c r="G107" t="s">
        <v>234</v>
      </c>
      <c r="H107">
        <v>8.1260281600000006</v>
      </c>
      <c r="L107" s="16">
        <v>44796</v>
      </c>
      <c r="M107" t="s">
        <v>324</v>
      </c>
      <c r="N107">
        <v>8.1260281600000006</v>
      </c>
    </row>
    <row r="119" spans="7:13" x14ac:dyDescent="0.25">
      <c r="G119" t="s">
        <v>173</v>
      </c>
      <c r="H119">
        <v>10.318036693333333</v>
      </c>
      <c r="K119" t="s">
        <v>325</v>
      </c>
      <c r="L119" s="16">
        <v>44784</v>
      </c>
      <c r="M119">
        <v>10.318036693333333</v>
      </c>
    </row>
    <row r="120" spans="7:13" x14ac:dyDescent="0.25">
      <c r="G120" s="19" t="s">
        <v>227</v>
      </c>
      <c r="H120">
        <v>1.3289984579999996</v>
      </c>
      <c r="K120" t="s">
        <v>325</v>
      </c>
      <c r="L120" s="16">
        <v>44796</v>
      </c>
      <c r="M120">
        <v>1.3289984579999996</v>
      </c>
    </row>
    <row r="121" spans="7:13" x14ac:dyDescent="0.25">
      <c r="G121" t="s">
        <v>171</v>
      </c>
      <c r="H121">
        <v>1.52371664</v>
      </c>
      <c r="K121" t="s">
        <v>326</v>
      </c>
      <c r="L121" s="16">
        <v>44784</v>
      </c>
      <c r="M121">
        <v>1.52371664</v>
      </c>
    </row>
    <row r="122" spans="7:13" x14ac:dyDescent="0.25">
      <c r="G122" t="s">
        <v>225</v>
      </c>
      <c r="H122">
        <v>0.2250843984</v>
      </c>
      <c r="K122" t="s">
        <v>326</v>
      </c>
      <c r="L122" s="16">
        <v>44796</v>
      </c>
      <c r="M122">
        <v>0.2250843984</v>
      </c>
    </row>
    <row r="126" spans="7:13" x14ac:dyDescent="0.25">
      <c r="G126" t="s">
        <v>245</v>
      </c>
      <c r="H126">
        <v>2.3865277777777773E-2</v>
      </c>
      <c r="K126" t="s">
        <v>327</v>
      </c>
      <c r="L126" s="16">
        <v>44754</v>
      </c>
      <c r="M126">
        <v>2.3865277777777773E-2</v>
      </c>
    </row>
    <row r="127" spans="7:13" x14ac:dyDescent="0.25">
      <c r="G127" t="s">
        <v>254</v>
      </c>
      <c r="H127">
        <v>8.4539316000000003E-2</v>
      </c>
      <c r="K127" t="s">
        <v>327</v>
      </c>
      <c r="L127" s="16">
        <v>44784</v>
      </c>
      <c r="M127">
        <v>8.4539316000000003E-2</v>
      </c>
    </row>
    <row r="128" spans="7:13" x14ac:dyDescent="0.25">
      <c r="G128" t="s">
        <v>185</v>
      </c>
      <c r="H128">
        <v>4.0976352000000001E-2</v>
      </c>
      <c r="K128" t="s">
        <v>327</v>
      </c>
      <c r="L128" s="16">
        <v>44797</v>
      </c>
      <c r="M128">
        <v>4.0976352000000001E-2</v>
      </c>
    </row>
    <row r="129" spans="7:13" x14ac:dyDescent="0.25">
      <c r="G129" t="s">
        <v>232</v>
      </c>
      <c r="H129">
        <v>2.1579673191489363E-2</v>
      </c>
      <c r="K129" t="s">
        <v>328</v>
      </c>
      <c r="L129" s="16">
        <v>44754</v>
      </c>
      <c r="M129">
        <v>2.1579673191489363E-2</v>
      </c>
    </row>
    <row r="130" spans="7:13" x14ac:dyDescent="0.25">
      <c r="G130" t="s">
        <v>247</v>
      </c>
      <c r="H130">
        <v>7.3487183999999997E-2</v>
      </c>
      <c r="K130" t="s">
        <v>328</v>
      </c>
      <c r="L130" s="16">
        <v>44784</v>
      </c>
      <c r="M130">
        <v>7.3487183999999997E-2</v>
      </c>
    </row>
    <row r="131" spans="7:13" x14ac:dyDescent="0.25">
      <c r="G131" t="s">
        <v>180</v>
      </c>
      <c r="H131">
        <v>3.2781081600000005E-2</v>
      </c>
      <c r="K131" t="s">
        <v>328</v>
      </c>
      <c r="L131" s="16">
        <v>44797</v>
      </c>
      <c r="M131">
        <v>3.2781081600000005E-2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B05A-6AC8-40A2-8A6D-B5CEDC654444}">
  <sheetPr codeName="Sheet8"/>
  <dimension ref="A1:AG33"/>
  <sheetViews>
    <sheetView workbookViewId="0">
      <selection activeCell="F16" sqref="F16"/>
    </sheetView>
  </sheetViews>
  <sheetFormatPr defaultRowHeight="15" x14ac:dyDescent="0.25"/>
  <cols>
    <col min="3" max="3" width="15.42578125" bestFit="1" customWidth="1"/>
    <col min="4" max="4" width="11.42578125" bestFit="1" customWidth="1"/>
    <col min="20" max="20" width="15.42578125" bestFit="1" customWidth="1"/>
    <col min="21" max="21" width="11.42578125" bestFit="1" customWidth="1"/>
  </cols>
  <sheetData>
    <row r="1" spans="1:31" x14ac:dyDescent="0.25">
      <c r="A1">
        <v>885</v>
      </c>
      <c r="R1">
        <v>885</v>
      </c>
    </row>
    <row r="2" spans="1:31" x14ac:dyDescent="0.25">
      <c r="A2" t="s">
        <v>84</v>
      </c>
      <c r="C2" t="s">
        <v>138</v>
      </c>
      <c r="D2" t="s">
        <v>137</v>
      </c>
      <c r="R2" t="s">
        <v>84</v>
      </c>
      <c r="T2" t="s">
        <v>138</v>
      </c>
      <c r="U2" t="s">
        <v>275</v>
      </c>
    </row>
    <row r="3" spans="1:31" x14ac:dyDescent="0.25">
      <c r="A3" s="1" t="s">
        <v>72</v>
      </c>
      <c r="B3">
        <v>0</v>
      </c>
      <c r="C3">
        <v>0</v>
      </c>
      <c r="D3">
        <v>0.10199999999999999</v>
      </c>
      <c r="E3">
        <v>9.7000000000000003E-2</v>
      </c>
      <c r="F3">
        <v>9.1999999999999998E-2</v>
      </c>
      <c r="G3">
        <v>9.7000000000000003E-2</v>
      </c>
      <c r="R3" s="1" t="s">
        <v>72</v>
      </c>
      <c r="S3">
        <v>0</v>
      </c>
      <c r="T3">
        <v>0</v>
      </c>
    </row>
    <row r="4" spans="1:31" x14ac:dyDescent="0.25">
      <c r="A4" s="1" t="s">
        <v>73</v>
      </c>
      <c r="B4">
        <v>2.5000000000000001E-2</v>
      </c>
      <c r="C4">
        <v>3.3999999999999998E-3</v>
      </c>
      <c r="D4">
        <v>0.14299999999999999</v>
      </c>
      <c r="E4">
        <v>0.14000000000000001</v>
      </c>
      <c r="F4">
        <v>0.14399999999999999</v>
      </c>
      <c r="G4">
        <v>0.14000000000000001</v>
      </c>
      <c r="R4" s="1" t="s">
        <v>73</v>
      </c>
      <c r="S4">
        <v>2.5000000000000001E-2</v>
      </c>
      <c r="T4">
        <v>3.3999999999999998E-3</v>
      </c>
    </row>
    <row r="5" spans="1:31" x14ac:dyDescent="0.25">
      <c r="A5" s="1" t="s">
        <v>74</v>
      </c>
      <c r="B5">
        <v>0.05</v>
      </c>
      <c r="C5">
        <v>6.7999999999999996E-3</v>
      </c>
      <c r="D5">
        <v>0.192</v>
      </c>
      <c r="E5">
        <v>0.18</v>
      </c>
      <c r="F5">
        <v>0.191</v>
      </c>
      <c r="G5">
        <v>0.19</v>
      </c>
      <c r="R5" s="1" t="s">
        <v>74</v>
      </c>
      <c r="S5">
        <v>0.05</v>
      </c>
      <c r="T5">
        <v>6.7999999999999996E-3</v>
      </c>
    </row>
    <row r="6" spans="1:31" x14ac:dyDescent="0.25">
      <c r="A6" s="1" t="s">
        <v>75</v>
      </c>
      <c r="B6">
        <v>0.1</v>
      </c>
      <c r="C6">
        <v>1.3599999999999999E-2</v>
      </c>
      <c r="D6">
        <v>0.28399999999999997</v>
      </c>
      <c r="E6">
        <v>0.27700000000000002</v>
      </c>
      <c r="F6">
        <v>0.28100000000000003</v>
      </c>
      <c r="G6">
        <v>0.27700000000000002</v>
      </c>
      <c r="R6" s="1" t="s">
        <v>75</v>
      </c>
      <c r="S6">
        <v>0.1</v>
      </c>
      <c r="T6">
        <v>1.3599999999999999E-2</v>
      </c>
      <c r="AE6" t="s">
        <v>278</v>
      </c>
    </row>
    <row r="7" spans="1:31" x14ac:dyDescent="0.25">
      <c r="A7" s="1" t="s">
        <v>76</v>
      </c>
      <c r="B7">
        <v>0.15</v>
      </c>
      <c r="C7">
        <v>2.0400000000000001E-2</v>
      </c>
      <c r="D7">
        <v>0.39300000000000002</v>
      </c>
      <c r="E7">
        <v>0.371</v>
      </c>
      <c r="F7">
        <v>0.378</v>
      </c>
      <c r="G7">
        <v>0.373</v>
      </c>
      <c r="R7" s="1" t="s">
        <v>76</v>
      </c>
      <c r="S7">
        <v>0.15</v>
      </c>
      <c r="T7">
        <v>2.0400000000000001E-2</v>
      </c>
    </row>
    <row r="8" spans="1:31" x14ac:dyDescent="0.25">
      <c r="A8" s="1" t="s">
        <v>77</v>
      </c>
      <c r="B8">
        <v>0.2</v>
      </c>
      <c r="C8">
        <v>2.7199999999999998E-2</v>
      </c>
      <c r="D8">
        <v>0.51</v>
      </c>
      <c r="E8">
        <v>0.46600000000000003</v>
      </c>
      <c r="F8">
        <v>0.495</v>
      </c>
      <c r="G8">
        <v>0.48299999999999998</v>
      </c>
      <c r="R8" s="1" t="s">
        <v>77</v>
      </c>
      <c r="S8">
        <v>0.2</v>
      </c>
      <c r="T8">
        <v>2.7199999999999998E-2</v>
      </c>
    </row>
    <row r="9" spans="1:31" x14ac:dyDescent="0.25">
      <c r="A9" s="1" t="s">
        <v>133</v>
      </c>
      <c r="B9">
        <v>0.35</v>
      </c>
      <c r="C9">
        <f>(B9*C8)/B8</f>
        <v>4.759999999999999E-2</v>
      </c>
      <c r="E9">
        <v>0.92400000000000004</v>
      </c>
      <c r="G9">
        <v>0.91100000000000003</v>
      </c>
      <c r="R9" s="1" t="s">
        <v>133</v>
      </c>
      <c r="S9">
        <v>0.35</v>
      </c>
      <c r="T9">
        <f>(S9*T8)/S8</f>
        <v>4.759999999999999E-2</v>
      </c>
    </row>
    <row r="10" spans="1:31" x14ac:dyDescent="0.25">
      <c r="A10" s="1" t="s">
        <v>134</v>
      </c>
      <c r="B10">
        <v>0.5</v>
      </c>
      <c r="C10">
        <v>6.8000000000000005E-2</v>
      </c>
      <c r="D10">
        <v>0.96299999999999997</v>
      </c>
      <c r="F10">
        <v>0.83799999999999997</v>
      </c>
      <c r="G10">
        <v>0.97499999999999998</v>
      </c>
      <c r="R10" s="1" t="s">
        <v>134</v>
      </c>
      <c r="S10">
        <v>0.5</v>
      </c>
      <c r="T10">
        <v>6.8000000000000005E-2</v>
      </c>
      <c r="U10">
        <v>0.80900000000000005</v>
      </c>
    </row>
    <row r="11" spans="1:31" x14ac:dyDescent="0.25">
      <c r="A11" s="1" t="s">
        <v>135</v>
      </c>
      <c r="B11">
        <v>0.75</v>
      </c>
      <c r="C11">
        <v>0.10199999999999999</v>
      </c>
      <c r="D11">
        <v>1.117</v>
      </c>
      <c r="E11">
        <v>1.1180000000000001</v>
      </c>
      <c r="F11">
        <v>1.1299999999999999</v>
      </c>
      <c r="G11">
        <v>1.1200000000000001</v>
      </c>
      <c r="R11" s="1" t="s">
        <v>135</v>
      </c>
      <c r="S11">
        <v>0.75</v>
      </c>
      <c r="T11">
        <v>0.10199999999999999</v>
      </c>
      <c r="U11">
        <v>1.091</v>
      </c>
    </row>
    <row r="12" spans="1:31" x14ac:dyDescent="0.25">
      <c r="A12" s="1" t="s">
        <v>136</v>
      </c>
      <c r="B12">
        <v>1</v>
      </c>
      <c r="C12">
        <v>0.13600000000000001</v>
      </c>
      <c r="D12">
        <v>1.1499999999999999</v>
      </c>
      <c r="E12">
        <v>1.073</v>
      </c>
      <c r="F12">
        <v>1.1879999999999999</v>
      </c>
      <c r="G12">
        <v>1.1399999999999999</v>
      </c>
      <c r="R12" s="1" t="s">
        <v>136</v>
      </c>
      <c r="S12">
        <v>1</v>
      </c>
      <c r="T12">
        <v>0.13600000000000001</v>
      </c>
      <c r="U12">
        <v>1.218</v>
      </c>
    </row>
    <row r="13" spans="1:31" x14ac:dyDescent="0.25">
      <c r="A13" s="1" t="s">
        <v>264</v>
      </c>
      <c r="B13">
        <v>2</v>
      </c>
      <c r="C13">
        <v>0.27200000000000002</v>
      </c>
      <c r="D13">
        <v>1.6559999999999999</v>
      </c>
      <c r="E13">
        <v>1.5660000000000001</v>
      </c>
      <c r="F13">
        <v>2.0880000000000001</v>
      </c>
      <c r="G13">
        <v>1.4570000000000001</v>
      </c>
      <c r="R13" s="1" t="s">
        <v>264</v>
      </c>
      <c r="S13">
        <v>2</v>
      </c>
      <c r="T13">
        <v>0.27200000000000002</v>
      </c>
      <c r="U13">
        <v>2.02</v>
      </c>
    </row>
    <row r="14" spans="1:31" x14ac:dyDescent="0.25">
      <c r="A14" s="1" t="s">
        <v>265</v>
      </c>
      <c r="B14">
        <v>3</v>
      </c>
      <c r="C14">
        <v>0.40799999999999997</v>
      </c>
      <c r="D14">
        <v>1.8939999999999999</v>
      </c>
      <c r="E14">
        <v>1.7669999999999999</v>
      </c>
      <c r="F14">
        <v>2.258</v>
      </c>
      <c r="G14">
        <v>1.4410000000000001</v>
      </c>
      <c r="R14" s="1" t="s">
        <v>265</v>
      </c>
      <c r="S14">
        <v>3</v>
      </c>
      <c r="T14">
        <v>0.40799999999999997</v>
      </c>
      <c r="U14">
        <v>2.0790000000000002</v>
      </c>
    </row>
    <row r="18" spans="1:33" x14ac:dyDescent="0.25">
      <c r="AG18" t="s">
        <v>279</v>
      </c>
    </row>
    <row r="19" spans="1:33" x14ac:dyDescent="0.25">
      <c r="A19">
        <v>885</v>
      </c>
    </row>
    <row r="20" spans="1:33" x14ac:dyDescent="0.25">
      <c r="A20" t="s">
        <v>84</v>
      </c>
      <c r="C20" t="s">
        <v>138</v>
      </c>
      <c r="D20" t="s">
        <v>137</v>
      </c>
      <c r="R20">
        <v>885</v>
      </c>
    </row>
    <row r="21" spans="1:33" x14ac:dyDescent="0.25">
      <c r="A21" t="s">
        <v>4</v>
      </c>
      <c r="B21">
        <v>0</v>
      </c>
      <c r="C21">
        <v>0</v>
      </c>
      <c r="D21">
        <v>0.16200000000000001</v>
      </c>
      <c r="E21">
        <v>9.5000000000000001E-2</v>
      </c>
      <c r="R21" t="s">
        <v>84</v>
      </c>
      <c r="T21" t="s">
        <v>138</v>
      </c>
      <c r="U21" t="s">
        <v>137</v>
      </c>
    </row>
    <row r="22" spans="1:33" x14ac:dyDescent="0.25">
      <c r="A22" t="s">
        <v>5</v>
      </c>
      <c r="B22">
        <v>2.5000000000000001E-2</v>
      </c>
      <c r="C22">
        <v>3.3999999999999998E-3</v>
      </c>
      <c r="E22">
        <v>0.26</v>
      </c>
      <c r="Q22" s="1"/>
      <c r="R22" t="s">
        <v>4</v>
      </c>
      <c r="S22">
        <v>0</v>
      </c>
      <c r="T22">
        <v>0</v>
      </c>
      <c r="U22">
        <v>9.5000000000000001E-2</v>
      </c>
      <c r="V22">
        <v>9.5000000000000001E-2</v>
      </c>
    </row>
    <row r="23" spans="1:33" x14ac:dyDescent="0.25">
      <c r="A23" t="s">
        <v>6</v>
      </c>
      <c r="B23">
        <v>0.05</v>
      </c>
      <c r="C23">
        <v>6.7999999999999996E-3</v>
      </c>
      <c r="D23">
        <v>0.21</v>
      </c>
      <c r="Q23" s="1"/>
      <c r="R23" t="s">
        <v>5</v>
      </c>
      <c r="S23">
        <v>2.5000000000000001E-2</v>
      </c>
      <c r="T23">
        <v>3.3999999999999998E-3</v>
      </c>
    </row>
    <row r="24" spans="1:33" x14ac:dyDescent="0.25">
      <c r="A24" t="s">
        <v>7</v>
      </c>
      <c r="B24">
        <v>0.1</v>
      </c>
      <c r="C24">
        <v>1.3599999999999999E-2</v>
      </c>
      <c r="Q24" s="1"/>
      <c r="R24" t="s">
        <v>6</v>
      </c>
      <c r="S24">
        <v>0.05</v>
      </c>
      <c r="T24">
        <v>6.7999999999999996E-3</v>
      </c>
      <c r="U24">
        <v>0.21299999999999999</v>
      </c>
      <c r="V24">
        <v>0.21199999999999999</v>
      </c>
    </row>
    <row r="25" spans="1:33" x14ac:dyDescent="0.25">
      <c r="A25" t="s">
        <v>266</v>
      </c>
      <c r="B25">
        <v>0.15</v>
      </c>
      <c r="C25">
        <v>2.0400000000000001E-2</v>
      </c>
      <c r="D25">
        <v>0.30199999999999999</v>
      </c>
      <c r="E25">
        <v>0.30099999999999999</v>
      </c>
      <c r="Q25" s="1"/>
      <c r="R25" t="s">
        <v>7</v>
      </c>
      <c r="S25">
        <v>0.1</v>
      </c>
      <c r="T25">
        <v>1.3599999999999999E-2</v>
      </c>
    </row>
    <row r="26" spans="1:33" x14ac:dyDescent="0.25">
      <c r="A26" t="s">
        <v>267</v>
      </c>
      <c r="B26">
        <v>0.2</v>
      </c>
      <c r="C26">
        <v>2.7199999999999998E-2</v>
      </c>
      <c r="D26">
        <v>0.374</v>
      </c>
      <c r="E26">
        <v>0.373</v>
      </c>
      <c r="Q26" s="1"/>
      <c r="R26" t="s">
        <v>266</v>
      </c>
      <c r="S26">
        <v>0.15</v>
      </c>
      <c r="T26">
        <v>2.0400000000000001E-2</v>
      </c>
      <c r="U26">
        <v>0.30099999999999999</v>
      </c>
      <c r="V26">
        <v>0.30299999999999999</v>
      </c>
    </row>
    <row r="27" spans="1:33" x14ac:dyDescent="0.25">
      <c r="A27" t="s">
        <v>268</v>
      </c>
      <c r="B27">
        <v>0.35</v>
      </c>
      <c r="C27">
        <f>(B27*C26)/B26</f>
        <v>4.759999999999999E-2</v>
      </c>
      <c r="Q27" s="1"/>
      <c r="R27" t="s">
        <v>267</v>
      </c>
      <c r="S27">
        <v>0.2</v>
      </c>
      <c r="T27">
        <v>2.7199999999999998E-2</v>
      </c>
      <c r="U27">
        <v>0.376</v>
      </c>
      <c r="V27">
        <v>0.375</v>
      </c>
    </row>
    <row r="28" spans="1:33" x14ac:dyDescent="0.25">
      <c r="A28" t="s">
        <v>269</v>
      </c>
      <c r="B28">
        <v>0.5</v>
      </c>
      <c r="C28">
        <v>6.8000000000000005E-2</v>
      </c>
      <c r="D28">
        <v>0.68200000000000005</v>
      </c>
      <c r="E28">
        <v>0.68600000000000005</v>
      </c>
      <c r="Q28" s="1"/>
      <c r="R28" t="s">
        <v>268</v>
      </c>
      <c r="S28">
        <v>0.35</v>
      </c>
      <c r="T28">
        <f>(S28*T27)/S27</f>
        <v>4.759999999999999E-2</v>
      </c>
    </row>
    <row r="29" spans="1:33" x14ac:dyDescent="0.25">
      <c r="A29" t="s">
        <v>270</v>
      </c>
      <c r="B29">
        <v>0.75</v>
      </c>
      <c r="C29">
        <v>0.10199999999999999</v>
      </c>
      <c r="D29">
        <v>0.80600000000000005</v>
      </c>
      <c r="E29">
        <v>0.80500000000000005</v>
      </c>
      <c r="Q29" s="1"/>
      <c r="R29" t="s">
        <v>269</v>
      </c>
      <c r="S29">
        <v>0.5</v>
      </c>
      <c r="T29">
        <v>6.8000000000000005E-2</v>
      </c>
      <c r="U29">
        <v>0.69799999999999995</v>
      </c>
      <c r="V29">
        <v>0.68600000000000005</v>
      </c>
    </row>
    <row r="30" spans="1:33" x14ac:dyDescent="0.25">
      <c r="A30" t="s">
        <v>271</v>
      </c>
      <c r="B30">
        <v>1</v>
      </c>
      <c r="C30">
        <v>0.13600000000000001</v>
      </c>
      <c r="D30">
        <v>0.90900000000000003</v>
      </c>
      <c r="E30">
        <v>0.89</v>
      </c>
      <c r="Q30" s="1"/>
      <c r="R30" t="s">
        <v>270</v>
      </c>
      <c r="S30">
        <v>0.75</v>
      </c>
      <c r="T30">
        <v>0.10199999999999999</v>
      </c>
      <c r="U30">
        <v>0.88500000000000001</v>
      </c>
      <c r="V30">
        <v>0.81499999999999995</v>
      </c>
    </row>
    <row r="31" spans="1:33" x14ac:dyDescent="0.25">
      <c r="A31" t="s">
        <v>272</v>
      </c>
      <c r="B31">
        <v>2</v>
      </c>
      <c r="C31">
        <v>0.27200000000000002</v>
      </c>
      <c r="D31">
        <v>1.0920000000000001</v>
      </c>
      <c r="E31">
        <v>1.173</v>
      </c>
      <c r="Q31" s="1"/>
      <c r="R31" t="s">
        <v>271</v>
      </c>
      <c r="S31">
        <v>1</v>
      </c>
      <c r="T31">
        <v>0.13600000000000001</v>
      </c>
      <c r="U31">
        <v>0.93700000000000006</v>
      </c>
      <c r="V31">
        <v>0.93700000000000006</v>
      </c>
    </row>
    <row r="32" spans="1:33" x14ac:dyDescent="0.25">
      <c r="A32" t="s">
        <v>273</v>
      </c>
      <c r="B32">
        <v>3</v>
      </c>
      <c r="C32">
        <v>0.40799999999999997</v>
      </c>
      <c r="D32">
        <v>1.3320000000000001</v>
      </c>
      <c r="E32">
        <v>1.65</v>
      </c>
      <c r="R32" t="s">
        <v>272</v>
      </c>
      <c r="S32">
        <v>2</v>
      </c>
      <c r="T32">
        <v>0.27200000000000002</v>
      </c>
    </row>
    <row r="33" spans="18:22" x14ac:dyDescent="0.25">
      <c r="R33" t="s">
        <v>273</v>
      </c>
      <c r="S33">
        <v>3</v>
      </c>
      <c r="T33">
        <v>0.40799999999999997</v>
      </c>
      <c r="U33">
        <v>1.615</v>
      </c>
      <c r="V33">
        <v>1.75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samples (wrong)</vt:lpstr>
      <vt:lpstr>standards</vt:lpstr>
      <vt:lpstr>Sheet2</vt:lpstr>
      <vt:lpstr>Samples (correct) summer 2021</vt:lpstr>
      <vt:lpstr>Graphs 2021</vt:lpstr>
      <vt:lpstr>Summer 2022</vt:lpstr>
      <vt:lpstr>PP Graphs Summer 2022</vt:lpstr>
      <vt:lpstr>std curves new attempt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Watts</dc:creator>
  <cp:lastModifiedBy>Hucke, Nicole (huck4481@vandals.uidaho.edu)</cp:lastModifiedBy>
  <dcterms:created xsi:type="dcterms:W3CDTF">2022-04-15T18:42:46Z</dcterms:created>
  <dcterms:modified xsi:type="dcterms:W3CDTF">2026-07-06T17:25:30Z</dcterms:modified>
</cp:coreProperties>
</file>