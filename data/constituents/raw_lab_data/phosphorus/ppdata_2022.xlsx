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sr\Documents\"/>
    </mc:Choice>
  </mc:AlternateContent>
  <xr:revisionPtr revIDLastSave="0" documentId="8_{DDF4CEB0-50E6-42B5-8C24-F11EE2D3BDBB}" xr6:coauthVersionLast="47" xr6:coauthVersionMax="47" xr10:uidLastSave="{00000000-0000-0000-0000-000000000000}"/>
  <bookViews>
    <workbookView xWindow="-120" yWindow="-120" windowWidth="29040" windowHeight="15840" xr2:uid="{CBEDBD6E-F4C7-4255-AFE3-946B66D5A83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4" i="1" l="1"/>
  <c r="O55" i="1"/>
  <c r="O56" i="1"/>
  <c r="O53" i="1"/>
  <c r="O31" i="1"/>
  <c r="O32" i="1"/>
  <c r="O33" i="1"/>
  <c r="O34" i="1"/>
  <c r="O35" i="1"/>
  <c r="O36" i="1"/>
  <c r="O37" i="1"/>
  <c r="O38" i="1"/>
  <c r="O39" i="1"/>
  <c r="O40" i="1"/>
  <c r="O41" i="1"/>
  <c r="O30" i="1"/>
  <c r="O6" i="1"/>
  <c r="O7" i="1"/>
  <c r="O8" i="1"/>
  <c r="O9" i="1"/>
  <c r="O2" i="1"/>
  <c r="I5" i="1"/>
  <c r="I2" i="1"/>
  <c r="K2" i="1" s="1"/>
  <c r="L13" i="1" s="1"/>
  <c r="I3" i="1"/>
  <c r="I4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L30" i="1"/>
  <c r="E10" i="1"/>
  <c r="I10" i="1"/>
  <c r="H2" i="1"/>
  <c r="J10" i="1" s="1"/>
  <c r="G2" i="1"/>
  <c r="L53" i="1"/>
  <c r="L54" i="1"/>
  <c r="L55" i="1"/>
  <c r="L56" i="1"/>
  <c r="J53" i="1"/>
  <c r="J54" i="1"/>
  <c r="J55" i="1"/>
  <c r="J56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E53" i="1"/>
  <c r="E54" i="1"/>
  <c r="E55" i="1"/>
  <c r="E56" i="1"/>
  <c r="H6" i="1"/>
  <c r="I32" i="1" s="1"/>
  <c r="K6" i="1"/>
  <c r="I31" i="1"/>
  <c r="I33" i="1"/>
  <c r="I34" i="1"/>
  <c r="I35" i="1"/>
  <c r="I37" i="1"/>
  <c r="I38" i="1"/>
  <c r="I39" i="1"/>
  <c r="I41" i="1"/>
  <c r="G3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2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E36" i="1" s="1"/>
  <c r="D37" i="1"/>
  <c r="D38" i="1"/>
  <c r="D39" i="1"/>
  <c r="D40" i="1"/>
  <c r="E40" i="1" s="1"/>
  <c r="D41" i="1"/>
  <c r="D61" i="1" s="1"/>
  <c r="D62" i="1" s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2" i="1"/>
  <c r="L27" i="1" l="1"/>
  <c r="L20" i="1"/>
  <c r="L12" i="1"/>
  <c r="L26" i="1"/>
  <c r="L18" i="1"/>
  <c r="L11" i="1"/>
  <c r="L23" i="1"/>
  <c r="L16" i="1"/>
  <c r="L28" i="1"/>
  <c r="L22" i="1"/>
  <c r="L15" i="1"/>
  <c r="L10" i="1"/>
  <c r="L24" i="1"/>
  <c r="L19" i="1"/>
  <c r="L14" i="1"/>
  <c r="L29" i="1"/>
  <c r="L25" i="1"/>
  <c r="L21" i="1"/>
  <c r="L17" i="1"/>
  <c r="I40" i="1"/>
  <c r="I36" i="1"/>
  <c r="J36" i="1" s="1"/>
  <c r="L36" i="1" s="1"/>
  <c r="J40" i="1"/>
  <c r="L40" i="1" s="1"/>
  <c r="E32" i="1"/>
  <c r="J32" i="1" s="1"/>
  <c r="L32" i="1" s="1"/>
  <c r="E30" i="1"/>
  <c r="E31" i="1"/>
  <c r="J31" i="1" s="1"/>
  <c r="L31" i="1" s="1"/>
  <c r="E38" i="1"/>
  <c r="J38" i="1" s="1"/>
  <c r="L38" i="1" s="1"/>
  <c r="E39" i="1"/>
  <c r="J39" i="1" s="1"/>
  <c r="L39" i="1" s="1"/>
  <c r="E35" i="1"/>
  <c r="J35" i="1" s="1"/>
  <c r="L35" i="1" s="1"/>
  <c r="E34" i="1"/>
  <c r="J34" i="1" s="1"/>
  <c r="L34" i="1" s="1"/>
  <c r="I30" i="1"/>
  <c r="E41" i="1"/>
  <c r="J41" i="1" s="1"/>
  <c r="L41" i="1" s="1"/>
  <c r="E37" i="1"/>
  <c r="J37" i="1" s="1"/>
  <c r="L37" i="1" s="1"/>
  <c r="E33" i="1"/>
  <c r="J33" i="1" s="1"/>
  <c r="L33" i="1" s="1"/>
  <c r="I8" i="1"/>
  <c r="I6" i="1"/>
  <c r="I9" i="1"/>
  <c r="I7" i="1"/>
  <c r="C61" i="1"/>
  <c r="J30" i="1" l="1"/>
</calcChain>
</file>

<file path=xl/sharedStrings.xml><?xml version="1.0" encoding="utf-8"?>
<sst xmlns="http://schemas.openxmlformats.org/spreadsheetml/2006/main" count="71" uniqueCount="71">
  <si>
    <t>Sample ID</t>
  </si>
  <si>
    <t>Filter+Tin (g)</t>
  </si>
  <si>
    <t>Tin (g)</t>
  </si>
  <si>
    <t>Ashed Tin+ Filter (g)</t>
  </si>
  <si>
    <t>CA 1</t>
  </si>
  <si>
    <t>CA 2</t>
  </si>
  <si>
    <t>CA 3</t>
  </si>
  <si>
    <t>CA 4</t>
  </si>
  <si>
    <t>GF 1</t>
  </si>
  <si>
    <t>GF 2</t>
  </si>
  <si>
    <t>GF 3</t>
  </si>
  <si>
    <t>GF 4</t>
  </si>
  <si>
    <t>EXP 8</t>
  </si>
  <si>
    <t>EXP 11</t>
  </si>
  <si>
    <t>EXP 15</t>
  </si>
  <si>
    <t>EXP 6</t>
  </si>
  <si>
    <t>EXP 5</t>
  </si>
  <si>
    <t>EXP 16</t>
  </si>
  <si>
    <t>EXP 14</t>
  </si>
  <si>
    <t xml:space="preserve">EXP 10 </t>
  </si>
  <si>
    <t>GWW 1</t>
  </si>
  <si>
    <t>GWW 2</t>
  </si>
  <si>
    <t>GWW 8</t>
  </si>
  <si>
    <t>GWW 9</t>
  </si>
  <si>
    <t>EXP 3</t>
  </si>
  <si>
    <t>EXP 7</t>
  </si>
  <si>
    <t>EXP 9</t>
  </si>
  <si>
    <t>EXP 12</t>
  </si>
  <si>
    <t>EXP 2</t>
  </si>
  <si>
    <t>EXP 13</t>
  </si>
  <si>
    <t>EXP 1</t>
  </si>
  <si>
    <t>EXP 4</t>
  </si>
  <si>
    <t>2-5</t>
  </si>
  <si>
    <t>2-6</t>
  </si>
  <si>
    <t>3-11</t>
  </si>
  <si>
    <t>3-1</t>
  </si>
  <si>
    <t>3-15</t>
  </si>
  <si>
    <t>2-1</t>
  </si>
  <si>
    <t>2-2</t>
  </si>
  <si>
    <t>3-8</t>
  </si>
  <si>
    <t>3-24</t>
  </si>
  <si>
    <t>2-10</t>
  </si>
  <si>
    <t>2-18</t>
  </si>
  <si>
    <t>3-3</t>
  </si>
  <si>
    <t>BS 2</t>
  </si>
  <si>
    <t>BS 3</t>
  </si>
  <si>
    <t>BS 4</t>
  </si>
  <si>
    <t>BS 5</t>
  </si>
  <si>
    <t>Gaining</t>
  </si>
  <si>
    <t>GS-5U</t>
  </si>
  <si>
    <t>GS-5L</t>
  </si>
  <si>
    <t>GS-4U</t>
  </si>
  <si>
    <t>GS-4L</t>
  </si>
  <si>
    <t>GS-3L</t>
  </si>
  <si>
    <t>GS-3U</t>
  </si>
  <si>
    <t>GS-2L</t>
  </si>
  <si>
    <t>GS-2U</t>
  </si>
  <si>
    <t>GS-1U</t>
  </si>
  <si>
    <t>GS-1L</t>
  </si>
  <si>
    <t>No post-ash msmt for 3-3 so I took the avg of 3-1 and 3-8, took the diff bw that and the pre-ash filter weight, and then added that to the tin weight</t>
  </si>
  <si>
    <t>Filter Pre-ashed w/ sample (g)</t>
  </si>
  <si>
    <t>Total ashed OM (g)</t>
  </si>
  <si>
    <t>Debris OM (g)</t>
  </si>
  <si>
    <t>Post filter ash, pre-sample ash (g)</t>
  </si>
  <si>
    <t>Mean Ashed filter OM (g)</t>
  </si>
  <si>
    <t>Ashed Filter+Sample (g)</t>
  </si>
  <si>
    <t>Mean Ashed filter (g)</t>
  </si>
  <si>
    <t>Ashed sample weight (g)</t>
  </si>
  <si>
    <t>Tube (g)</t>
  </si>
  <si>
    <t>Tube + Sample (g)</t>
  </si>
  <si>
    <t>Final Sample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</si>
</sst>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49" fontId="0" fillId="3" borderId="1" xfId="0" applyNumberFormat="1" applyFill="1" applyBorder="1"/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58A1-C968-4BC1-BF9C-2E381D233E92}">
  <dimension ref="A1:O62"/>
  <sheetViews>
    <sheetView tabSelected="1" workbookViewId="0">
      <pane xSplit="1" topLeftCell="B1" activePane="topRight" state="frozen"/>
      <selection pane="topRight" activeCell="K6" sqref="K6"/>
    </sheetView>
  </sheetViews>
  <sheetFormatPr defaultRowHeight="15" x14ac:dyDescent="0.25"/>
  <cols>
    <col min="1" max="1" width="9.85546875" bestFit="1" customWidth="1"/>
    <col min="2" max="2" width="9.28515625" bestFit="1" customWidth="1"/>
    <col min="3" max="3" width="12.28515625" bestFit="1" customWidth="1"/>
    <col min="4" max="4" width="28.28515625" bestFit="1" customWidth="1"/>
    <col min="5" max="5" width="31.28515625" bestFit="1" customWidth="1"/>
    <col min="6" max="6" width="19" bestFit="1" customWidth="1"/>
    <col min="7" max="7" width="17.85546875" bestFit="1" customWidth="1"/>
    <col min="8" max="8" width="24.140625" customWidth="1"/>
    <col min="9" max="9" width="14.7109375" customWidth="1"/>
    <col min="10" max="10" width="22.5703125" bestFit="1" customWidth="1"/>
    <col min="11" max="11" width="22.5703125" customWidth="1"/>
    <col min="12" max="12" width="27" bestFit="1" customWidth="1"/>
    <col min="13" max="13" width="14" bestFit="1" customWidth="1"/>
    <col min="14" max="14" width="16.85546875" bestFit="1" customWidth="1"/>
    <col min="15" max="15" width="15.28515625" bestFit="1" customWidth="1"/>
  </cols>
  <sheetData>
    <row r="1" spans="1:15" s="4" customFormat="1" x14ac:dyDescent="0.25">
      <c r="A1" s="5" t="s">
        <v>0</v>
      </c>
      <c r="B1" s="5" t="s">
        <v>2</v>
      </c>
      <c r="C1" s="5" t="s">
        <v>1</v>
      </c>
      <c r="D1" s="5" t="s">
        <v>60</v>
      </c>
      <c r="E1" s="5" t="s">
        <v>63</v>
      </c>
      <c r="F1" s="5" t="s">
        <v>3</v>
      </c>
      <c r="G1" s="5" t="s">
        <v>61</v>
      </c>
      <c r="H1" s="5" t="s">
        <v>64</v>
      </c>
      <c r="I1" s="5" t="s">
        <v>62</v>
      </c>
      <c r="J1" s="5" t="s">
        <v>65</v>
      </c>
      <c r="K1" s="5" t="s">
        <v>66</v>
      </c>
      <c r="L1" s="5" t="s">
        <v>67</v>
      </c>
      <c r="M1" s="5" t="s">
        <v>68</v>
      </c>
      <c r="N1" s="5" t="s">
        <v>69</v>
      </c>
      <c r="O1" s="5" t="s">
        <v>70</v>
      </c>
    </row>
    <row r="2" spans="1:15" s="2" customFormat="1" x14ac:dyDescent="0.25">
      <c r="A2" s="6" t="s">
        <v>4</v>
      </c>
      <c r="B2" s="6">
        <v>0.71372000000000002</v>
      </c>
      <c r="C2" s="6">
        <v>0.77702000000000004</v>
      </c>
      <c r="D2" s="6">
        <f>C2-B2</f>
        <v>6.3300000000000023E-2</v>
      </c>
      <c r="E2" s="6"/>
      <c r="F2" s="6">
        <v>0.71328000000000003</v>
      </c>
      <c r="G2" s="6">
        <f>C2-F2</f>
        <v>6.3740000000000019E-2</v>
      </c>
      <c r="H2" s="6">
        <f>AVERAGE(G2:G5)</f>
        <v>6.0067499999999996E-2</v>
      </c>
      <c r="I2" s="6">
        <f>D2-G2</f>
        <v>-4.3999999999999595E-4</v>
      </c>
      <c r="J2" s="6"/>
      <c r="K2" s="6">
        <f>AVERAGE(I2:I4)</f>
        <v>-2.9000000000001247E-4</v>
      </c>
      <c r="L2" s="6"/>
      <c r="M2" s="6">
        <v>5.5004799999999996</v>
      </c>
      <c r="N2" s="6">
        <v>5.4392500000000004</v>
      </c>
      <c r="O2" s="6">
        <f>N2-M2</f>
        <v>-6.1229999999999229E-2</v>
      </c>
    </row>
    <row r="3" spans="1:15" s="2" customFormat="1" x14ac:dyDescent="0.25">
      <c r="A3" s="6" t="s">
        <v>5</v>
      </c>
      <c r="B3" s="6">
        <v>0.72397</v>
      </c>
      <c r="C3" s="6">
        <v>0.77785000000000004</v>
      </c>
      <c r="D3" s="6">
        <f t="shared" ref="D3:D56" si="0">C3-B3</f>
        <v>5.3880000000000039E-2</v>
      </c>
      <c r="E3" s="6"/>
      <c r="F3" s="6">
        <v>0.72367999999999999</v>
      </c>
      <c r="G3" s="6">
        <f t="shared" ref="G3:G40" si="1">C3-F3</f>
        <v>5.4170000000000051E-2</v>
      </c>
      <c r="H3" s="6"/>
      <c r="I3" s="6">
        <f t="shared" ref="I3:I9" si="2">D3-G3</f>
        <v>-2.9000000000001247E-4</v>
      </c>
      <c r="J3" s="6"/>
      <c r="K3" s="6"/>
      <c r="L3" s="6"/>
      <c r="M3" s="6">
        <v>5.5708900000000003</v>
      </c>
      <c r="N3" s="6">
        <v>5.4642900000000001</v>
      </c>
      <c r="O3" s="6"/>
    </row>
    <row r="4" spans="1:15" s="2" customFormat="1" x14ac:dyDescent="0.25">
      <c r="A4" s="6" t="s">
        <v>6</v>
      </c>
      <c r="B4" s="6">
        <v>0.69796000000000002</v>
      </c>
      <c r="C4" s="6">
        <v>0.75749999999999995</v>
      </c>
      <c r="D4" s="6">
        <f t="shared" si="0"/>
        <v>5.9539999999999926E-2</v>
      </c>
      <c r="E4" s="6"/>
      <c r="F4" s="6">
        <v>0.69782</v>
      </c>
      <c r="G4" s="6">
        <f t="shared" si="1"/>
        <v>5.9679999999999955E-2</v>
      </c>
      <c r="H4" s="6"/>
      <c r="I4" s="6">
        <f t="shared" si="2"/>
        <v>-1.4000000000002899E-4</v>
      </c>
      <c r="J4" s="6"/>
      <c r="K4" s="6"/>
      <c r="L4" s="6"/>
      <c r="M4" s="6">
        <v>5.52203</v>
      </c>
      <c r="N4" s="6"/>
      <c r="O4" s="6"/>
    </row>
    <row r="5" spans="1:15" s="2" customFormat="1" x14ac:dyDescent="0.25">
      <c r="A5" s="6" t="s">
        <v>7</v>
      </c>
      <c r="B5" s="6">
        <v>0.72021000000000002</v>
      </c>
      <c r="C5" s="6">
        <v>0.78508</v>
      </c>
      <c r="D5" s="6">
        <f t="shared" si="0"/>
        <v>6.4869999999999983E-2</v>
      </c>
      <c r="E5" s="6"/>
      <c r="F5" s="6">
        <v>0.72240000000000004</v>
      </c>
      <c r="G5" s="6">
        <f t="shared" si="1"/>
        <v>6.2679999999999958E-2</v>
      </c>
      <c r="H5" s="6"/>
      <c r="I5" s="6">
        <f t="shared" si="2"/>
        <v>2.1900000000000253E-3</v>
      </c>
      <c r="J5" s="6"/>
      <c r="K5" s="6"/>
      <c r="L5" s="6"/>
      <c r="M5" s="6">
        <v>5.4963800000000003</v>
      </c>
      <c r="N5" s="6"/>
      <c r="O5" s="6"/>
    </row>
    <row r="6" spans="1:15" s="3" customFormat="1" x14ac:dyDescent="0.25">
      <c r="A6" s="7" t="s">
        <v>8</v>
      </c>
      <c r="B6" s="7">
        <v>0.70913000000000004</v>
      </c>
      <c r="C6" s="7">
        <v>0.84338999999999997</v>
      </c>
      <c r="D6" s="7">
        <f t="shared" si="0"/>
        <v>0.13425999999999993</v>
      </c>
      <c r="E6" s="7"/>
      <c r="F6" s="7">
        <v>0.84075999999999995</v>
      </c>
      <c r="G6" s="7">
        <f t="shared" si="1"/>
        <v>2.6300000000000212E-3</v>
      </c>
      <c r="H6" s="7">
        <f>AVERAGE(G6:G8)</f>
        <v>2.3466666666666822E-3</v>
      </c>
      <c r="I6" s="7">
        <f>D6-G6</f>
        <v>0.13162999999999991</v>
      </c>
      <c r="J6" s="7"/>
      <c r="K6" s="7">
        <f>AVERAGE(I6:I9)</f>
        <v>0.12664249999999999</v>
      </c>
      <c r="L6" s="7"/>
      <c r="M6" s="7">
        <v>5.6501099999999997</v>
      </c>
      <c r="N6" s="7">
        <v>5.6664599999999998</v>
      </c>
      <c r="O6" s="7">
        <f>N6-K$6-M6</f>
        <v>-0.1102924999999999</v>
      </c>
    </row>
    <row r="7" spans="1:15" s="3" customFormat="1" x14ac:dyDescent="0.25">
      <c r="A7" s="7" t="s">
        <v>9</v>
      </c>
      <c r="B7" s="7">
        <v>0.70272999999999997</v>
      </c>
      <c r="C7" s="7">
        <v>0.83438999999999997</v>
      </c>
      <c r="D7" s="7">
        <f t="shared" si="0"/>
        <v>0.13166</v>
      </c>
      <c r="E7" s="7"/>
      <c r="F7" s="7">
        <v>0.83177999999999996</v>
      </c>
      <c r="G7" s="7">
        <f t="shared" si="1"/>
        <v>2.6100000000000012E-3</v>
      </c>
      <c r="H7" s="7"/>
      <c r="I7" s="7">
        <f>D7-G7</f>
        <v>0.12905</v>
      </c>
      <c r="J7" s="7"/>
      <c r="K7" s="7"/>
      <c r="L7" s="7"/>
      <c r="M7" s="7">
        <v>5.5370200000000001</v>
      </c>
      <c r="N7" s="7">
        <v>5.60154</v>
      </c>
      <c r="O7" s="7">
        <f>N7-K$6-M7</f>
        <v>-6.212250000000008E-2</v>
      </c>
    </row>
    <row r="8" spans="1:15" s="3" customFormat="1" x14ac:dyDescent="0.25">
      <c r="A8" s="7" t="s">
        <v>10</v>
      </c>
      <c r="B8" s="7">
        <v>0.70531999999999995</v>
      </c>
      <c r="C8" s="7">
        <v>0.83381000000000005</v>
      </c>
      <c r="D8" s="7">
        <f t="shared" si="0"/>
        <v>0.1284900000000001</v>
      </c>
      <c r="E8" s="7"/>
      <c r="F8" s="7">
        <v>0.83201000000000003</v>
      </c>
      <c r="G8" s="7">
        <f t="shared" si="1"/>
        <v>1.8000000000000238E-3</v>
      </c>
      <c r="H8" s="7"/>
      <c r="I8" s="7">
        <f t="shared" si="2"/>
        <v>0.12669000000000008</v>
      </c>
      <c r="J8" s="7"/>
      <c r="K8" s="7"/>
      <c r="L8" s="7"/>
      <c r="M8" s="7">
        <v>5.5441700000000003</v>
      </c>
      <c r="N8" s="7">
        <v>5.5804400000000003</v>
      </c>
      <c r="O8" s="7">
        <f>N8-K$6-M8</f>
        <v>-9.0372499999999967E-2</v>
      </c>
    </row>
    <row r="9" spans="1:15" s="3" customFormat="1" x14ac:dyDescent="0.25">
      <c r="A9" s="7" t="s">
        <v>11</v>
      </c>
      <c r="B9" s="7">
        <v>0.70852000000000004</v>
      </c>
      <c r="C9" s="7">
        <v>0.83969000000000005</v>
      </c>
      <c r="D9" s="7">
        <f t="shared" si="0"/>
        <v>0.13117000000000001</v>
      </c>
      <c r="E9" s="7"/>
      <c r="F9" s="7">
        <v>0.82772000000000001</v>
      </c>
      <c r="G9" s="7">
        <f t="shared" si="1"/>
        <v>1.1970000000000036E-2</v>
      </c>
      <c r="H9" s="7"/>
      <c r="I9" s="7">
        <f t="shared" si="2"/>
        <v>0.11919999999999997</v>
      </c>
      <c r="J9" s="7"/>
      <c r="K9" s="7"/>
      <c r="L9" s="7"/>
      <c r="M9" s="7">
        <v>5.6436700000000002</v>
      </c>
      <c r="N9" s="7">
        <v>5.6008300000000002</v>
      </c>
      <c r="O9" s="7">
        <f>N9-K$6-M9</f>
        <v>-0.16948249999999998</v>
      </c>
    </row>
    <row r="10" spans="1:15" s="2" customFormat="1" x14ac:dyDescent="0.25">
      <c r="A10" s="6" t="s">
        <v>12</v>
      </c>
      <c r="B10" s="6">
        <v>0.70426</v>
      </c>
      <c r="C10" s="6">
        <v>0.77914000000000005</v>
      </c>
      <c r="D10" s="6">
        <f t="shared" si="0"/>
        <v>7.4880000000000058E-2</v>
      </c>
      <c r="E10" s="6">
        <f>D10-H$2</f>
        <v>1.4812500000000062E-2</v>
      </c>
      <c r="F10" s="6">
        <v>0.70555000000000001</v>
      </c>
      <c r="G10" s="6">
        <f t="shared" si="1"/>
        <v>7.3590000000000044E-2</v>
      </c>
      <c r="H10" s="6"/>
      <c r="I10" s="6">
        <f>G10-H$2</f>
        <v>1.3522500000000048E-2</v>
      </c>
      <c r="J10" s="6">
        <f>E10-I10</f>
        <v>1.2900000000000134E-3</v>
      </c>
      <c r="K10" s="6"/>
      <c r="L10" s="6">
        <f>J10-K$2</f>
        <v>1.5800000000000258E-3</v>
      </c>
      <c r="M10" s="6">
        <v>5.4614000000000003</v>
      </c>
      <c r="N10" s="6"/>
      <c r="O10" s="6"/>
    </row>
    <row r="11" spans="1:15" s="2" customFormat="1" x14ac:dyDescent="0.25">
      <c r="A11" s="6" t="s">
        <v>13</v>
      </c>
      <c r="B11" s="6">
        <v>0.69008999999999998</v>
      </c>
      <c r="C11" s="6">
        <v>0.75199000000000005</v>
      </c>
      <c r="D11" s="6">
        <f t="shared" si="0"/>
        <v>6.1900000000000066E-2</v>
      </c>
      <c r="E11" s="6">
        <f t="shared" ref="E11:E29" si="3">D11-H$2</f>
        <v>1.8325000000000702E-3</v>
      </c>
      <c r="F11" s="6">
        <v>0.68972999999999995</v>
      </c>
      <c r="G11" s="6">
        <f t="shared" si="1"/>
        <v>6.2260000000000093E-2</v>
      </c>
      <c r="H11" s="6"/>
      <c r="I11" s="6">
        <f t="shared" ref="I11:I29" si="4">G11-H$2</f>
        <v>2.1925000000000971E-3</v>
      </c>
      <c r="J11" s="6">
        <f>E11-I11</f>
        <v>-3.6000000000002697E-4</v>
      </c>
      <c r="K11" s="6"/>
      <c r="L11" s="6">
        <f t="shared" ref="L11:L29" si="5">J11-K$2</f>
        <v>-7.0000000000014495E-5</v>
      </c>
      <c r="M11" s="6">
        <v>5.5041599999999997</v>
      </c>
      <c r="N11" s="6"/>
      <c r="O11" s="6"/>
    </row>
    <row r="12" spans="1:15" s="2" customFormat="1" x14ac:dyDescent="0.25">
      <c r="A12" s="6" t="s">
        <v>14</v>
      </c>
      <c r="B12" s="6">
        <v>0.70857000000000003</v>
      </c>
      <c r="C12" s="6">
        <v>0.78686</v>
      </c>
      <c r="D12" s="6">
        <f t="shared" si="0"/>
        <v>7.8289999999999971E-2</v>
      </c>
      <c r="E12" s="6">
        <f t="shared" si="3"/>
        <v>1.8222499999999975E-2</v>
      </c>
      <c r="F12" s="6">
        <v>0.70984999999999998</v>
      </c>
      <c r="G12" s="6">
        <f t="shared" si="1"/>
        <v>7.7010000000000023E-2</v>
      </c>
      <c r="H12" s="6"/>
      <c r="I12" s="6">
        <f t="shared" si="4"/>
        <v>1.6942500000000027E-2</v>
      </c>
      <c r="J12" s="6">
        <f t="shared" ref="J12:J29" si="6">E12-I12</f>
        <v>1.2799999999999478E-3</v>
      </c>
      <c r="K12" s="6"/>
      <c r="L12" s="6">
        <f t="shared" si="5"/>
        <v>1.5699999999999603E-3</v>
      </c>
      <c r="M12" s="6">
        <v>5.5314300000000003</v>
      </c>
      <c r="N12" s="6"/>
      <c r="O12" s="6"/>
    </row>
    <row r="13" spans="1:15" s="2" customFormat="1" x14ac:dyDescent="0.25">
      <c r="A13" s="6" t="s">
        <v>15</v>
      </c>
      <c r="B13" s="6">
        <v>0.69596000000000002</v>
      </c>
      <c r="C13" s="6">
        <v>0.77188000000000001</v>
      </c>
      <c r="D13" s="6">
        <f t="shared" si="0"/>
        <v>7.5919999999999987E-2</v>
      </c>
      <c r="E13" s="6">
        <f t="shared" si="3"/>
        <v>1.5852499999999992E-2</v>
      </c>
      <c r="F13" s="6">
        <v>0.70052999999999999</v>
      </c>
      <c r="G13" s="6">
        <f t="shared" si="1"/>
        <v>7.1350000000000025E-2</v>
      </c>
      <c r="H13" s="6"/>
      <c r="I13" s="6">
        <f t="shared" si="4"/>
        <v>1.1282500000000029E-2</v>
      </c>
      <c r="J13" s="6">
        <f t="shared" si="6"/>
        <v>4.569999999999963E-3</v>
      </c>
      <c r="K13" s="6"/>
      <c r="L13" s="6">
        <f t="shared" si="5"/>
        <v>4.8599999999999755E-3</v>
      </c>
      <c r="M13" s="6">
        <v>5.4722900000000001</v>
      </c>
      <c r="N13" s="6"/>
      <c r="O13" s="6"/>
    </row>
    <row r="14" spans="1:15" s="2" customFormat="1" x14ac:dyDescent="0.25">
      <c r="A14" s="6" t="s">
        <v>16</v>
      </c>
      <c r="B14" s="6">
        <v>0.69145000000000001</v>
      </c>
      <c r="C14" s="6">
        <v>0.78317000000000003</v>
      </c>
      <c r="D14" s="6">
        <f t="shared" si="0"/>
        <v>9.1720000000000024E-2</v>
      </c>
      <c r="E14" s="6">
        <f t="shared" si="3"/>
        <v>3.1652500000000028E-2</v>
      </c>
      <c r="F14" s="6">
        <v>0.69403999999999999</v>
      </c>
      <c r="G14" s="6">
        <f t="shared" si="1"/>
        <v>8.9130000000000043E-2</v>
      </c>
      <c r="H14" s="6"/>
      <c r="I14" s="6">
        <f t="shared" si="4"/>
        <v>2.9062500000000047E-2</v>
      </c>
      <c r="J14" s="6">
        <f t="shared" si="6"/>
        <v>2.5899999999999812E-3</v>
      </c>
      <c r="K14" s="6"/>
      <c r="L14" s="6">
        <f t="shared" si="5"/>
        <v>2.8799999999999937E-3</v>
      </c>
      <c r="M14" s="6">
        <v>5.5808799999999996</v>
      </c>
      <c r="N14" s="6"/>
      <c r="O14" s="6"/>
    </row>
    <row r="15" spans="1:15" s="2" customFormat="1" x14ac:dyDescent="0.25">
      <c r="A15" s="6" t="s">
        <v>17</v>
      </c>
      <c r="B15" s="6">
        <v>0.70518999999999998</v>
      </c>
      <c r="C15" s="6">
        <v>0.76787000000000005</v>
      </c>
      <c r="D15" s="6">
        <f t="shared" si="0"/>
        <v>6.2680000000000069E-2</v>
      </c>
      <c r="E15" s="6">
        <f t="shared" si="3"/>
        <v>2.6125000000000731E-3</v>
      </c>
      <c r="F15" s="6">
        <v>0.70508000000000004</v>
      </c>
      <c r="G15" s="6">
        <f t="shared" si="1"/>
        <v>6.2790000000000012E-2</v>
      </c>
      <c r="H15" s="6"/>
      <c r="I15" s="6">
        <f t="shared" si="4"/>
        <v>2.7225000000000166E-3</v>
      </c>
      <c r="J15" s="6">
        <f t="shared" si="6"/>
        <v>-1.0999999999994348E-4</v>
      </c>
      <c r="K15" s="6"/>
      <c r="L15" s="6">
        <f t="shared" si="5"/>
        <v>1.8000000000006899E-4</v>
      </c>
      <c r="M15" s="6">
        <v>5.5342399999999996</v>
      </c>
      <c r="N15" s="6"/>
      <c r="O15" s="6"/>
    </row>
    <row r="16" spans="1:15" s="2" customFormat="1" x14ac:dyDescent="0.25">
      <c r="A16" s="6" t="s">
        <v>18</v>
      </c>
      <c r="B16" s="6">
        <v>0.70060999999999996</v>
      </c>
      <c r="C16" s="6">
        <v>0.76356000000000002</v>
      </c>
      <c r="D16" s="6">
        <f t="shared" si="0"/>
        <v>6.2950000000000061E-2</v>
      </c>
      <c r="E16" s="6">
        <f t="shared" si="3"/>
        <v>2.8825000000000656E-3</v>
      </c>
      <c r="F16" s="6">
        <v>0.70015000000000005</v>
      </c>
      <c r="G16" s="6">
        <f t="shared" si="1"/>
        <v>6.3409999999999966E-2</v>
      </c>
      <c r="H16" s="6"/>
      <c r="I16" s="6">
        <f t="shared" si="4"/>
        <v>3.3424999999999705E-3</v>
      </c>
      <c r="J16" s="6">
        <f t="shared" si="6"/>
        <v>-4.5999999999990493E-4</v>
      </c>
      <c r="K16" s="6"/>
      <c r="L16" s="6">
        <f t="shared" si="5"/>
        <v>-1.6999999999989246E-4</v>
      </c>
      <c r="M16" s="6">
        <v>5.4873799999999999</v>
      </c>
      <c r="N16" s="6"/>
      <c r="O16" s="6"/>
    </row>
    <row r="17" spans="1:15" s="2" customFormat="1" x14ac:dyDescent="0.25">
      <c r="A17" s="6" t="s">
        <v>19</v>
      </c>
      <c r="B17" s="6">
        <v>0.70326999999999995</v>
      </c>
      <c r="C17" s="6">
        <v>0.77983999999999998</v>
      </c>
      <c r="D17" s="6">
        <f t="shared" si="0"/>
        <v>7.6570000000000027E-2</v>
      </c>
      <c r="E17" s="6">
        <f t="shared" si="3"/>
        <v>1.6502500000000031E-2</v>
      </c>
      <c r="F17" s="6">
        <v>0.70374000000000003</v>
      </c>
      <c r="G17" s="6">
        <f t="shared" si="1"/>
        <v>7.6099999999999945E-2</v>
      </c>
      <c r="H17" s="6"/>
      <c r="I17" s="6">
        <f t="shared" si="4"/>
        <v>1.603249999999995E-2</v>
      </c>
      <c r="J17" s="6">
        <f t="shared" si="6"/>
        <v>4.7000000000008146E-4</v>
      </c>
      <c r="K17" s="6"/>
      <c r="L17" s="6">
        <f t="shared" si="5"/>
        <v>7.6000000000009393E-4</v>
      </c>
      <c r="M17" s="6">
        <v>5.5968099999999996</v>
      </c>
      <c r="N17" s="6"/>
      <c r="O17" s="6"/>
    </row>
    <row r="18" spans="1:15" s="2" customFormat="1" x14ac:dyDescent="0.25">
      <c r="A18" s="6" t="s">
        <v>20</v>
      </c>
      <c r="B18" s="6">
        <v>0.70672000000000001</v>
      </c>
      <c r="C18" s="6">
        <v>1.1351599999999999</v>
      </c>
      <c r="D18" s="6">
        <f t="shared" si="0"/>
        <v>0.42843999999999993</v>
      </c>
      <c r="E18" s="6">
        <f t="shared" si="3"/>
        <v>0.36837249999999994</v>
      </c>
      <c r="F18" s="6">
        <v>1.01264</v>
      </c>
      <c r="G18" s="6">
        <f t="shared" si="1"/>
        <v>0.12251999999999996</v>
      </c>
      <c r="H18" s="6"/>
      <c r="I18" s="6">
        <f t="shared" si="4"/>
        <v>6.2452499999999966E-2</v>
      </c>
      <c r="J18" s="6">
        <f t="shared" si="6"/>
        <v>0.30591999999999997</v>
      </c>
      <c r="K18" s="6"/>
      <c r="L18" s="6">
        <f t="shared" si="5"/>
        <v>0.30620999999999998</v>
      </c>
      <c r="M18" s="6">
        <v>5.6572100000000001</v>
      </c>
      <c r="N18" s="6"/>
      <c r="O18" s="6"/>
    </row>
    <row r="19" spans="1:15" s="2" customFormat="1" x14ac:dyDescent="0.25">
      <c r="A19" s="6" t="s">
        <v>23</v>
      </c>
      <c r="B19" s="6">
        <v>0.71016999999999997</v>
      </c>
      <c r="C19" s="6">
        <v>2.2509000000000001</v>
      </c>
      <c r="D19" s="6">
        <f t="shared" si="0"/>
        <v>1.5407300000000002</v>
      </c>
      <c r="E19" s="6">
        <f t="shared" si="3"/>
        <v>1.4806625000000002</v>
      </c>
      <c r="F19" s="6">
        <v>1.9720200000000001</v>
      </c>
      <c r="G19" s="6">
        <f t="shared" si="1"/>
        <v>0.27888000000000002</v>
      </c>
      <c r="H19" s="6"/>
      <c r="I19" s="6">
        <f t="shared" si="4"/>
        <v>0.21881250000000002</v>
      </c>
      <c r="J19" s="6">
        <f t="shared" si="6"/>
        <v>1.2618500000000001</v>
      </c>
      <c r="K19" s="6"/>
      <c r="L19" s="6">
        <f t="shared" si="5"/>
        <v>1.26214</v>
      </c>
      <c r="M19" s="6">
        <v>5.5832199999999998</v>
      </c>
      <c r="N19" s="6"/>
      <c r="O19" s="6"/>
    </row>
    <row r="20" spans="1:15" s="2" customFormat="1" x14ac:dyDescent="0.25">
      <c r="A20" s="6" t="s">
        <v>21</v>
      </c>
      <c r="B20" s="6">
        <v>0.70748999999999995</v>
      </c>
      <c r="C20" s="6">
        <v>1.1315599999999999</v>
      </c>
      <c r="D20" s="6">
        <f t="shared" si="0"/>
        <v>0.42406999999999995</v>
      </c>
      <c r="E20" s="6">
        <f t="shared" si="3"/>
        <v>0.36400249999999995</v>
      </c>
      <c r="F20" s="6">
        <v>0.96840000000000004</v>
      </c>
      <c r="G20" s="6">
        <f t="shared" si="1"/>
        <v>0.16315999999999986</v>
      </c>
      <c r="H20" s="6"/>
      <c r="I20" s="6">
        <f t="shared" si="4"/>
        <v>0.10309249999999986</v>
      </c>
      <c r="J20" s="6">
        <f t="shared" si="6"/>
        <v>0.26091000000000009</v>
      </c>
      <c r="K20" s="6"/>
      <c r="L20" s="6">
        <f t="shared" si="5"/>
        <v>0.2612000000000001</v>
      </c>
      <c r="M20" s="6">
        <v>5.5683999999999996</v>
      </c>
      <c r="N20" s="6"/>
      <c r="O20" s="6"/>
    </row>
    <row r="21" spans="1:15" s="2" customFormat="1" x14ac:dyDescent="0.25">
      <c r="A21" s="6" t="s">
        <v>22</v>
      </c>
      <c r="B21" s="6">
        <v>0.69632000000000005</v>
      </c>
      <c r="C21" s="6">
        <v>2.3454199999999998</v>
      </c>
      <c r="D21" s="6">
        <f t="shared" si="0"/>
        <v>1.6490999999999998</v>
      </c>
      <c r="E21" s="6">
        <f t="shared" si="3"/>
        <v>1.5890324999999998</v>
      </c>
      <c r="F21" s="6">
        <v>2.1224099999999999</v>
      </c>
      <c r="G21" s="6">
        <f t="shared" si="1"/>
        <v>0.22300999999999993</v>
      </c>
      <c r="H21" s="6"/>
      <c r="I21" s="6">
        <f t="shared" si="4"/>
        <v>0.16294249999999993</v>
      </c>
      <c r="J21" s="6">
        <f t="shared" si="6"/>
        <v>1.4260899999999999</v>
      </c>
      <c r="K21" s="6"/>
      <c r="L21" s="6">
        <f t="shared" si="5"/>
        <v>1.42638</v>
      </c>
      <c r="M21" s="6">
        <v>5.6778899999999997</v>
      </c>
      <c r="N21" s="6"/>
      <c r="O21" s="6"/>
    </row>
    <row r="22" spans="1:15" s="2" customFormat="1" x14ac:dyDescent="0.25">
      <c r="A22" s="6" t="s">
        <v>24</v>
      </c>
      <c r="B22" s="6">
        <v>0.72031999999999996</v>
      </c>
      <c r="C22" s="6">
        <v>0.79615000000000002</v>
      </c>
      <c r="D22" s="6">
        <f t="shared" si="0"/>
        <v>7.5830000000000064E-2</v>
      </c>
      <c r="E22" s="6">
        <f t="shared" si="3"/>
        <v>1.5762500000000068E-2</v>
      </c>
      <c r="F22" s="6">
        <v>0.72167000000000003</v>
      </c>
      <c r="G22" s="6">
        <f t="shared" si="1"/>
        <v>7.4479999999999991E-2</v>
      </c>
      <c r="H22" s="6"/>
      <c r="I22" s="6">
        <f t="shared" si="4"/>
        <v>1.4412499999999995E-2</v>
      </c>
      <c r="J22" s="6">
        <f t="shared" si="6"/>
        <v>1.3500000000000734E-3</v>
      </c>
      <c r="K22" s="6"/>
      <c r="L22" s="6">
        <f t="shared" si="5"/>
        <v>1.6400000000000858E-3</v>
      </c>
      <c r="M22" s="6">
        <v>5.5485699999999998</v>
      </c>
      <c r="N22" s="6"/>
      <c r="O22" s="6"/>
    </row>
    <row r="23" spans="1:15" s="2" customFormat="1" x14ac:dyDescent="0.25">
      <c r="A23" s="6" t="s">
        <v>25</v>
      </c>
      <c r="B23" s="6">
        <v>0.71204999999999996</v>
      </c>
      <c r="C23" s="6">
        <v>0.79098999999999997</v>
      </c>
      <c r="D23" s="6">
        <f t="shared" si="0"/>
        <v>7.894000000000001E-2</v>
      </c>
      <c r="E23" s="6">
        <f t="shared" si="3"/>
        <v>1.8872500000000014E-2</v>
      </c>
      <c r="F23" s="6">
        <v>0.71233000000000002</v>
      </c>
      <c r="G23" s="6">
        <f t="shared" si="1"/>
        <v>7.8659999999999952E-2</v>
      </c>
      <c r="H23" s="6"/>
      <c r="I23" s="6">
        <f t="shared" si="4"/>
        <v>1.8592499999999956E-2</v>
      </c>
      <c r="J23" s="6">
        <f t="shared" si="6"/>
        <v>2.8000000000005798E-4</v>
      </c>
      <c r="K23" s="6"/>
      <c r="L23" s="6">
        <f t="shared" si="5"/>
        <v>5.7000000000007045E-4</v>
      </c>
      <c r="M23" s="6">
        <v>5.49925</v>
      </c>
      <c r="N23" s="6"/>
      <c r="O23" s="6"/>
    </row>
    <row r="24" spans="1:15" s="2" customFormat="1" x14ac:dyDescent="0.25">
      <c r="A24" s="6" t="s">
        <v>26</v>
      </c>
      <c r="B24" s="6">
        <v>0.70538999999999996</v>
      </c>
      <c r="C24" s="6">
        <v>0.7742</v>
      </c>
      <c r="D24" s="6">
        <f t="shared" si="0"/>
        <v>6.8810000000000038E-2</v>
      </c>
      <c r="E24" s="6">
        <f t="shared" si="3"/>
        <v>8.7425000000000419E-3</v>
      </c>
      <c r="F24" s="6">
        <v>0.70509999999999995</v>
      </c>
      <c r="G24" s="6">
        <f t="shared" si="1"/>
        <v>6.910000000000005E-2</v>
      </c>
      <c r="H24" s="6"/>
      <c r="I24" s="6">
        <f t="shared" si="4"/>
        <v>9.0325000000000544E-3</v>
      </c>
      <c r="J24" s="6">
        <f t="shared" si="6"/>
        <v>-2.9000000000001247E-4</v>
      </c>
      <c r="K24" s="6"/>
      <c r="L24" s="6">
        <f t="shared" si="5"/>
        <v>0</v>
      </c>
      <c r="M24" s="6">
        <v>5.6189600000000004</v>
      </c>
      <c r="N24" s="6">
        <v>5.4642999999999997</v>
      </c>
      <c r="O24" s="6"/>
    </row>
    <row r="25" spans="1:15" s="2" customFormat="1" x14ac:dyDescent="0.25">
      <c r="A25" s="6" t="s">
        <v>27</v>
      </c>
      <c r="B25" s="6">
        <v>0.71331999999999995</v>
      </c>
      <c r="C25" s="6">
        <v>0.78390000000000004</v>
      </c>
      <c r="D25" s="6">
        <f t="shared" si="0"/>
        <v>7.0580000000000087E-2</v>
      </c>
      <c r="E25" s="6">
        <f t="shared" si="3"/>
        <v>1.0512500000000091E-2</v>
      </c>
      <c r="F25" s="6">
        <v>0.71657999999999999</v>
      </c>
      <c r="G25" s="6">
        <f t="shared" si="1"/>
        <v>6.7320000000000046E-2</v>
      </c>
      <c r="H25" s="6"/>
      <c r="I25" s="6">
        <f t="shared" si="4"/>
        <v>7.2525000000000506E-3</v>
      </c>
      <c r="J25" s="6">
        <f t="shared" si="6"/>
        <v>3.2600000000000406E-3</v>
      </c>
      <c r="K25" s="6"/>
      <c r="L25" s="6">
        <f t="shared" si="5"/>
        <v>3.5500000000000531E-3</v>
      </c>
      <c r="M25" s="6">
        <v>5.6466799999999999</v>
      </c>
      <c r="N25" s="6"/>
      <c r="O25" s="6"/>
    </row>
    <row r="26" spans="1:15" s="2" customFormat="1" x14ac:dyDescent="0.25">
      <c r="A26" s="6" t="s">
        <v>28</v>
      </c>
      <c r="B26" s="6">
        <v>0.71799999999999997</v>
      </c>
      <c r="C26" s="6">
        <v>0.78295000000000003</v>
      </c>
      <c r="D26" s="6">
        <f t="shared" si="0"/>
        <v>6.4950000000000063E-2</v>
      </c>
      <c r="E26" s="6">
        <f t="shared" si="3"/>
        <v>4.8825000000000673E-3</v>
      </c>
      <c r="F26" s="6">
        <v>0.71847000000000005</v>
      </c>
      <c r="G26" s="6">
        <f t="shared" si="1"/>
        <v>6.4479999999999982E-2</v>
      </c>
      <c r="H26" s="6"/>
      <c r="I26" s="6">
        <f t="shared" si="4"/>
        <v>4.4124999999999859E-3</v>
      </c>
      <c r="J26" s="6">
        <f t="shared" si="6"/>
        <v>4.7000000000008146E-4</v>
      </c>
      <c r="K26" s="6"/>
      <c r="L26" s="6">
        <f t="shared" si="5"/>
        <v>7.6000000000009393E-4</v>
      </c>
      <c r="M26" s="6">
        <v>5.6101200000000002</v>
      </c>
      <c r="N26" s="6"/>
      <c r="O26" s="6"/>
    </row>
    <row r="27" spans="1:15" s="2" customFormat="1" x14ac:dyDescent="0.25">
      <c r="A27" s="6" t="s">
        <v>29</v>
      </c>
      <c r="B27" s="6">
        <v>0.74416000000000004</v>
      </c>
      <c r="C27" s="6">
        <v>0.82121</v>
      </c>
      <c r="D27" s="6">
        <f t="shared" si="0"/>
        <v>7.7049999999999952E-2</v>
      </c>
      <c r="E27" s="6">
        <f t="shared" si="3"/>
        <v>1.6982499999999956E-2</v>
      </c>
      <c r="F27" s="6">
        <v>0.74475000000000002</v>
      </c>
      <c r="G27" s="6">
        <f t="shared" si="1"/>
        <v>7.6459999999999972E-2</v>
      </c>
      <c r="H27" s="6"/>
      <c r="I27" s="6">
        <f t="shared" si="4"/>
        <v>1.6392499999999977E-2</v>
      </c>
      <c r="J27" s="6">
        <f t="shared" si="6"/>
        <v>5.8999999999997943E-4</v>
      </c>
      <c r="K27" s="6"/>
      <c r="L27" s="6">
        <f t="shared" si="5"/>
        <v>8.799999999999919E-4</v>
      </c>
      <c r="M27" s="6">
        <v>5.4736200000000004</v>
      </c>
      <c r="N27" s="6"/>
      <c r="O27" s="6"/>
    </row>
    <row r="28" spans="1:15" s="2" customFormat="1" x14ac:dyDescent="0.25">
      <c r="A28" s="6" t="s">
        <v>30</v>
      </c>
      <c r="B28" s="6">
        <v>0.70782999999999996</v>
      </c>
      <c r="C28" s="6">
        <v>0.77581</v>
      </c>
      <c r="D28" s="6">
        <f t="shared" si="0"/>
        <v>6.798000000000004E-2</v>
      </c>
      <c r="E28" s="6">
        <f t="shared" si="3"/>
        <v>7.9125000000000445E-3</v>
      </c>
      <c r="F28" s="6">
        <v>0.70750000000000002</v>
      </c>
      <c r="G28" s="6">
        <f t="shared" si="1"/>
        <v>6.8309999999999982E-2</v>
      </c>
      <c r="H28" s="6"/>
      <c r="I28" s="6">
        <f t="shared" si="4"/>
        <v>8.2424999999999859E-3</v>
      </c>
      <c r="J28" s="6">
        <f t="shared" si="6"/>
        <v>-3.2999999999994145E-4</v>
      </c>
      <c r="K28" s="6"/>
      <c r="L28" s="6">
        <f t="shared" si="5"/>
        <v>-3.9999999999928981E-5</v>
      </c>
      <c r="M28" s="6">
        <v>5.5113000000000003</v>
      </c>
      <c r="N28" s="6"/>
      <c r="O28" s="6"/>
    </row>
    <row r="29" spans="1:15" s="2" customFormat="1" x14ac:dyDescent="0.25">
      <c r="A29" s="6" t="s">
        <v>31</v>
      </c>
      <c r="B29" s="6">
        <v>0.69952999999999999</v>
      </c>
      <c r="C29" s="6">
        <v>0.77066999999999997</v>
      </c>
      <c r="D29" s="6">
        <f t="shared" si="0"/>
        <v>7.1139999999999981E-2</v>
      </c>
      <c r="E29" s="6">
        <f t="shared" si="3"/>
        <v>1.1072499999999985E-2</v>
      </c>
      <c r="F29" s="6">
        <v>0.70182999999999995</v>
      </c>
      <c r="G29" s="6">
        <f t="shared" si="1"/>
        <v>6.8840000000000012E-2</v>
      </c>
      <c r="H29" s="6"/>
      <c r="I29" s="6">
        <f t="shared" si="4"/>
        <v>8.7725000000000164E-3</v>
      </c>
      <c r="J29" s="6">
        <f t="shared" si="6"/>
        <v>2.2999999999999687E-3</v>
      </c>
      <c r="K29" s="6"/>
      <c r="L29" s="6">
        <f t="shared" si="5"/>
        <v>2.5899999999999812E-3</v>
      </c>
      <c r="M29" s="6">
        <v>5.54955</v>
      </c>
      <c r="N29" s="6"/>
      <c r="O29" s="6"/>
    </row>
    <row r="30" spans="1:15" s="3" customFormat="1" x14ac:dyDescent="0.25">
      <c r="A30" s="8" t="s">
        <v>32</v>
      </c>
      <c r="B30" s="7">
        <v>0.69603000000000004</v>
      </c>
      <c r="C30" s="7">
        <v>0.84953000000000001</v>
      </c>
      <c r="D30" s="7">
        <f t="shared" si="0"/>
        <v>0.15349999999999997</v>
      </c>
      <c r="E30" s="7">
        <f>D30-H$6</f>
        <v>0.15115333333333328</v>
      </c>
      <c r="F30" s="7">
        <v>0.84265000000000001</v>
      </c>
      <c r="G30" s="7">
        <f t="shared" si="1"/>
        <v>6.8799999999999972E-3</v>
      </c>
      <c r="H30" s="7"/>
      <c r="I30" s="7">
        <f>G30-H$6</f>
        <v>4.5333333333333146E-3</v>
      </c>
      <c r="J30" s="7">
        <f>E30-I30</f>
        <v>0.14661999999999997</v>
      </c>
      <c r="K30" s="7"/>
      <c r="L30" s="7">
        <f>J30-K$6</f>
        <v>1.9977499999999981E-2</v>
      </c>
      <c r="M30" s="7">
        <v>5.5953499999999998</v>
      </c>
      <c r="N30" s="7">
        <v>5.5748699999999998</v>
      </c>
      <c r="O30" s="7">
        <f>N30-K$6-M30</f>
        <v>-0.14712250000000004</v>
      </c>
    </row>
    <row r="31" spans="1:15" s="3" customFormat="1" x14ac:dyDescent="0.25">
      <c r="A31" s="8" t="s">
        <v>33</v>
      </c>
      <c r="B31" s="7">
        <v>0.72333000000000003</v>
      </c>
      <c r="C31" s="7">
        <v>0.86938000000000004</v>
      </c>
      <c r="D31" s="7">
        <f t="shared" si="0"/>
        <v>0.14605000000000001</v>
      </c>
      <c r="E31" s="7">
        <f t="shared" ref="E31:E56" si="7">D31-H$6</f>
        <v>0.14370333333333332</v>
      </c>
      <c r="F31" s="7">
        <v>0.86358000000000001</v>
      </c>
      <c r="G31" s="7">
        <f t="shared" si="1"/>
        <v>5.8000000000000274E-3</v>
      </c>
      <c r="H31" s="7"/>
      <c r="I31" s="7">
        <f t="shared" ref="I31:I56" si="8">G31-H$6</f>
        <v>3.4533333333333451E-3</v>
      </c>
      <c r="J31" s="7">
        <f t="shared" ref="J31:J56" si="9">E31-I31</f>
        <v>0.14024999999999999</v>
      </c>
      <c r="K31" s="7"/>
      <c r="L31" s="7">
        <f t="shared" ref="L31:L56" si="10">J31-K$6</f>
        <v>1.3607499999999995E-2</v>
      </c>
      <c r="M31" s="7">
        <v>5.5372500000000002</v>
      </c>
      <c r="N31" s="7">
        <v>5.5698800000000004</v>
      </c>
      <c r="O31" s="7">
        <f t="shared" ref="O31:O41" si="11">N31-K$6-M31</f>
        <v>-9.4012499999999832E-2</v>
      </c>
    </row>
    <row r="32" spans="1:15" s="3" customFormat="1" x14ac:dyDescent="0.25">
      <c r="A32" s="8" t="s">
        <v>34</v>
      </c>
      <c r="B32" s="7">
        <v>0.72474000000000005</v>
      </c>
      <c r="C32" s="7">
        <v>0.86839999999999995</v>
      </c>
      <c r="D32" s="7">
        <f t="shared" si="0"/>
        <v>0.1436599999999999</v>
      </c>
      <c r="E32" s="7">
        <f t="shared" si="7"/>
        <v>0.14131333333333321</v>
      </c>
      <c r="F32" s="7">
        <v>0.86314999999999997</v>
      </c>
      <c r="G32" s="7">
        <f t="shared" si="1"/>
        <v>5.2499999999999769E-3</v>
      </c>
      <c r="H32" s="7"/>
      <c r="I32" s="7">
        <f t="shared" si="8"/>
        <v>2.9033333333332947E-3</v>
      </c>
      <c r="J32" s="7">
        <f t="shared" si="9"/>
        <v>0.13840999999999992</v>
      </c>
      <c r="K32" s="7"/>
      <c r="L32" s="7">
        <f t="shared" si="10"/>
        <v>1.1767499999999931E-2</v>
      </c>
      <c r="M32" s="7">
        <v>5.5903099999999997</v>
      </c>
      <c r="N32" s="7">
        <v>5.6411300000000004</v>
      </c>
      <c r="O32" s="7">
        <f t="shared" si="11"/>
        <v>-7.5822499999999238E-2</v>
      </c>
    </row>
    <row r="33" spans="1:15" s="3" customFormat="1" x14ac:dyDescent="0.25">
      <c r="A33" s="8" t="s">
        <v>35</v>
      </c>
      <c r="B33" s="7">
        <v>0.72323000000000004</v>
      </c>
      <c r="C33" s="7">
        <v>0.86016999999999999</v>
      </c>
      <c r="D33" s="7">
        <f t="shared" si="0"/>
        <v>0.13693999999999995</v>
      </c>
      <c r="E33" s="7">
        <f t="shared" si="7"/>
        <v>0.13459333333333326</v>
      </c>
      <c r="F33" s="7">
        <v>0.85543999999999998</v>
      </c>
      <c r="G33" s="7">
        <f t="shared" si="1"/>
        <v>4.730000000000012E-3</v>
      </c>
      <c r="H33" s="7"/>
      <c r="I33" s="7">
        <f t="shared" si="8"/>
        <v>2.3833333333333298E-3</v>
      </c>
      <c r="J33" s="7">
        <f t="shared" si="9"/>
        <v>0.13220999999999994</v>
      </c>
      <c r="K33" s="7"/>
      <c r="L33" s="7">
        <f t="shared" si="10"/>
        <v>5.5674999999999475E-3</v>
      </c>
      <c r="M33" s="7">
        <v>5.5932000000000004</v>
      </c>
      <c r="N33" s="7">
        <v>5.5846299999999998</v>
      </c>
      <c r="O33" s="7">
        <f t="shared" si="11"/>
        <v>-0.13521250000000062</v>
      </c>
    </row>
    <row r="34" spans="1:15" s="3" customFormat="1" x14ac:dyDescent="0.25">
      <c r="A34" s="8" t="s">
        <v>36</v>
      </c>
      <c r="B34" s="7">
        <v>0.71631</v>
      </c>
      <c r="C34" s="7">
        <v>0.85614999999999997</v>
      </c>
      <c r="D34" s="7">
        <f t="shared" si="0"/>
        <v>0.13983999999999996</v>
      </c>
      <c r="E34" s="7">
        <f t="shared" si="7"/>
        <v>0.13749333333333327</v>
      </c>
      <c r="F34" s="7">
        <v>0.85199000000000003</v>
      </c>
      <c r="G34" s="7">
        <f t="shared" si="1"/>
        <v>4.1599999999999415E-3</v>
      </c>
      <c r="H34" s="7"/>
      <c r="I34" s="7">
        <f t="shared" si="8"/>
        <v>1.8133333333332593E-3</v>
      </c>
      <c r="J34" s="7">
        <f t="shared" si="9"/>
        <v>0.13568000000000002</v>
      </c>
      <c r="K34" s="7"/>
      <c r="L34" s="7">
        <f t="shared" si="10"/>
        <v>9.0375000000000316E-3</v>
      </c>
      <c r="M34" s="7">
        <v>5.6203000000000003</v>
      </c>
      <c r="N34" s="7">
        <v>5.6064100000000003</v>
      </c>
      <c r="O34" s="7">
        <f t="shared" si="11"/>
        <v>-0.14053249999999995</v>
      </c>
    </row>
    <row r="35" spans="1:15" s="3" customFormat="1" x14ac:dyDescent="0.25">
      <c r="A35" s="8" t="s">
        <v>37</v>
      </c>
      <c r="B35" s="7">
        <v>0.70169000000000004</v>
      </c>
      <c r="C35" s="7">
        <v>0.88336000000000003</v>
      </c>
      <c r="D35" s="7">
        <f t="shared" si="0"/>
        <v>0.18167</v>
      </c>
      <c r="E35" s="7">
        <f t="shared" si="7"/>
        <v>0.17932333333333331</v>
      </c>
      <c r="F35" s="7">
        <v>0.86319000000000001</v>
      </c>
      <c r="G35" s="7">
        <f t="shared" si="1"/>
        <v>2.0170000000000021E-2</v>
      </c>
      <c r="H35" s="7"/>
      <c r="I35" s="7">
        <f t="shared" si="8"/>
        <v>1.782333333333334E-2</v>
      </c>
      <c r="J35" s="7">
        <f t="shared" si="9"/>
        <v>0.16149999999999998</v>
      </c>
      <c r="K35" s="7"/>
      <c r="L35" s="7">
        <f t="shared" si="10"/>
        <v>3.4857499999999986E-2</v>
      </c>
      <c r="M35" s="7">
        <v>5.5729499999999996</v>
      </c>
      <c r="N35" s="7">
        <v>5.6312600000000002</v>
      </c>
      <c r="O35" s="7">
        <f t="shared" si="11"/>
        <v>-6.8332499999999463E-2</v>
      </c>
    </row>
    <row r="36" spans="1:15" s="3" customFormat="1" x14ac:dyDescent="0.25">
      <c r="A36" s="8" t="s">
        <v>38</v>
      </c>
      <c r="B36" s="7">
        <v>0.70804</v>
      </c>
      <c r="C36" s="7">
        <v>0.88553999999999999</v>
      </c>
      <c r="D36" s="7">
        <f t="shared" si="0"/>
        <v>0.17749999999999999</v>
      </c>
      <c r="E36" s="7">
        <f t="shared" si="7"/>
        <v>0.1751533333333333</v>
      </c>
      <c r="F36" s="7">
        <v>0.872</v>
      </c>
      <c r="G36" s="7">
        <f t="shared" si="1"/>
        <v>1.3539999999999996E-2</v>
      </c>
      <c r="H36" s="7"/>
      <c r="I36" s="7">
        <f t="shared" si="8"/>
        <v>1.1193333333333314E-2</v>
      </c>
      <c r="J36" s="7">
        <f t="shared" si="9"/>
        <v>0.16395999999999999</v>
      </c>
      <c r="K36" s="7"/>
      <c r="L36" s="7">
        <f t="shared" si="10"/>
        <v>3.7317500000000003E-2</v>
      </c>
      <c r="M36" s="7">
        <v>5.5261699999999996</v>
      </c>
      <c r="N36" s="7">
        <v>5.6179600000000001</v>
      </c>
      <c r="O36" s="7">
        <f t="shared" si="11"/>
        <v>-3.4852499999999509E-2</v>
      </c>
    </row>
    <row r="37" spans="1:15" s="3" customFormat="1" x14ac:dyDescent="0.25">
      <c r="A37" s="8" t="s">
        <v>39</v>
      </c>
      <c r="B37" s="7">
        <v>0.71448</v>
      </c>
      <c r="C37" s="7">
        <v>0.89122999999999997</v>
      </c>
      <c r="D37" s="7">
        <f t="shared" si="0"/>
        <v>0.17674999999999996</v>
      </c>
      <c r="E37" s="7">
        <f t="shared" si="7"/>
        <v>0.17440333333333327</v>
      </c>
      <c r="F37" s="7">
        <v>0.87746999999999997</v>
      </c>
      <c r="G37" s="7">
        <f t="shared" si="1"/>
        <v>1.3759999999999994E-2</v>
      </c>
      <c r="H37" s="7"/>
      <c r="I37" s="7">
        <f t="shared" si="8"/>
        <v>1.1413333333333312E-2</v>
      </c>
      <c r="J37" s="7">
        <f t="shared" si="9"/>
        <v>0.16298999999999997</v>
      </c>
      <c r="K37" s="7"/>
      <c r="L37" s="7">
        <f t="shared" si="10"/>
        <v>3.6347499999999977E-2</v>
      </c>
      <c r="M37" s="7">
        <v>5.53085</v>
      </c>
      <c r="N37" s="7">
        <v>5.6161199999999996</v>
      </c>
      <c r="O37" s="7">
        <f t="shared" si="11"/>
        <v>-4.1372500000000478E-2</v>
      </c>
    </row>
    <row r="38" spans="1:15" s="3" customFormat="1" x14ac:dyDescent="0.25">
      <c r="A38" s="8" t="s">
        <v>40</v>
      </c>
      <c r="B38" s="7">
        <v>0.71684000000000003</v>
      </c>
      <c r="C38" s="7">
        <v>0.84806999999999999</v>
      </c>
      <c r="D38" s="7">
        <f t="shared" si="0"/>
        <v>0.13122999999999996</v>
      </c>
      <c r="E38" s="7">
        <f t="shared" si="7"/>
        <v>0.12888333333333327</v>
      </c>
      <c r="F38" s="7">
        <v>0.84504000000000001</v>
      </c>
      <c r="G38" s="7">
        <f t="shared" si="1"/>
        <v>3.0299999999999772E-3</v>
      </c>
      <c r="H38" s="7"/>
      <c r="I38" s="7">
        <f t="shared" si="8"/>
        <v>6.8333333333329494E-4</v>
      </c>
      <c r="J38" s="7">
        <f t="shared" si="9"/>
        <v>0.12819999999999998</v>
      </c>
      <c r="K38" s="7"/>
      <c r="L38" s="7">
        <f t="shared" si="10"/>
        <v>1.5574999999999894E-3</v>
      </c>
      <c r="M38" s="7">
        <v>5.5795000000000003</v>
      </c>
      <c r="N38" s="7">
        <v>5.5840800000000002</v>
      </c>
      <c r="O38" s="7">
        <f t="shared" si="11"/>
        <v>-0.12206250000000018</v>
      </c>
    </row>
    <row r="39" spans="1:15" s="3" customFormat="1" x14ac:dyDescent="0.25">
      <c r="A39" s="8" t="s">
        <v>41</v>
      </c>
      <c r="B39" s="7">
        <v>0.70354000000000005</v>
      </c>
      <c r="C39" s="7">
        <v>0.83914</v>
      </c>
      <c r="D39" s="7">
        <f t="shared" si="0"/>
        <v>0.13559999999999994</v>
      </c>
      <c r="E39" s="7">
        <f t="shared" si="7"/>
        <v>0.13325333333333325</v>
      </c>
      <c r="F39" s="7">
        <v>0.83599999999999997</v>
      </c>
      <c r="G39" s="7">
        <f t="shared" si="1"/>
        <v>3.1400000000000317E-3</v>
      </c>
      <c r="H39" s="7"/>
      <c r="I39" s="7">
        <f t="shared" si="8"/>
        <v>7.9333333333334944E-4</v>
      </c>
      <c r="J39" s="7">
        <f t="shared" si="9"/>
        <v>0.13245999999999991</v>
      </c>
      <c r="K39" s="7"/>
      <c r="L39" s="7">
        <f t="shared" si="10"/>
        <v>5.81749999999992E-3</v>
      </c>
      <c r="M39" s="7">
        <v>5.5189399999999997</v>
      </c>
      <c r="N39" s="7">
        <v>5.6106600000000002</v>
      </c>
      <c r="O39" s="7">
        <f t="shared" si="11"/>
        <v>-3.4922499999999523E-2</v>
      </c>
    </row>
    <row r="40" spans="1:15" s="3" customFormat="1" x14ac:dyDescent="0.25">
      <c r="A40" s="8" t="s">
        <v>42</v>
      </c>
      <c r="B40" s="7">
        <v>0.70948</v>
      </c>
      <c r="C40" s="7">
        <v>0.84423000000000004</v>
      </c>
      <c r="D40" s="7">
        <f t="shared" si="0"/>
        <v>0.13475000000000004</v>
      </c>
      <c r="E40" s="7">
        <f t="shared" si="7"/>
        <v>0.13240333333333335</v>
      </c>
      <c r="F40" s="7">
        <v>0.84101999999999999</v>
      </c>
      <c r="G40" s="7">
        <f t="shared" si="1"/>
        <v>3.2100000000000461E-3</v>
      </c>
      <c r="H40" s="7"/>
      <c r="I40" s="7">
        <f t="shared" si="8"/>
        <v>8.6333333333336393E-4</v>
      </c>
      <c r="J40" s="7">
        <f t="shared" si="9"/>
        <v>0.13153999999999999</v>
      </c>
      <c r="K40" s="7"/>
      <c r="L40" s="7">
        <f t="shared" si="10"/>
        <v>4.8974999999999991E-3</v>
      </c>
      <c r="M40" s="7">
        <v>5.5160499999999999</v>
      </c>
      <c r="N40" s="7">
        <v>5.52576</v>
      </c>
      <c r="O40" s="7">
        <f t="shared" si="11"/>
        <v>-0.11693249999999988</v>
      </c>
    </row>
    <row r="41" spans="1:15" s="3" customFormat="1" x14ac:dyDescent="0.25">
      <c r="A41" s="8" t="s">
        <v>43</v>
      </c>
      <c r="B41" s="7">
        <v>0.71079000000000003</v>
      </c>
      <c r="C41" s="7">
        <v>0.85568</v>
      </c>
      <c r="D41" s="7">
        <f t="shared" si="0"/>
        <v>0.14488999999999996</v>
      </c>
      <c r="E41" s="7">
        <f t="shared" si="7"/>
        <v>0.14254333333333327</v>
      </c>
      <c r="F41" s="7">
        <v>0.84643500000000005</v>
      </c>
      <c r="G41" s="7">
        <v>9.2449999999999997E-3</v>
      </c>
      <c r="H41" s="7"/>
      <c r="I41" s="7">
        <f t="shared" si="8"/>
        <v>6.8983333333333171E-3</v>
      </c>
      <c r="J41" s="7">
        <f t="shared" si="9"/>
        <v>0.13564499999999996</v>
      </c>
      <c r="K41" s="7"/>
      <c r="L41" s="7">
        <f t="shared" si="10"/>
        <v>9.0024999999999689E-3</v>
      </c>
      <c r="M41" s="7">
        <v>5.6386599999999998</v>
      </c>
      <c r="N41" s="7">
        <v>5.6745799999999997</v>
      </c>
      <c r="O41" s="7">
        <f t="shared" si="11"/>
        <v>-9.0722500000000039E-2</v>
      </c>
    </row>
    <row r="42" spans="1:15" s="2" customFormat="1" x14ac:dyDescent="0.25">
      <c r="A42" s="9" t="s">
        <v>44</v>
      </c>
      <c r="B42" s="6">
        <v>0.71120000000000005</v>
      </c>
      <c r="C42" s="6">
        <v>0.78495000000000004</v>
      </c>
      <c r="D42" s="6">
        <f t="shared" si="0"/>
        <v>7.3749999999999982E-2</v>
      </c>
      <c r="E42" s="6"/>
      <c r="F42" s="6">
        <v>0.71113000000000004</v>
      </c>
      <c r="G42" s="6">
        <f t="shared" ref="G42:G56" si="12">C42-F42</f>
        <v>7.3819999999999997E-2</v>
      </c>
      <c r="H42" s="6"/>
      <c r="I42" s="6">
        <f t="shared" si="8"/>
        <v>7.1473333333333319E-2</v>
      </c>
      <c r="J42" s="6"/>
      <c r="K42" s="6"/>
      <c r="L42" s="6"/>
      <c r="M42" s="6">
        <v>5.5849000000000002</v>
      </c>
      <c r="N42" s="6"/>
      <c r="O42" s="6"/>
    </row>
    <row r="43" spans="1:15" s="2" customFormat="1" x14ac:dyDescent="0.25">
      <c r="A43" s="9" t="s">
        <v>45</v>
      </c>
      <c r="B43" s="6">
        <v>0.72782999999999998</v>
      </c>
      <c r="C43" s="6">
        <v>0.79193000000000002</v>
      </c>
      <c r="D43" s="6">
        <f t="shared" si="0"/>
        <v>6.4100000000000046E-2</v>
      </c>
      <c r="E43" s="6"/>
      <c r="F43" s="6">
        <v>0.72797999999999996</v>
      </c>
      <c r="G43" s="6">
        <f t="shared" si="12"/>
        <v>6.3950000000000062E-2</v>
      </c>
      <c r="H43" s="6"/>
      <c r="I43" s="6">
        <f t="shared" si="8"/>
        <v>6.1603333333333378E-2</v>
      </c>
      <c r="J43" s="6"/>
      <c r="K43" s="6"/>
      <c r="L43" s="6"/>
      <c r="M43" s="6">
        <v>5.5297799999999997</v>
      </c>
      <c r="N43" s="6"/>
      <c r="O43" s="6"/>
    </row>
    <row r="44" spans="1:15" s="2" customFormat="1" x14ac:dyDescent="0.25">
      <c r="A44" s="9" t="s">
        <v>46</v>
      </c>
      <c r="B44" s="6">
        <v>0.71450000000000002</v>
      </c>
      <c r="C44" s="6">
        <v>0.78690000000000004</v>
      </c>
      <c r="D44" s="6">
        <f t="shared" si="0"/>
        <v>7.240000000000002E-2</v>
      </c>
      <c r="E44" s="6"/>
      <c r="F44" s="6">
        <v>0.72402999999999995</v>
      </c>
      <c r="G44" s="6">
        <f t="shared" si="12"/>
        <v>6.2870000000000092E-2</v>
      </c>
      <c r="H44" s="6"/>
      <c r="I44" s="6">
        <f t="shared" si="8"/>
        <v>6.0523333333333408E-2</v>
      </c>
      <c r="J44" s="6"/>
      <c r="K44" s="6"/>
      <c r="L44" s="6"/>
      <c r="M44" s="6">
        <v>5.5441900000000004</v>
      </c>
      <c r="N44" s="6"/>
      <c r="O44" s="6"/>
    </row>
    <row r="45" spans="1:15" s="2" customFormat="1" x14ac:dyDescent="0.25">
      <c r="A45" s="9" t="s">
        <v>47</v>
      </c>
      <c r="B45" s="6">
        <v>0.71967999999999999</v>
      </c>
      <c r="C45" s="6">
        <v>0.78012999999999999</v>
      </c>
      <c r="D45" s="6">
        <f t="shared" si="0"/>
        <v>6.0450000000000004E-2</v>
      </c>
      <c r="E45" s="6"/>
      <c r="F45" s="6">
        <v>0.71955000000000002</v>
      </c>
      <c r="G45" s="6">
        <f t="shared" si="12"/>
        <v>6.0579999999999967E-2</v>
      </c>
      <c r="H45" s="6"/>
      <c r="I45" s="6">
        <f t="shared" si="8"/>
        <v>5.8233333333333283E-2</v>
      </c>
      <c r="J45" s="6"/>
      <c r="K45" s="6"/>
      <c r="L45" s="6"/>
      <c r="M45" s="6">
        <v>5.4980000000000002</v>
      </c>
      <c r="N45" s="6"/>
      <c r="O45" s="6"/>
    </row>
    <row r="46" spans="1:15" s="2" customFormat="1" x14ac:dyDescent="0.25">
      <c r="A46" s="9" t="s">
        <v>48</v>
      </c>
      <c r="B46" s="6">
        <v>0.73312999999999995</v>
      </c>
      <c r="C46" s="6">
        <v>0.77949999999999997</v>
      </c>
      <c r="D46" s="6">
        <f t="shared" si="0"/>
        <v>4.6370000000000022E-2</v>
      </c>
      <c r="E46" s="6"/>
      <c r="F46" s="6">
        <v>0.73304999999999998</v>
      </c>
      <c r="G46" s="6">
        <f t="shared" si="12"/>
        <v>4.6449999999999991E-2</v>
      </c>
      <c r="H46" s="6"/>
      <c r="I46" s="6">
        <f t="shared" si="8"/>
        <v>4.4103333333333307E-2</v>
      </c>
      <c r="J46" s="6"/>
      <c r="K46" s="6"/>
      <c r="L46" s="6"/>
      <c r="M46" s="6">
        <v>5.4744299999999999</v>
      </c>
      <c r="N46" s="6"/>
      <c r="O46" s="6"/>
    </row>
    <row r="47" spans="1:15" s="2" customFormat="1" x14ac:dyDescent="0.25">
      <c r="A47" s="9" t="s">
        <v>49</v>
      </c>
      <c r="B47" s="6">
        <v>0.70628000000000002</v>
      </c>
      <c r="C47" s="6">
        <v>0.76934000000000002</v>
      </c>
      <c r="D47" s="6">
        <f t="shared" si="0"/>
        <v>6.3060000000000005E-2</v>
      </c>
      <c r="E47" s="6"/>
      <c r="F47" s="6">
        <v>0.70655000000000001</v>
      </c>
      <c r="G47" s="6">
        <f t="shared" si="12"/>
        <v>6.2790000000000012E-2</v>
      </c>
      <c r="H47" s="6"/>
      <c r="I47" s="6">
        <f t="shared" si="8"/>
        <v>6.0443333333333328E-2</v>
      </c>
      <c r="J47" s="6"/>
      <c r="K47" s="6"/>
      <c r="L47" s="6"/>
      <c r="M47" s="6">
        <v>5.4798400000000003</v>
      </c>
      <c r="N47" s="6"/>
      <c r="O47" s="6"/>
    </row>
    <row r="48" spans="1:15" s="2" customFormat="1" x14ac:dyDescent="0.25">
      <c r="A48" s="9" t="s">
        <v>50</v>
      </c>
      <c r="B48" s="6">
        <v>0.70221999999999996</v>
      </c>
      <c r="C48" s="6">
        <v>0.76197999999999999</v>
      </c>
      <c r="D48" s="6">
        <f t="shared" si="0"/>
        <v>5.9760000000000035E-2</v>
      </c>
      <c r="E48" s="6"/>
      <c r="F48" s="6">
        <v>0.70233000000000001</v>
      </c>
      <c r="G48" s="6">
        <f t="shared" si="12"/>
        <v>5.9649999999999981E-2</v>
      </c>
      <c r="H48" s="6"/>
      <c r="I48" s="6">
        <f t="shared" si="8"/>
        <v>5.7303333333333296E-2</v>
      </c>
      <c r="J48" s="6"/>
      <c r="K48" s="6"/>
      <c r="L48" s="6"/>
      <c r="M48" s="6">
        <v>5.5129400000000004</v>
      </c>
      <c r="N48" s="6"/>
      <c r="O48" s="6"/>
    </row>
    <row r="49" spans="1:15" s="2" customFormat="1" x14ac:dyDescent="0.25">
      <c r="A49" s="9" t="s">
        <v>52</v>
      </c>
      <c r="B49" s="6">
        <v>0.73626000000000003</v>
      </c>
      <c r="C49" s="6">
        <v>0.80008000000000001</v>
      </c>
      <c r="D49" s="6">
        <f t="shared" si="0"/>
        <v>6.3819999999999988E-2</v>
      </c>
      <c r="E49" s="6"/>
      <c r="F49" s="6">
        <v>0.73607999999999996</v>
      </c>
      <c r="G49" s="6">
        <f t="shared" si="12"/>
        <v>6.4000000000000057E-2</v>
      </c>
      <c r="H49" s="6"/>
      <c r="I49" s="6">
        <f t="shared" si="8"/>
        <v>6.1653333333333372E-2</v>
      </c>
      <c r="J49" s="6"/>
      <c r="K49" s="6"/>
      <c r="L49" s="6"/>
      <c r="M49" s="6">
        <v>5.5010599999999998</v>
      </c>
      <c r="N49" s="6">
        <v>5.4571500000000004</v>
      </c>
      <c r="O49" s="6"/>
    </row>
    <row r="50" spans="1:15" s="2" customFormat="1" x14ac:dyDescent="0.25">
      <c r="A50" s="9" t="s">
        <v>51</v>
      </c>
      <c r="B50" s="6">
        <v>0.71348</v>
      </c>
      <c r="C50" s="6">
        <v>0.80201999999999996</v>
      </c>
      <c r="D50" s="6">
        <f t="shared" si="0"/>
        <v>8.8539999999999952E-2</v>
      </c>
      <c r="E50" s="6"/>
      <c r="F50" s="6">
        <v>0.71326000000000001</v>
      </c>
      <c r="G50" s="6">
        <f t="shared" si="12"/>
        <v>8.875999999999995E-2</v>
      </c>
      <c r="H50" s="6"/>
      <c r="I50" s="6">
        <f t="shared" si="8"/>
        <v>8.6413333333333273E-2</v>
      </c>
      <c r="J50" s="6"/>
      <c r="K50" s="6"/>
      <c r="L50" s="6"/>
      <c r="M50" s="6">
        <v>5.6687500000000002</v>
      </c>
      <c r="N50" s="6"/>
      <c r="O50" s="6"/>
    </row>
    <row r="51" spans="1:15" s="2" customFormat="1" x14ac:dyDescent="0.25">
      <c r="A51" s="9" t="s">
        <v>53</v>
      </c>
      <c r="B51" s="6">
        <v>0.72653999999999996</v>
      </c>
      <c r="C51" s="6">
        <v>0.78615000000000002</v>
      </c>
      <c r="D51" s="6">
        <f t="shared" si="0"/>
        <v>5.9610000000000052E-2</v>
      </c>
      <c r="E51" s="6"/>
      <c r="F51" s="6">
        <v>0.72660000000000002</v>
      </c>
      <c r="G51" s="6">
        <f t="shared" si="12"/>
        <v>5.9549999999999992E-2</v>
      </c>
      <c r="H51" s="6"/>
      <c r="I51" s="6">
        <f t="shared" si="8"/>
        <v>5.7203333333333307E-2</v>
      </c>
      <c r="J51" s="6"/>
      <c r="K51" s="6"/>
      <c r="L51" s="6"/>
      <c r="M51" s="6">
        <v>5.5985699999999996</v>
      </c>
      <c r="N51" s="6"/>
      <c r="O51" s="6"/>
    </row>
    <row r="52" spans="1:15" s="2" customFormat="1" x14ac:dyDescent="0.25">
      <c r="A52" s="9" t="s">
        <v>54</v>
      </c>
      <c r="B52" s="6">
        <v>0.71255999999999997</v>
      </c>
      <c r="C52" s="6">
        <v>0.78766999999999998</v>
      </c>
      <c r="D52" s="6">
        <f t="shared" si="0"/>
        <v>7.511000000000001E-2</v>
      </c>
      <c r="E52" s="6"/>
      <c r="F52" s="6">
        <v>0.71223000000000003</v>
      </c>
      <c r="G52" s="6">
        <f t="shared" si="12"/>
        <v>7.5439999999999952E-2</v>
      </c>
      <c r="H52" s="6"/>
      <c r="I52" s="6">
        <f t="shared" si="8"/>
        <v>7.3093333333333274E-2</v>
      </c>
      <c r="J52" s="6"/>
      <c r="K52" s="6"/>
      <c r="L52" s="6"/>
      <c r="M52" s="6">
        <v>5.5480400000000003</v>
      </c>
      <c r="N52" s="6"/>
      <c r="O52" s="6"/>
    </row>
    <row r="53" spans="1:15" s="3" customFormat="1" x14ac:dyDescent="0.25">
      <c r="A53" s="8" t="s">
        <v>55</v>
      </c>
      <c r="B53" s="7">
        <v>0.71726999999999996</v>
      </c>
      <c r="C53" s="7">
        <v>0.84974000000000005</v>
      </c>
      <c r="D53" s="7">
        <f t="shared" si="0"/>
        <v>0.13247000000000009</v>
      </c>
      <c r="E53" s="7">
        <f t="shared" si="7"/>
        <v>0.1301233333333334</v>
      </c>
      <c r="F53" s="7">
        <v>0.84735000000000005</v>
      </c>
      <c r="G53" s="7">
        <f t="shared" si="12"/>
        <v>2.3900000000000032E-3</v>
      </c>
      <c r="H53" s="7"/>
      <c r="I53" s="7">
        <f t="shared" si="8"/>
        <v>4.3333333333321015E-5</v>
      </c>
      <c r="J53" s="7">
        <f t="shared" si="9"/>
        <v>0.13008000000000008</v>
      </c>
      <c r="K53" s="7"/>
      <c r="L53" s="7">
        <f t="shared" si="10"/>
        <v>3.4375000000000933E-3</v>
      </c>
      <c r="M53" s="7">
        <v>5.5597500000000002</v>
      </c>
      <c r="N53" s="7">
        <v>5.5817800000000002</v>
      </c>
      <c r="O53" s="7">
        <f>N53-K$6-M53</f>
        <v>-0.1046125</v>
      </c>
    </row>
    <row r="54" spans="1:15" s="3" customFormat="1" x14ac:dyDescent="0.25">
      <c r="A54" s="8" t="s">
        <v>56</v>
      </c>
      <c r="B54" s="7">
        <v>0.72550000000000003</v>
      </c>
      <c r="C54" s="7">
        <v>0.85614000000000001</v>
      </c>
      <c r="D54" s="7">
        <f t="shared" si="0"/>
        <v>0.13063999999999998</v>
      </c>
      <c r="E54" s="7">
        <f t="shared" si="7"/>
        <v>0.12829333333333329</v>
      </c>
      <c r="F54" s="7">
        <v>0.85385</v>
      </c>
      <c r="G54" s="7">
        <f t="shared" si="12"/>
        <v>2.2900000000000142E-3</v>
      </c>
      <c r="H54" s="7"/>
      <c r="I54" s="7">
        <f t="shared" si="8"/>
        <v>-5.6666666666667972E-5</v>
      </c>
      <c r="J54" s="7">
        <f t="shared" si="9"/>
        <v>0.12834999999999996</v>
      </c>
      <c r="K54" s="7"/>
      <c r="L54" s="7">
        <f t="shared" si="10"/>
        <v>1.7074999999999729E-3</v>
      </c>
      <c r="M54" s="7">
        <v>5.5699800000000002</v>
      </c>
      <c r="N54" s="7">
        <v>5.6081700000000003</v>
      </c>
      <c r="O54" s="7">
        <f>N54-K$6-M54</f>
        <v>-8.8452499999999823E-2</v>
      </c>
    </row>
    <row r="55" spans="1:15" s="3" customFormat="1" x14ac:dyDescent="0.25">
      <c r="A55" s="8" t="s">
        <v>57</v>
      </c>
      <c r="B55" s="7">
        <v>0.72158</v>
      </c>
      <c r="C55" s="7">
        <v>0.85045000000000004</v>
      </c>
      <c r="D55" s="7">
        <f t="shared" si="0"/>
        <v>0.12887000000000004</v>
      </c>
      <c r="E55" s="7">
        <f t="shared" si="7"/>
        <v>0.12652333333333335</v>
      </c>
      <c r="F55" s="7">
        <v>0.84823000000000004</v>
      </c>
      <c r="G55" s="7">
        <f t="shared" si="12"/>
        <v>2.2199999999999998E-3</v>
      </c>
      <c r="H55" s="7"/>
      <c r="I55" s="7">
        <f t="shared" si="8"/>
        <v>-1.2666666666668247E-4</v>
      </c>
      <c r="J55" s="7">
        <f t="shared" si="9"/>
        <v>0.12665000000000004</v>
      </c>
      <c r="K55" s="7"/>
      <c r="L55" s="7">
        <f t="shared" si="10"/>
        <v>7.500000000049134E-6</v>
      </c>
      <c r="M55" s="7">
        <v>5.5213200000000002</v>
      </c>
      <c r="N55" s="7">
        <v>5.5554199999999998</v>
      </c>
      <c r="O55" s="7">
        <f>N55-K$6-M55</f>
        <v>-9.2542500000000416E-2</v>
      </c>
    </row>
    <row r="56" spans="1:15" s="3" customFormat="1" x14ac:dyDescent="0.25">
      <c r="A56" s="8" t="s">
        <v>58</v>
      </c>
      <c r="B56" s="7">
        <v>0.72436</v>
      </c>
      <c r="C56" s="7">
        <v>0.85451999999999995</v>
      </c>
      <c r="D56" s="7">
        <f t="shared" si="0"/>
        <v>0.13015999999999994</v>
      </c>
      <c r="E56" s="7">
        <f t="shared" si="7"/>
        <v>0.12781333333333325</v>
      </c>
      <c r="F56" s="7">
        <v>0.85197999999999996</v>
      </c>
      <c r="G56" s="7">
        <f t="shared" si="12"/>
        <v>2.5399999999999867E-3</v>
      </c>
      <c r="H56" s="7"/>
      <c r="I56" s="7">
        <f t="shared" si="8"/>
        <v>1.9333333333330449E-4</v>
      </c>
      <c r="J56" s="7">
        <f t="shared" si="9"/>
        <v>0.12761999999999996</v>
      </c>
      <c r="K56" s="7"/>
      <c r="L56" s="7">
        <f t="shared" si="10"/>
        <v>9.7749999999996451E-4</v>
      </c>
      <c r="M56" s="7">
        <v>5.5885499999999997</v>
      </c>
      <c r="N56" s="7">
        <v>5.5822000000000003</v>
      </c>
      <c r="O56" s="7">
        <f>N56-K$6-M56</f>
        <v>-0.1329924999999994</v>
      </c>
    </row>
    <row r="57" spans="1:15" x14ac:dyDescent="0.25">
      <c r="A57" s="1"/>
    </row>
    <row r="61" spans="1:15" x14ac:dyDescent="0.25">
      <c r="A61" t="s">
        <v>59</v>
      </c>
      <c r="C61">
        <f>AVERAGE(G33,G37)</f>
        <v>9.2450000000000032E-3</v>
      </c>
      <c r="D61">
        <f>D41-G41</f>
        <v>0.13564499999999996</v>
      </c>
    </row>
    <row r="62" spans="1:15" x14ac:dyDescent="0.25">
      <c r="D62">
        <f>D61+B41</f>
        <v>0.84643500000000005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Watts</dc:creator>
  <cp:lastModifiedBy>Rachel Watts</cp:lastModifiedBy>
  <dcterms:created xsi:type="dcterms:W3CDTF">2022-04-15T18:42:46Z</dcterms:created>
  <dcterms:modified xsi:type="dcterms:W3CDTF">2022-05-24T05:26:06Z</dcterms:modified>
</cp:coreProperties>
</file>