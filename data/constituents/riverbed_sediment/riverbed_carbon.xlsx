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hysteresis\data\constituents\riverbed_sediment\"/>
    </mc:Choice>
  </mc:AlternateContent>
  <xr:revisionPtr revIDLastSave="0" documentId="13_ncr:1_{5EE122CA-ACA1-44C4-8370-FA06ADB83AE2}" xr6:coauthVersionLast="47" xr6:coauthVersionMax="47" xr10:uidLastSave="{00000000-0000-0000-0000-000000000000}"/>
  <bookViews>
    <workbookView xWindow="-25320" yWindow="360" windowWidth="25440" windowHeight="15270" xr2:uid="{779BFC08-AE2E-4791-9B29-54A811EA9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8" i="1" l="1"/>
  <c r="V18" i="1"/>
  <c r="W18" i="1"/>
  <c r="U19" i="1"/>
  <c r="V19" i="1"/>
  <c r="W19" i="1"/>
  <c r="U20" i="1"/>
  <c r="V20" i="1"/>
  <c r="W20" i="1"/>
  <c r="V17" i="1"/>
  <c r="W17" i="1"/>
  <c r="U17" i="1"/>
  <c r="V7" i="1"/>
  <c r="W7" i="1"/>
  <c r="U7" i="1"/>
  <c r="V6" i="1"/>
  <c r="W6" i="1"/>
  <c r="U6" i="1"/>
  <c r="V5" i="1"/>
  <c r="W5" i="1"/>
  <c r="U5" i="1"/>
  <c r="V4" i="1"/>
  <c r="W4" i="1"/>
  <c r="U4" i="1"/>
  <c r="V3" i="1"/>
  <c r="W3" i="1"/>
  <c r="U3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N12" i="1"/>
  <c r="O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P4" i="1"/>
  <c r="P3" i="1"/>
  <c r="O5" i="1"/>
  <c r="N5" i="1"/>
  <c r="O4" i="1"/>
  <c r="N4" i="1"/>
  <c r="O3" i="1"/>
  <c r="N3" i="1"/>
  <c r="K70" i="1"/>
  <c r="K69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<sst xmlns="http://schemas.openxmlformats.org/spreadsheetml/2006/main" count="127" uniqueCount="97">
  <si>
    <t>Name</t>
  </si>
  <si>
    <t>Weight (mg)</t>
  </si>
  <si>
    <t>d13C</t>
  </si>
  <si>
    <t>d15N</t>
  </si>
  <si>
    <t>mg C</t>
  </si>
  <si>
    <t>% C</t>
  </si>
  <si>
    <t>mg N</t>
  </si>
  <si>
    <t>% N'</t>
  </si>
  <si>
    <t>C/N</t>
  </si>
  <si>
    <t>date</t>
  </si>
  <si>
    <t>mgC/mg</t>
  </si>
  <si>
    <t>U-07-16-21</t>
  </si>
  <si>
    <t>L-07-16-21</t>
  </si>
  <si>
    <t>L-07-16-21(2)</t>
  </si>
  <si>
    <t>UT-07-29-21</t>
  </si>
  <si>
    <t>UM-07-29-21</t>
  </si>
  <si>
    <t>UB-07-29-21</t>
  </si>
  <si>
    <t>LM-07-29-21</t>
  </si>
  <si>
    <t>LB-07-29-21</t>
  </si>
  <si>
    <t>UT-08-05-21</t>
  </si>
  <si>
    <t>UM-08-05-21</t>
  </si>
  <si>
    <t>UB-08-05-21</t>
  </si>
  <si>
    <t>LT-08-05-21</t>
  </si>
  <si>
    <t>LM-08-05-21</t>
  </si>
  <si>
    <t>LB-08-05-21</t>
  </si>
  <si>
    <t>UT-08-13-21</t>
  </si>
  <si>
    <t>UM-08-13-21</t>
  </si>
  <si>
    <t>UB-08-13-21</t>
  </si>
  <si>
    <t>LT-08-13-21</t>
  </si>
  <si>
    <t>LM-08-13-21</t>
  </si>
  <si>
    <t>LB-08-13-21</t>
  </si>
  <si>
    <t>UM-07-12-22</t>
  </si>
  <si>
    <t>UB-07-12-22</t>
  </si>
  <si>
    <t>LM-07-12-22</t>
  </si>
  <si>
    <t>LB-07-12-22</t>
  </si>
  <si>
    <t>N/A</t>
  </si>
  <si>
    <t>UM-08-04-22</t>
  </si>
  <si>
    <t>LT-08-04-22</t>
  </si>
  <si>
    <t>LM-08-04-22</t>
  </si>
  <si>
    <t>LB-08-04-22</t>
  </si>
  <si>
    <t>UM-08-10-22</t>
  </si>
  <si>
    <t>LM-08-10-22</t>
  </si>
  <si>
    <t>LB-08-10-22</t>
  </si>
  <si>
    <t>UM-08-23-22</t>
  </si>
  <si>
    <t>LM-08-23-22</t>
  </si>
  <si>
    <t>LB-08-23-22</t>
  </si>
  <si>
    <t>LB-08-08-22(2)</t>
  </si>
  <si>
    <t>UT-03-19-23</t>
  </si>
  <si>
    <t>UB-03-19-23</t>
  </si>
  <si>
    <t>LT-03-19-23</t>
  </si>
  <si>
    <t>LM-03-19-23</t>
  </si>
  <si>
    <t>LB-03-19-23</t>
  </si>
  <si>
    <t>UT-04-29-23</t>
  </si>
  <si>
    <t>UM-04-29-23</t>
  </si>
  <si>
    <t>UB-04-29-23</t>
  </si>
  <si>
    <t>LT-04-29-23</t>
  </si>
  <si>
    <t>LM-04-29-23</t>
  </si>
  <si>
    <t>LB-04-29-23</t>
  </si>
  <si>
    <t>UT-06-23-23</t>
  </si>
  <si>
    <t>UM-06-23-23</t>
  </si>
  <si>
    <t>UB-06-23-23</t>
  </si>
  <si>
    <t>LT-06-23-23</t>
  </si>
  <si>
    <t>LM-06-23-23</t>
  </si>
  <si>
    <t>LB-06-23-23</t>
  </si>
  <si>
    <t>UT-07-13-23</t>
  </si>
  <si>
    <t>UM-07-13-23</t>
  </si>
  <si>
    <t>UB-07-13-23</t>
  </si>
  <si>
    <t>LT-07-13-23</t>
  </si>
  <si>
    <t>LM-07-13-23</t>
  </si>
  <si>
    <t>LB-07-13-23</t>
  </si>
  <si>
    <t>UT-07-27-23</t>
  </si>
  <si>
    <t>UM-07-27-23</t>
  </si>
  <si>
    <t>UB-07-27-23</t>
  </si>
  <si>
    <t>LT-07-27-23</t>
  </si>
  <si>
    <t>LM-07-27-23</t>
  </si>
  <si>
    <t>LB-07-27-23</t>
  </si>
  <si>
    <t>UT-08-08-23</t>
  </si>
  <si>
    <t>UM-08-08-23</t>
  </si>
  <si>
    <t>UB-08-08-23</t>
  </si>
  <si>
    <t>LT-08-08-23</t>
  </si>
  <si>
    <t>LM-08-08-23</t>
  </si>
  <si>
    <t xml:space="preserve">Average Carbon Concentrations </t>
  </si>
  <si>
    <t>down</t>
  </si>
  <si>
    <t>up</t>
  </si>
  <si>
    <t>total</t>
  </si>
  <si>
    <t>-</t>
  </si>
  <si>
    <t>prior to</t>
  </si>
  <si>
    <t>st1</t>
  </si>
  <si>
    <t>after st1</t>
  </si>
  <si>
    <t>st2</t>
  </si>
  <si>
    <t>st3</t>
  </si>
  <si>
    <t>after st3</t>
  </si>
  <si>
    <t>st4</t>
  </si>
  <si>
    <t>st5</t>
  </si>
  <si>
    <t>st6</t>
  </si>
  <si>
    <t>st7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</si>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</sst>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3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3" xfId="1" applyFont="1" applyFill="1" applyBorder="1" applyAlignment="1">
      <alignment horizontal="center" vertical="top"/>
    </xf>
    <xf numFmtId="2" fontId="4" fillId="3" borderId="3" xfId="1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wrapText="1"/>
    </xf>
    <xf numFmtId="164" fontId="6" fillId="3" borderId="3" xfId="0" applyNumberFormat="1" applyFont="1" applyFill="1" applyBorder="1" applyAlignment="1">
      <alignment horizontal="center" wrapText="1"/>
    </xf>
    <xf numFmtId="165" fontId="5" fillId="3" borderId="3" xfId="0" applyNumberFormat="1" applyFont="1" applyFill="1" applyBorder="1" applyAlignment="1">
      <alignment horizontal="center" vertical="top"/>
    </xf>
    <xf numFmtId="165" fontId="6" fillId="3" borderId="3" xfId="0" applyNumberFormat="1" applyFont="1" applyFill="1" applyBorder="1" applyAlignment="1">
      <alignment horizontal="center" wrapText="1"/>
    </xf>
    <xf numFmtId="165" fontId="5" fillId="3" borderId="3" xfId="0" applyNumberFormat="1" applyFont="1" applyFill="1" applyBorder="1" applyAlignment="1">
      <alignment horizontal="center" wrapText="1"/>
    </xf>
    <xf numFmtId="14" fontId="0" fillId="3" borderId="3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0" fontId="4" fillId="3" borderId="1" xfId="1" applyFont="1" applyFill="1" applyBorder="1" applyAlignment="1">
      <alignment horizontal="center" vertical="top"/>
    </xf>
    <xf numFmtId="2" fontId="4" fillId="3" borderId="1" xfId="1" applyNumberFormat="1" applyFont="1" applyFill="1" applyBorder="1" applyAlignment="1">
      <alignment horizontal="center" vertical="top"/>
    </xf>
    <xf numFmtId="2" fontId="5" fillId="3" borderId="1" xfId="0" applyNumberFormat="1" applyFont="1" applyFill="1" applyBorder="1" applyAlignment="1">
      <alignment horizontal="center" wrapText="1"/>
    </xf>
    <xf numFmtId="164" fontId="6" fillId="3" borderId="1" xfId="0" applyNumberFormat="1" applyFont="1" applyFill="1" applyBorder="1" applyAlignment="1">
      <alignment horizontal="center" wrapText="1"/>
    </xf>
    <xf numFmtId="165" fontId="5" fillId="3" borderId="1" xfId="0" applyNumberFormat="1" applyFont="1" applyFill="1" applyBorder="1" applyAlignment="1">
      <alignment horizontal="center" vertical="top"/>
    </xf>
    <xf numFmtId="165" fontId="6" fillId="3" borderId="1" xfId="0" applyNumberFormat="1" applyFont="1" applyFill="1" applyBorder="1" applyAlignment="1">
      <alignment horizontal="center" wrapText="1"/>
    </xf>
    <xf numFmtId="165" fontId="5" fillId="3" borderId="1" xfId="0" applyNumberFormat="1" applyFont="1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4" fillId="5" borderId="7" xfId="1" applyFont="1" applyFill="1" applyBorder="1" applyAlignment="1">
      <alignment horizontal="center" vertical="top"/>
    </xf>
    <xf numFmtId="2" fontId="4" fillId="5" borderId="3" xfId="1" applyNumberFormat="1" applyFont="1" applyFill="1" applyBorder="1" applyAlignment="1">
      <alignment horizontal="center" vertical="top"/>
    </xf>
    <xf numFmtId="2" fontId="5" fillId="5" borderId="3" xfId="0" applyNumberFormat="1" applyFont="1" applyFill="1" applyBorder="1" applyAlignment="1">
      <alignment horizontal="center" wrapText="1"/>
    </xf>
    <xf numFmtId="164" fontId="6" fillId="5" borderId="3" xfId="0" applyNumberFormat="1" applyFont="1" applyFill="1" applyBorder="1" applyAlignment="1">
      <alignment horizontal="center" wrapText="1"/>
    </xf>
    <xf numFmtId="165" fontId="5" fillId="5" borderId="3" xfId="0" applyNumberFormat="1" applyFont="1" applyFill="1" applyBorder="1" applyAlignment="1">
      <alignment horizontal="center" vertical="top"/>
    </xf>
    <xf numFmtId="165" fontId="6" fillId="5" borderId="3" xfId="0" applyNumberFormat="1" applyFont="1" applyFill="1" applyBorder="1" applyAlignment="1">
      <alignment horizontal="center" wrapText="1"/>
    </xf>
    <xf numFmtId="165" fontId="5" fillId="5" borderId="3" xfId="0" applyNumberFormat="1" applyFont="1" applyFill="1" applyBorder="1" applyAlignment="1">
      <alignment horizontal="center" wrapText="1"/>
    </xf>
    <xf numFmtId="14" fontId="0" fillId="5" borderId="3" xfId="0" applyNumberFormat="1" applyFill="1" applyBorder="1" applyAlignment="1">
      <alignment horizontal="center"/>
    </xf>
    <xf numFmtId="165" fontId="0" fillId="5" borderId="8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165" fontId="2" fillId="5" borderId="5" xfId="0" applyNumberFormat="1" applyFont="1" applyFill="1" applyBorder="1" applyAlignment="1">
      <alignment horizontal="center"/>
    </xf>
    <xf numFmtId="165" fontId="0" fillId="5" borderId="5" xfId="0" applyNumberFormat="1" applyFill="1" applyBorder="1" applyAlignment="1">
      <alignment horizontal="center"/>
    </xf>
    <xf numFmtId="14" fontId="0" fillId="5" borderId="5" xfId="0" applyNumberFormat="1" applyFill="1" applyBorder="1" applyAlignment="1">
      <alignment horizontal="center"/>
    </xf>
    <xf numFmtId="165" fontId="0" fillId="5" borderId="6" xfId="0" applyNumberFormat="1" applyFill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2" fontId="2" fillId="5" borderId="5" xfId="0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2" fillId="5" borderId="3" xfId="0" applyNumberFormat="1" applyFont="1" applyFill="1" applyBorder="1" applyAlignment="1">
      <alignment horizontal="center"/>
    </xf>
    <xf numFmtId="164" fontId="0" fillId="5" borderId="3" xfId="0" applyNumberFormat="1" applyFill="1" applyBorder="1" applyAlignment="1">
      <alignment horizontal="center"/>
    </xf>
    <xf numFmtId="165" fontId="2" fillId="5" borderId="3" xfId="0" applyNumberFormat="1" applyFont="1" applyFill="1" applyBorder="1" applyAlignment="1">
      <alignment horizontal="center"/>
    </xf>
    <xf numFmtId="165" fontId="0" fillId="5" borderId="3" xfId="0" applyNumberFormat="1" applyFill="1" applyBorder="1" applyAlignment="1">
      <alignment horizontal="center"/>
    </xf>
    <xf numFmtId="0" fontId="4" fillId="5" borderId="4" xfId="1" applyFont="1" applyFill="1" applyBorder="1" applyAlignment="1">
      <alignment horizontal="center" vertical="top"/>
    </xf>
    <xf numFmtId="2" fontId="4" fillId="5" borderId="5" xfId="1" applyNumberFormat="1" applyFont="1" applyFill="1" applyBorder="1" applyAlignment="1">
      <alignment horizontal="center" vertical="top"/>
    </xf>
    <xf numFmtId="2" fontId="5" fillId="5" borderId="5" xfId="0" applyNumberFormat="1" applyFont="1" applyFill="1" applyBorder="1" applyAlignment="1">
      <alignment horizontal="center" wrapText="1"/>
    </xf>
    <xf numFmtId="164" fontId="6" fillId="5" borderId="5" xfId="0" applyNumberFormat="1" applyFont="1" applyFill="1" applyBorder="1" applyAlignment="1">
      <alignment horizontal="center" wrapText="1"/>
    </xf>
    <xf numFmtId="165" fontId="5" fillId="5" borderId="5" xfId="0" applyNumberFormat="1" applyFont="1" applyFill="1" applyBorder="1" applyAlignment="1">
      <alignment horizontal="center" vertical="top"/>
    </xf>
    <xf numFmtId="165" fontId="6" fillId="5" borderId="5" xfId="0" applyNumberFormat="1" applyFont="1" applyFill="1" applyBorder="1" applyAlignment="1">
      <alignment horizontal="center" wrapText="1"/>
    </xf>
    <xf numFmtId="165" fontId="5" fillId="5" borderId="5" xfId="0" applyNumberFormat="1" applyFont="1" applyFill="1" applyBorder="1" applyAlignment="1">
      <alignment horizontal="center" wrapText="1"/>
    </xf>
    <xf numFmtId="0" fontId="4" fillId="5" borderId="9" xfId="1" applyFont="1" applyFill="1" applyBorder="1" applyAlignment="1">
      <alignment horizontal="center" vertical="top"/>
    </xf>
    <xf numFmtId="2" fontId="4" fillId="5" borderId="10" xfId="1" applyNumberFormat="1" applyFont="1" applyFill="1" applyBorder="1" applyAlignment="1">
      <alignment horizontal="center" vertical="top"/>
    </xf>
    <xf numFmtId="2" fontId="5" fillId="5" borderId="10" xfId="0" applyNumberFormat="1" applyFont="1" applyFill="1" applyBorder="1" applyAlignment="1">
      <alignment horizontal="center" wrapText="1"/>
    </xf>
    <xf numFmtId="164" fontId="6" fillId="5" borderId="10" xfId="0" applyNumberFormat="1" applyFont="1" applyFill="1" applyBorder="1" applyAlignment="1">
      <alignment horizontal="center" wrapText="1"/>
    </xf>
    <xf numFmtId="165" fontId="5" fillId="5" borderId="10" xfId="0" applyNumberFormat="1" applyFont="1" applyFill="1" applyBorder="1" applyAlignment="1">
      <alignment horizontal="center" vertical="top"/>
    </xf>
    <xf numFmtId="165" fontId="6" fillId="5" borderId="10" xfId="0" applyNumberFormat="1" applyFont="1" applyFill="1" applyBorder="1" applyAlignment="1">
      <alignment horizontal="center" wrapText="1"/>
    </xf>
    <xf numFmtId="165" fontId="5" fillId="5" borderId="10" xfId="0" applyNumberFormat="1" applyFont="1" applyFill="1" applyBorder="1" applyAlignment="1">
      <alignment horizontal="center" wrapText="1"/>
    </xf>
    <xf numFmtId="14" fontId="0" fillId="5" borderId="10" xfId="0" applyNumberFormat="1" applyFill="1" applyBorder="1" applyAlignment="1">
      <alignment horizontal="center"/>
    </xf>
    <xf numFmtId="165" fontId="0" fillId="5" borderId="11" xfId="0" applyNumberFormat="1" applyFill="1" applyBorder="1" applyAlignment="1">
      <alignment horizontal="center"/>
    </xf>
    <xf numFmtId="0" fontId="4" fillId="6" borderId="4" xfId="1" applyFont="1" applyFill="1" applyBorder="1" applyAlignment="1">
      <alignment horizontal="center" vertical="top"/>
    </xf>
    <xf numFmtId="2" fontId="4" fillId="6" borderId="5" xfId="1" applyNumberFormat="1" applyFont="1" applyFill="1" applyBorder="1" applyAlignment="1">
      <alignment horizontal="center" vertical="top"/>
    </xf>
    <xf numFmtId="2" fontId="5" fillId="6" borderId="5" xfId="0" applyNumberFormat="1" applyFont="1" applyFill="1" applyBorder="1" applyAlignment="1">
      <alignment horizontal="center" wrapText="1"/>
    </xf>
    <xf numFmtId="164" fontId="6" fillId="6" borderId="5" xfId="0" applyNumberFormat="1" applyFont="1" applyFill="1" applyBorder="1" applyAlignment="1">
      <alignment horizontal="center" wrapText="1"/>
    </xf>
    <xf numFmtId="165" fontId="5" fillId="6" borderId="5" xfId="0" applyNumberFormat="1" applyFont="1" applyFill="1" applyBorder="1" applyAlignment="1">
      <alignment horizontal="center" vertical="top"/>
    </xf>
    <xf numFmtId="165" fontId="6" fillId="6" borderId="5" xfId="0" applyNumberFormat="1" applyFont="1" applyFill="1" applyBorder="1" applyAlignment="1">
      <alignment horizontal="center" wrapText="1"/>
    </xf>
    <xf numFmtId="165" fontId="5" fillId="6" borderId="5" xfId="0" applyNumberFormat="1" applyFont="1" applyFill="1" applyBorder="1" applyAlignment="1">
      <alignment horizontal="center" wrapText="1"/>
    </xf>
    <xf numFmtId="14" fontId="0" fillId="6" borderId="5" xfId="0" applyNumberFormat="1" applyFill="1" applyBorder="1" applyAlignment="1">
      <alignment horizontal="center"/>
    </xf>
    <xf numFmtId="165" fontId="0" fillId="6" borderId="6" xfId="0" applyNumberFormat="1" applyFill="1" applyBorder="1" applyAlignment="1">
      <alignment horizontal="center"/>
    </xf>
    <xf numFmtId="0" fontId="4" fillId="6" borderId="7" xfId="1" applyFont="1" applyFill="1" applyBorder="1" applyAlignment="1">
      <alignment horizontal="center" vertical="top"/>
    </xf>
    <xf numFmtId="2" fontId="4" fillId="6" borderId="3" xfId="1" applyNumberFormat="1" applyFont="1" applyFill="1" applyBorder="1" applyAlignment="1">
      <alignment horizontal="center" vertical="top"/>
    </xf>
    <xf numFmtId="2" fontId="5" fillId="6" borderId="3" xfId="0" applyNumberFormat="1" applyFont="1" applyFill="1" applyBorder="1" applyAlignment="1">
      <alignment horizontal="center" wrapText="1"/>
    </xf>
    <xf numFmtId="164" fontId="6" fillId="6" borderId="3" xfId="0" applyNumberFormat="1" applyFont="1" applyFill="1" applyBorder="1" applyAlignment="1">
      <alignment horizontal="center" wrapText="1"/>
    </xf>
    <xf numFmtId="165" fontId="5" fillId="6" borderId="3" xfId="0" applyNumberFormat="1" applyFont="1" applyFill="1" applyBorder="1" applyAlignment="1">
      <alignment horizontal="center" vertical="top"/>
    </xf>
    <xf numFmtId="165" fontId="6" fillId="6" borderId="3" xfId="0" applyNumberFormat="1" applyFont="1" applyFill="1" applyBorder="1" applyAlignment="1">
      <alignment horizontal="center" wrapText="1"/>
    </xf>
    <xf numFmtId="165" fontId="5" fillId="6" borderId="3" xfId="0" applyNumberFormat="1" applyFont="1" applyFill="1" applyBorder="1" applyAlignment="1">
      <alignment horizontal="center" wrapText="1"/>
    </xf>
    <xf numFmtId="14" fontId="0" fillId="6" borderId="3" xfId="0" applyNumberFormat="1" applyFill="1" applyBorder="1" applyAlignment="1">
      <alignment horizontal="center"/>
    </xf>
    <xf numFmtId="165" fontId="0" fillId="6" borderId="8" xfId="0" applyNumberFormat="1" applyFill="1" applyBorder="1" applyAlignment="1">
      <alignment horizontal="center"/>
    </xf>
    <xf numFmtId="0" fontId="4" fillId="6" borderId="9" xfId="1" applyFont="1" applyFill="1" applyBorder="1" applyAlignment="1">
      <alignment horizontal="center" vertical="top"/>
    </xf>
    <xf numFmtId="2" fontId="4" fillId="6" borderId="10" xfId="1" applyNumberFormat="1" applyFont="1" applyFill="1" applyBorder="1" applyAlignment="1">
      <alignment horizontal="center" vertical="top"/>
    </xf>
    <xf numFmtId="2" fontId="5" fillId="6" borderId="10" xfId="0" applyNumberFormat="1" applyFont="1" applyFill="1" applyBorder="1" applyAlignment="1">
      <alignment horizontal="center" wrapText="1"/>
    </xf>
    <xf numFmtId="164" fontId="6" fillId="6" borderId="10" xfId="0" applyNumberFormat="1" applyFont="1" applyFill="1" applyBorder="1" applyAlignment="1">
      <alignment horizontal="center" wrapText="1"/>
    </xf>
    <xf numFmtId="165" fontId="5" fillId="6" borderId="10" xfId="0" applyNumberFormat="1" applyFont="1" applyFill="1" applyBorder="1" applyAlignment="1">
      <alignment horizontal="center" vertical="top"/>
    </xf>
    <xf numFmtId="165" fontId="6" fillId="6" borderId="10" xfId="0" applyNumberFormat="1" applyFont="1" applyFill="1" applyBorder="1" applyAlignment="1">
      <alignment horizontal="center" wrapText="1"/>
    </xf>
    <xf numFmtId="165" fontId="5" fillId="6" borderId="10" xfId="0" applyNumberFormat="1" applyFont="1" applyFill="1" applyBorder="1" applyAlignment="1">
      <alignment horizontal="center" wrapText="1"/>
    </xf>
    <xf numFmtId="14" fontId="0" fillId="6" borderId="10" xfId="0" applyNumberFormat="1" applyFill="1" applyBorder="1" applyAlignment="1">
      <alignment horizontal="center"/>
    </xf>
    <xf numFmtId="165" fontId="0" fillId="6" borderId="11" xfId="0" applyNumberFormat="1" applyFill="1" applyBorder="1" applyAlignment="1">
      <alignment horizontal="center"/>
    </xf>
    <xf numFmtId="0" fontId="4" fillId="7" borderId="4" xfId="1" applyFont="1" applyFill="1" applyBorder="1" applyAlignment="1">
      <alignment horizontal="center" vertical="top"/>
    </xf>
    <xf numFmtId="2" fontId="4" fillId="7" borderId="5" xfId="1" applyNumberFormat="1" applyFont="1" applyFill="1" applyBorder="1" applyAlignment="1">
      <alignment horizontal="center" vertical="top"/>
    </xf>
    <xf numFmtId="2" fontId="5" fillId="7" borderId="5" xfId="0" applyNumberFormat="1" applyFont="1" applyFill="1" applyBorder="1" applyAlignment="1">
      <alignment horizontal="center" wrapText="1"/>
    </xf>
    <xf numFmtId="164" fontId="6" fillId="7" borderId="5" xfId="0" applyNumberFormat="1" applyFont="1" applyFill="1" applyBorder="1" applyAlignment="1">
      <alignment horizontal="center" wrapText="1"/>
    </xf>
    <xf numFmtId="165" fontId="5" fillId="7" borderId="5" xfId="0" applyNumberFormat="1" applyFont="1" applyFill="1" applyBorder="1" applyAlignment="1">
      <alignment horizontal="center" vertical="top"/>
    </xf>
    <xf numFmtId="165" fontId="6" fillId="7" borderId="5" xfId="0" applyNumberFormat="1" applyFont="1" applyFill="1" applyBorder="1" applyAlignment="1">
      <alignment horizontal="center" wrapText="1"/>
    </xf>
    <xf numFmtId="165" fontId="5" fillId="7" borderId="5" xfId="0" applyNumberFormat="1" applyFont="1" applyFill="1" applyBorder="1" applyAlignment="1">
      <alignment horizontal="center" wrapText="1"/>
    </xf>
    <xf numFmtId="14" fontId="0" fillId="7" borderId="5" xfId="0" applyNumberFormat="1" applyFill="1" applyBorder="1" applyAlignment="1">
      <alignment horizontal="center"/>
    </xf>
    <xf numFmtId="165" fontId="0" fillId="7" borderId="6" xfId="0" applyNumberFormat="1" applyFill="1" applyBorder="1" applyAlignment="1">
      <alignment horizontal="center"/>
    </xf>
    <xf numFmtId="0" fontId="4" fillId="7" borderId="7" xfId="1" applyFont="1" applyFill="1" applyBorder="1" applyAlignment="1">
      <alignment horizontal="center" vertical="top"/>
    </xf>
    <xf numFmtId="2" fontId="4" fillId="7" borderId="3" xfId="1" applyNumberFormat="1" applyFont="1" applyFill="1" applyBorder="1" applyAlignment="1">
      <alignment horizontal="center" vertical="top"/>
    </xf>
    <xf numFmtId="2" fontId="5" fillId="7" borderId="3" xfId="0" applyNumberFormat="1" applyFont="1" applyFill="1" applyBorder="1" applyAlignment="1">
      <alignment horizontal="center" wrapText="1"/>
    </xf>
    <xf numFmtId="164" fontId="6" fillId="7" borderId="3" xfId="0" applyNumberFormat="1" applyFont="1" applyFill="1" applyBorder="1" applyAlignment="1">
      <alignment horizontal="center" wrapText="1"/>
    </xf>
    <xf numFmtId="165" fontId="5" fillId="7" borderId="3" xfId="0" applyNumberFormat="1" applyFont="1" applyFill="1" applyBorder="1" applyAlignment="1">
      <alignment horizontal="center" vertical="top"/>
    </xf>
    <xf numFmtId="165" fontId="6" fillId="7" borderId="3" xfId="0" applyNumberFormat="1" applyFont="1" applyFill="1" applyBorder="1" applyAlignment="1">
      <alignment horizontal="center" wrapText="1"/>
    </xf>
    <xf numFmtId="165" fontId="5" fillId="7" borderId="3" xfId="0" applyNumberFormat="1" applyFont="1" applyFill="1" applyBorder="1" applyAlignment="1">
      <alignment horizontal="center" wrapText="1"/>
    </xf>
    <xf numFmtId="14" fontId="0" fillId="7" borderId="3" xfId="0" applyNumberFormat="1" applyFill="1" applyBorder="1" applyAlignment="1">
      <alignment horizontal="center"/>
    </xf>
    <xf numFmtId="165" fontId="0" fillId="7" borderId="8" xfId="0" applyNumberFormat="1" applyFill="1" applyBorder="1" applyAlignment="1">
      <alignment horizontal="center"/>
    </xf>
    <xf numFmtId="0" fontId="4" fillId="7" borderId="9" xfId="1" applyFont="1" applyFill="1" applyBorder="1" applyAlignment="1">
      <alignment horizontal="center" vertical="top"/>
    </xf>
    <xf numFmtId="2" fontId="4" fillId="7" borderId="10" xfId="1" applyNumberFormat="1" applyFont="1" applyFill="1" applyBorder="1" applyAlignment="1">
      <alignment horizontal="center" vertical="top"/>
    </xf>
    <xf numFmtId="2" fontId="5" fillId="7" borderId="10" xfId="0" applyNumberFormat="1" applyFont="1" applyFill="1" applyBorder="1" applyAlignment="1">
      <alignment horizontal="center" wrapText="1"/>
    </xf>
    <xf numFmtId="164" fontId="6" fillId="7" borderId="10" xfId="0" applyNumberFormat="1" applyFont="1" applyFill="1" applyBorder="1" applyAlignment="1">
      <alignment horizontal="center" wrapText="1"/>
    </xf>
    <xf numFmtId="165" fontId="5" fillId="7" borderId="10" xfId="0" applyNumberFormat="1" applyFont="1" applyFill="1" applyBorder="1" applyAlignment="1">
      <alignment horizontal="center" vertical="top"/>
    </xf>
    <xf numFmtId="165" fontId="6" fillId="7" borderId="10" xfId="0" applyNumberFormat="1" applyFont="1" applyFill="1" applyBorder="1" applyAlignment="1">
      <alignment horizontal="center" wrapText="1"/>
    </xf>
    <xf numFmtId="165" fontId="5" fillId="7" borderId="10" xfId="0" applyNumberFormat="1" applyFont="1" applyFill="1" applyBorder="1" applyAlignment="1">
      <alignment horizontal="center" wrapText="1"/>
    </xf>
    <xf numFmtId="14" fontId="0" fillId="7" borderId="10" xfId="0" applyNumberFormat="1" applyFill="1" applyBorder="1" applyAlignment="1">
      <alignment horizontal="center"/>
    </xf>
    <xf numFmtId="165" fontId="0" fillId="7" borderId="11" xfId="0" applyNumberForma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164" fontId="0" fillId="8" borderId="5" xfId="0" applyNumberFormat="1" applyFill="1" applyBorder="1" applyAlignment="1">
      <alignment horizontal="center"/>
    </xf>
    <xf numFmtId="165" fontId="2" fillId="8" borderId="5" xfId="0" applyNumberFormat="1" applyFont="1" applyFill="1" applyBorder="1" applyAlignment="1">
      <alignment horizontal="center"/>
    </xf>
    <xf numFmtId="165" fontId="0" fillId="8" borderId="5" xfId="0" applyNumberFormat="1" applyFill="1" applyBorder="1" applyAlignment="1">
      <alignment horizontal="center"/>
    </xf>
    <xf numFmtId="14" fontId="0" fillId="8" borderId="5" xfId="0" applyNumberFormat="1" applyFill="1" applyBorder="1" applyAlignment="1">
      <alignment horizontal="center"/>
    </xf>
    <xf numFmtId="165" fontId="0" fillId="8" borderId="6" xfId="0" applyNumberForma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2" fontId="2" fillId="8" borderId="3" xfId="0" applyNumberFormat="1" applyFont="1" applyFill="1" applyBorder="1" applyAlignment="1">
      <alignment horizontal="center"/>
    </xf>
    <xf numFmtId="164" fontId="0" fillId="8" borderId="3" xfId="0" applyNumberFormat="1" applyFill="1" applyBorder="1" applyAlignment="1">
      <alignment horizontal="center"/>
    </xf>
    <xf numFmtId="165" fontId="2" fillId="8" borderId="3" xfId="0" applyNumberFormat="1" applyFont="1" applyFill="1" applyBorder="1" applyAlignment="1">
      <alignment horizontal="center"/>
    </xf>
    <xf numFmtId="165" fontId="0" fillId="8" borderId="3" xfId="0" applyNumberFormat="1" applyFill="1" applyBorder="1" applyAlignment="1">
      <alignment horizontal="center"/>
    </xf>
    <xf numFmtId="14" fontId="0" fillId="8" borderId="3" xfId="0" applyNumberFormat="1" applyFill="1" applyBorder="1" applyAlignment="1">
      <alignment horizontal="center"/>
    </xf>
    <xf numFmtId="165" fontId="0" fillId="8" borderId="8" xfId="0" applyNumberForma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164" fontId="0" fillId="8" borderId="10" xfId="0" applyNumberFormat="1" applyFill="1" applyBorder="1" applyAlignment="1">
      <alignment horizontal="center"/>
    </xf>
    <xf numFmtId="165" fontId="2" fillId="8" borderId="10" xfId="0" applyNumberFormat="1" applyFont="1" applyFill="1" applyBorder="1" applyAlignment="1">
      <alignment horizontal="center"/>
    </xf>
    <xf numFmtId="165" fontId="0" fillId="8" borderId="10" xfId="0" applyNumberFormat="1" applyFill="1" applyBorder="1" applyAlignment="1">
      <alignment horizontal="center"/>
    </xf>
    <xf numFmtId="14" fontId="0" fillId="8" borderId="10" xfId="0" applyNumberFormat="1" applyFill="1" applyBorder="1" applyAlignment="1">
      <alignment horizontal="center"/>
    </xf>
    <xf numFmtId="165" fontId="0" fillId="8" borderId="11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2" fillId="3" borderId="5" xfId="0" applyNumberFormat="1" applyFon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2" fillId="3" borderId="10" xfId="0" applyNumberFormat="1" applyFon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5" fontId="2" fillId="3" borderId="10" xfId="0" applyNumberFormat="1" applyFont="1" applyFill="1" applyBorder="1" applyAlignment="1">
      <alignment horizontal="center"/>
    </xf>
    <xf numFmtId="165" fontId="0" fillId="3" borderId="10" xfId="0" applyNumberFormat="1" applyFill="1" applyBorder="1" applyAlignment="1">
      <alignment horizontal="center"/>
    </xf>
    <xf numFmtId="14" fontId="0" fillId="3" borderId="10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165" fontId="2" fillId="5" borderId="10" xfId="0" applyNumberFormat="1" applyFont="1" applyFill="1" applyBorder="1" applyAlignment="1">
      <alignment horizontal="center"/>
    </xf>
    <xf numFmtId="165" fontId="0" fillId="5" borderId="10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2" fontId="0" fillId="6" borderId="5" xfId="0" applyNumberFormat="1" applyFill="1" applyBorder="1" applyAlignment="1">
      <alignment horizontal="center"/>
    </xf>
    <xf numFmtId="2" fontId="2" fillId="6" borderId="5" xfId="0" applyNumberFormat="1" applyFont="1" applyFill="1" applyBorder="1" applyAlignment="1">
      <alignment horizontal="center"/>
    </xf>
    <xf numFmtId="164" fontId="0" fillId="6" borderId="5" xfId="0" applyNumberFormat="1" applyFill="1" applyBorder="1" applyAlignment="1">
      <alignment horizontal="center"/>
    </xf>
    <xf numFmtId="165" fontId="2" fillId="6" borderId="5" xfId="0" applyNumberFormat="1" applyFont="1" applyFill="1" applyBorder="1" applyAlignment="1">
      <alignment horizontal="center"/>
    </xf>
    <xf numFmtId="165" fontId="0" fillId="6" borderId="5" xfId="0" applyNumberForma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164" fontId="0" fillId="6" borderId="3" xfId="0" applyNumberFormat="1" applyFill="1" applyBorder="1" applyAlignment="1">
      <alignment horizontal="center"/>
    </xf>
    <xf numFmtId="165" fontId="2" fillId="6" borderId="3" xfId="0" applyNumberFormat="1" applyFont="1" applyFill="1" applyBorder="1" applyAlignment="1">
      <alignment horizontal="center"/>
    </xf>
    <xf numFmtId="165" fontId="0" fillId="6" borderId="3" xfId="0" applyNumberForma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164" fontId="0" fillId="6" borderId="10" xfId="0" applyNumberFormat="1" applyFill="1" applyBorder="1" applyAlignment="1">
      <alignment horizontal="center"/>
    </xf>
    <xf numFmtId="165" fontId="2" fillId="6" borderId="10" xfId="0" applyNumberFormat="1" applyFont="1" applyFill="1" applyBorder="1" applyAlignment="1">
      <alignment horizontal="center"/>
    </xf>
    <xf numFmtId="165" fontId="0" fillId="6" borderId="10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2" fontId="0" fillId="7" borderId="5" xfId="0" applyNumberFormat="1" applyFill="1" applyBorder="1" applyAlignment="1">
      <alignment horizontal="center"/>
    </xf>
    <xf numFmtId="2" fontId="2" fillId="7" borderId="5" xfId="0" applyNumberFormat="1" applyFont="1" applyFill="1" applyBorder="1" applyAlignment="1">
      <alignment horizontal="center"/>
    </xf>
    <xf numFmtId="164" fontId="0" fillId="7" borderId="5" xfId="0" applyNumberFormat="1" applyFill="1" applyBorder="1" applyAlignment="1">
      <alignment horizontal="center"/>
    </xf>
    <xf numFmtId="165" fontId="2" fillId="7" borderId="5" xfId="0" applyNumberFormat="1" applyFont="1" applyFill="1" applyBorder="1" applyAlignment="1">
      <alignment horizontal="center"/>
    </xf>
    <xf numFmtId="165" fontId="0" fillId="7" borderId="5" xfId="0" applyNumberForma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2" fontId="0" fillId="7" borderId="3" xfId="0" applyNumberFormat="1" applyFill="1" applyBorder="1" applyAlignment="1">
      <alignment horizontal="center"/>
    </xf>
    <xf numFmtId="2" fontId="2" fillId="7" borderId="3" xfId="0" applyNumberFormat="1" applyFont="1" applyFill="1" applyBorder="1" applyAlignment="1">
      <alignment horizontal="center"/>
    </xf>
    <xf numFmtId="164" fontId="0" fillId="7" borderId="3" xfId="0" applyNumberFormat="1" applyFill="1" applyBorder="1" applyAlignment="1">
      <alignment horizontal="center"/>
    </xf>
    <xf numFmtId="165" fontId="2" fillId="7" borderId="3" xfId="0" applyNumberFormat="1" applyFont="1" applyFill="1" applyBorder="1" applyAlignment="1">
      <alignment horizontal="center"/>
    </xf>
    <xf numFmtId="165" fontId="0" fillId="7" borderId="3" xfId="0" applyNumberForma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2" fontId="0" fillId="7" borderId="10" xfId="0" applyNumberFormat="1" applyFill="1" applyBorder="1" applyAlignment="1">
      <alignment horizontal="center"/>
    </xf>
    <xf numFmtId="2" fontId="2" fillId="7" borderId="10" xfId="0" applyNumberFormat="1" applyFont="1" applyFill="1" applyBorder="1" applyAlignment="1">
      <alignment horizontal="center"/>
    </xf>
    <xf numFmtId="164" fontId="0" fillId="7" borderId="10" xfId="0" applyNumberFormat="1" applyFill="1" applyBorder="1" applyAlignment="1">
      <alignment horizontal="center"/>
    </xf>
    <xf numFmtId="165" fontId="2" fillId="7" borderId="10" xfId="0" applyNumberFormat="1" applyFont="1" applyFill="1" applyBorder="1" applyAlignment="1">
      <alignment horizontal="center"/>
    </xf>
    <xf numFmtId="165" fontId="0" fillId="7" borderId="10" xfId="0" applyNumberFormat="1" applyFill="1" applyBorder="1" applyAlignment="1">
      <alignment horizontal="center"/>
    </xf>
    <xf numFmtId="2" fontId="0" fillId="8" borderId="5" xfId="0" applyNumberFormat="1" applyFill="1" applyBorder="1" applyAlignment="1">
      <alignment horizontal="center"/>
    </xf>
    <xf numFmtId="2" fontId="2" fillId="8" borderId="5" xfId="0" applyNumberFormat="1" applyFont="1" applyFill="1" applyBorder="1" applyAlignment="1">
      <alignment horizontal="center"/>
    </xf>
    <xf numFmtId="2" fontId="0" fillId="8" borderId="10" xfId="0" applyNumberFormat="1" applyFill="1" applyBorder="1" applyAlignment="1">
      <alignment horizontal="center"/>
    </xf>
    <xf numFmtId="2" fontId="2" fillId="8" borderId="10" xfId="0" applyNumberFormat="1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5" borderId="10" xfId="0" applyNumberFormat="1" applyFill="1" applyBorder="1" applyAlignment="1">
      <alignment horizontal="center"/>
    </xf>
    <xf numFmtId="2" fontId="2" fillId="5" borderId="10" xfId="0" applyNumberFormat="1" applyFont="1" applyFill="1" applyBorder="1" applyAlignment="1">
      <alignment horizontal="center"/>
    </xf>
    <xf numFmtId="2" fontId="0" fillId="6" borderId="3" xfId="0" applyNumberFormat="1" applyFill="1" applyBorder="1" applyAlignment="1">
      <alignment horizontal="center"/>
    </xf>
    <xf numFmtId="2" fontId="2" fillId="6" borderId="3" xfId="0" applyNumberFormat="1" applyFont="1" applyFill="1" applyBorder="1" applyAlignment="1">
      <alignment horizontal="center"/>
    </xf>
    <xf numFmtId="2" fontId="0" fillId="6" borderId="10" xfId="0" applyNumberFormat="1" applyFill="1" applyBorder="1" applyAlignment="1">
      <alignment horizontal="center"/>
    </xf>
    <xf numFmtId="2" fontId="2" fillId="6" borderId="10" xfId="0" applyNumberFormat="1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165" fontId="0" fillId="0" borderId="0" xfId="0" applyNumberFormat="1"/>
    <xf numFmtId="14" fontId="0" fillId="4" borderId="0" xfId="0" applyNumberFormat="1" applyFill="1"/>
    <xf numFmtId="165" fontId="0" fillId="4" borderId="0" xfId="0" applyNumberFormat="1" applyFill="1"/>
    <xf numFmtId="14" fontId="0" fillId="8" borderId="0" xfId="0" applyNumberFormat="1" applyFill="1"/>
    <xf numFmtId="165" fontId="0" fillId="8" borderId="0" xfId="0" applyNumberFormat="1" applyFill="1"/>
    <xf numFmtId="14" fontId="0" fillId="6" borderId="0" xfId="0" applyNumberFormat="1" applyFill="1"/>
    <xf numFmtId="165" fontId="0" fillId="6" borderId="0" xfId="0" applyNumberFormat="1" applyFill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Normal" xfId="0" builtinId="0"/>
    <cellStyle name="Normal 2" xfId="1" xr:uid="{61EE343E-4B5F-4CE4-A7C5-90D07F8D2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EB93-3411-408A-BDD0-A6885AF00419}">
  <dimension ref="A1:W70"/>
  <sheetViews>
    <sheetView tabSelected="1" workbookViewId="0">
      <selection activeCell="U9" sqref="U9"/>
    </sheetView>
  </sheetViews>
  <sheetFormatPr defaultRowHeight="15" x14ac:dyDescent="0.25"/>
  <cols>
    <col min="1" max="1" width="15.7109375" customWidth="1"/>
    <col min="9" max="9" width="11.7109375" customWidth="1"/>
    <col min="13" max="13" width="9.42578125" bestFit="1" customWidth="1"/>
    <col min="21" max="23" width="9.5703125" bestFit="1" customWidth="1"/>
  </cols>
  <sheetData>
    <row r="1" spans="1:2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M1" t="s">
        <v>81</v>
      </c>
    </row>
    <row r="2" spans="1:23" x14ac:dyDescent="0.25">
      <c r="A2" s="3" t="s">
        <v>11</v>
      </c>
      <c r="B2" s="4">
        <v>2.1619999999999999</v>
      </c>
      <c r="C2" s="5">
        <v>-25.404434319494825</v>
      </c>
      <c r="D2" s="5">
        <v>4.0107312182553265</v>
      </c>
      <c r="E2" s="6">
        <v>7.1886523178250006E-2</v>
      </c>
      <c r="F2" s="7">
        <v>3.3250010720744685</v>
      </c>
      <c r="G2" s="8">
        <v>-1.6748118379999993E-3</v>
      </c>
      <c r="H2" s="7">
        <v>-7.7465857446808478E-2</v>
      </c>
      <c r="I2" s="9">
        <v>-42.922148952621647</v>
      </c>
      <c r="J2" s="10">
        <v>44393</v>
      </c>
      <c r="K2" s="11">
        <f>E2/B2</f>
        <v>3.3250010720744683E-2</v>
      </c>
      <c r="N2" t="s">
        <v>82</v>
      </c>
      <c r="O2" t="s">
        <v>83</v>
      </c>
      <c r="P2" t="s">
        <v>84</v>
      </c>
      <c r="Q2" s="229" t="s">
        <v>86</v>
      </c>
      <c r="R2" s="229"/>
      <c r="U2" t="s">
        <v>82</v>
      </c>
      <c r="V2" t="s">
        <v>83</v>
      </c>
      <c r="W2" t="s">
        <v>84</v>
      </c>
    </row>
    <row r="3" spans="1:23" x14ac:dyDescent="0.25">
      <c r="A3" s="3" t="s">
        <v>12</v>
      </c>
      <c r="B3" s="4">
        <v>1.964</v>
      </c>
      <c r="C3" s="5">
        <v>-25.369872456968029</v>
      </c>
      <c r="D3" s="5">
        <v>-7.9559332997939869</v>
      </c>
      <c r="E3" s="6">
        <v>4.0008792681000001E-2</v>
      </c>
      <c r="F3" s="7">
        <v>2.0371075703156825</v>
      </c>
      <c r="G3" s="8">
        <v>2.0365360664687509E-3</v>
      </c>
      <c r="H3" s="7">
        <v>0.10369328240675921</v>
      </c>
      <c r="I3" s="9">
        <v>19.6455114838075</v>
      </c>
      <c r="J3" s="10">
        <v>44393</v>
      </c>
      <c r="K3" s="11">
        <f t="shared" ref="K3:K66" si="0">E3/B3</f>
        <v>2.0371075703156823E-2</v>
      </c>
      <c r="M3" s="223">
        <v>44393</v>
      </c>
      <c r="N3" s="224">
        <f>AVERAGE(K3:K4)</f>
        <v>2.0232206120763804E-2</v>
      </c>
      <c r="O3" s="224">
        <f>K2</f>
        <v>3.3250010720744683E-2</v>
      </c>
      <c r="P3" s="224">
        <f>AVERAGE(K2:K4)</f>
        <v>2.457147432075743E-2</v>
      </c>
      <c r="Q3" s="229" t="s">
        <v>87</v>
      </c>
      <c r="R3" s="229"/>
      <c r="T3" t="s">
        <v>87</v>
      </c>
      <c r="U3" s="222">
        <f>AVERAGE(N3:N4)</f>
        <v>2.3816307765831504E-2</v>
      </c>
      <c r="V3" s="222">
        <f t="shared" ref="V3:W3" si="1">AVERAGE(O3:O4)</f>
        <v>2.8012649441848607E-2</v>
      </c>
      <c r="W3" s="222">
        <f t="shared" si="1"/>
        <v>2.4598405491444316E-2</v>
      </c>
    </row>
    <row r="4" spans="1:23" ht="15.75" thickBot="1" x14ac:dyDescent="0.3">
      <c r="A4" s="12" t="s">
        <v>13</v>
      </c>
      <c r="B4" s="13">
        <v>2.2250000000000001</v>
      </c>
      <c r="C4" s="14">
        <v>-25.296563717983677</v>
      </c>
      <c r="D4" s="14">
        <v>-3.0630054102027282</v>
      </c>
      <c r="E4" s="15">
        <v>4.4707673797874999E-2</v>
      </c>
      <c r="F4" s="16">
        <v>2.0093336538370785</v>
      </c>
      <c r="G4" s="17">
        <v>-4.1816886473281245E-3</v>
      </c>
      <c r="H4" s="16">
        <v>-0.18794106280126402</v>
      </c>
      <c r="I4" s="18">
        <v>-10.691296643149368</v>
      </c>
      <c r="J4" s="19">
        <v>44393</v>
      </c>
      <c r="K4" s="20">
        <f t="shared" si="0"/>
        <v>2.0093336538370785E-2</v>
      </c>
      <c r="M4" s="223">
        <v>44406</v>
      </c>
      <c r="N4" s="224">
        <f>AVERAGE(K8:K9)</f>
        <v>2.7400409410899201E-2</v>
      </c>
      <c r="O4" s="224">
        <f>AVERAGE(K5:K7)</f>
        <v>2.2775288162952535E-2</v>
      </c>
      <c r="P4" s="224">
        <f>AVERAGE(K5:K9)</f>
        <v>2.4625336662131202E-2</v>
      </c>
      <c r="Q4" s="229" t="s">
        <v>87</v>
      </c>
      <c r="R4" s="229"/>
      <c r="T4" t="s">
        <v>89</v>
      </c>
      <c r="U4" s="222">
        <f>N7</f>
        <v>3.6863794196113527E-2</v>
      </c>
      <c r="V4" s="222">
        <f t="shared" ref="V4:W4" si="2">O7</f>
        <v>1.708526993489496E-2</v>
      </c>
      <c r="W4" s="222">
        <f t="shared" si="2"/>
        <v>2.6974532065504243E-2</v>
      </c>
    </row>
    <row r="5" spans="1:23" x14ac:dyDescent="0.25">
      <c r="A5" s="44" t="s">
        <v>14</v>
      </c>
      <c r="B5" s="45">
        <v>1.94</v>
      </c>
      <c r="C5" s="46">
        <v>-25.896285106018091</v>
      </c>
      <c r="D5" s="46">
        <v>-4.3863285994819154</v>
      </c>
      <c r="E5" s="47">
        <v>2.7694050008625005E-2</v>
      </c>
      <c r="F5" s="48">
        <v>1.4275283509600518</v>
      </c>
      <c r="G5" s="49">
        <v>2.339895698925E-2</v>
      </c>
      <c r="H5" s="48">
        <v>1.2061318035695876</v>
      </c>
      <c r="I5" s="50">
        <v>1.18355916553666</v>
      </c>
      <c r="J5" s="34">
        <v>44406</v>
      </c>
      <c r="K5" s="35">
        <f t="shared" si="0"/>
        <v>1.4275283509600518E-2</v>
      </c>
      <c r="M5" s="223">
        <v>44413</v>
      </c>
      <c r="N5" s="224">
        <f>AVERAGE(K13:K15)</f>
        <v>2.6033317873838013E-2</v>
      </c>
      <c r="O5" s="224">
        <f>AVERAGE(K10:K12)</f>
        <v>2.9145965618556091E-2</v>
      </c>
      <c r="P5" s="224">
        <f>AVERAGE(K10:K15)</f>
        <v>2.758964174619705E-2</v>
      </c>
      <c r="Q5" s="229" t="s">
        <v>85</v>
      </c>
      <c r="R5" s="229" t="s">
        <v>88</v>
      </c>
      <c r="T5" t="s">
        <v>90</v>
      </c>
      <c r="U5" s="222">
        <f>N8</f>
        <v>1.7629051004676988E-2</v>
      </c>
      <c r="V5" s="222">
        <f t="shared" ref="V5:W5" si="3">O8</f>
        <v>3.9185770295907078E-2</v>
      </c>
      <c r="W5" s="222">
        <f t="shared" si="3"/>
        <v>2.3018230827484512E-2</v>
      </c>
    </row>
    <row r="6" spans="1:23" x14ac:dyDescent="0.25">
      <c r="A6" s="21" t="s">
        <v>15</v>
      </c>
      <c r="B6" s="22">
        <v>1.9930000000000001</v>
      </c>
      <c r="C6" s="23">
        <v>-25.091281333672669</v>
      </c>
      <c r="D6" s="23">
        <v>-1.5049027644277064</v>
      </c>
      <c r="E6" s="24">
        <v>7.830341343000001E-2</v>
      </c>
      <c r="F6" s="25">
        <v>3.9289218981435026</v>
      </c>
      <c r="G6" s="26">
        <v>1.9311120193750073E-4</v>
      </c>
      <c r="H6" s="25">
        <v>9.6894732532614505E-3</v>
      </c>
      <c r="I6" s="27">
        <v>405.48353821205274</v>
      </c>
      <c r="J6" s="28">
        <v>44406</v>
      </c>
      <c r="K6" s="29">
        <f t="shared" si="0"/>
        <v>3.9289218981435024E-2</v>
      </c>
      <c r="M6" s="223">
        <v>44421</v>
      </c>
      <c r="N6" s="224">
        <f>AVERAGE(K19:K21)</f>
        <v>1.9023718300554267E-2</v>
      </c>
      <c r="O6" s="224">
        <f>AVERAGE(K16:K18)</f>
        <v>3.0251833342143975E-2</v>
      </c>
      <c r="P6" s="224">
        <f>AVERAGE(K16:K21)</f>
        <v>2.4637775821349125E-2</v>
      </c>
      <c r="Q6" s="229" t="s">
        <v>85</v>
      </c>
      <c r="R6" s="229" t="s">
        <v>88</v>
      </c>
      <c r="T6" t="s">
        <v>92</v>
      </c>
      <c r="U6" s="222">
        <f>AVERAGE(N13:N15)</f>
        <v>3.3683478327705962E-2</v>
      </c>
      <c r="V6" s="222">
        <f t="shared" ref="V6:W6" si="4">AVERAGE(O13:O15)</f>
        <v>2.8181317207464335E-2</v>
      </c>
      <c r="W6" s="222">
        <f t="shared" si="4"/>
        <v>3.0932397767585145E-2</v>
      </c>
    </row>
    <row r="7" spans="1:23" x14ac:dyDescent="0.25">
      <c r="A7" s="21" t="s">
        <v>16</v>
      </c>
      <c r="B7" s="22">
        <v>1.8939999999999999</v>
      </c>
      <c r="C7" s="23">
        <v>-26.205044546696342</v>
      </c>
      <c r="D7" s="23">
        <v>-4.5121181791834601</v>
      </c>
      <c r="E7" s="24">
        <v>2.7958019623874997E-2</v>
      </c>
      <c r="F7" s="25">
        <v>1.4761361997822069</v>
      </c>
      <c r="G7" s="26">
        <v>2.1961429373375002E-2</v>
      </c>
      <c r="H7" s="25">
        <v>1.1595263660704858</v>
      </c>
      <c r="I7" s="27">
        <v>1.2730509999394657</v>
      </c>
      <c r="J7" s="28">
        <v>44406</v>
      </c>
      <c r="K7" s="29">
        <f t="shared" si="0"/>
        <v>1.4761361997822069E-2</v>
      </c>
      <c r="M7" s="225">
        <v>44754</v>
      </c>
      <c r="N7" s="226">
        <f>AVERAGE(K24:K25)</f>
        <v>3.6863794196113527E-2</v>
      </c>
      <c r="O7" s="226">
        <f>AVERAGE(K22:K23)</f>
        <v>1.708526993489496E-2</v>
      </c>
      <c r="P7" s="226">
        <f>AVERAGE(K22:K25)</f>
        <v>2.6974532065504243E-2</v>
      </c>
      <c r="Q7" s="229" t="s">
        <v>89</v>
      </c>
      <c r="T7" t="s">
        <v>93</v>
      </c>
      <c r="U7" s="222">
        <f>N16</f>
        <v>3.0644232792768952E-2</v>
      </c>
      <c r="V7" s="222">
        <f t="shared" ref="V7:W7" si="5">O16</f>
        <v>5.0676335550048197E-2</v>
      </c>
      <c r="W7" s="222">
        <f t="shared" si="5"/>
        <v>4.0660284171408573E-2</v>
      </c>
    </row>
    <row r="8" spans="1:23" x14ac:dyDescent="0.25">
      <c r="A8" s="21" t="s">
        <v>17</v>
      </c>
      <c r="B8" s="22">
        <v>1.1319999999999999</v>
      </c>
      <c r="C8" s="23">
        <v>-25.985784097215983</v>
      </c>
      <c r="D8" s="23">
        <v>4.5042103738110351E-2</v>
      </c>
      <c r="E8" s="24">
        <v>3.2287012609500003E-2</v>
      </c>
      <c r="F8" s="25">
        <v>2.8522095944787993</v>
      </c>
      <c r="G8" s="26">
        <v>1.9758253396875008E-3</v>
      </c>
      <c r="H8" s="25">
        <v>0.17454287453069797</v>
      </c>
      <c r="I8" s="27">
        <v>16.341025677202094</v>
      </c>
      <c r="J8" s="28">
        <v>44406</v>
      </c>
      <c r="K8" s="29">
        <f t="shared" si="0"/>
        <v>2.8522095944787992E-2</v>
      </c>
      <c r="M8" s="225">
        <v>44777</v>
      </c>
      <c r="N8" s="226">
        <f>AVERAGE(K27:K29)</f>
        <v>1.7629051004676988E-2</v>
      </c>
      <c r="O8" s="226">
        <f>K26</f>
        <v>3.9185770295907078E-2</v>
      </c>
      <c r="P8" s="226">
        <f>AVERAGE(K26:K29)</f>
        <v>2.3018230827484512E-2</v>
      </c>
      <c r="Q8" s="229" t="s">
        <v>90</v>
      </c>
      <c r="T8" t="s">
        <v>94</v>
      </c>
    </row>
    <row r="9" spans="1:23" ht="15.75" thickBot="1" x14ac:dyDescent="0.3">
      <c r="A9" s="51" t="s">
        <v>18</v>
      </c>
      <c r="B9" s="52">
        <v>2.1139999999999999</v>
      </c>
      <c r="C9" s="53">
        <v>-25.666012714551002</v>
      </c>
      <c r="D9" s="53">
        <v>-3.8349620801676938</v>
      </c>
      <c r="E9" s="54">
        <v>5.5553220162000004E-2</v>
      </c>
      <c r="F9" s="55">
        <v>2.6278722877010408</v>
      </c>
      <c r="G9" s="56">
        <v>3.3154236167500014E-3</v>
      </c>
      <c r="H9" s="55">
        <v>0.15683176995033121</v>
      </c>
      <c r="I9" s="57">
        <v>16.755994582815021</v>
      </c>
      <c r="J9" s="58">
        <v>44406</v>
      </c>
      <c r="K9" s="59">
        <f t="shared" si="0"/>
        <v>2.627872287701041E-2</v>
      </c>
      <c r="M9" s="225">
        <v>44783</v>
      </c>
      <c r="N9" s="226">
        <f>AVERAGE(K31:K32)</f>
        <v>3.0648944576417925E-2</v>
      </c>
      <c r="O9" s="226">
        <f>K30</f>
        <v>1.0290745463990066E-2</v>
      </c>
      <c r="P9" s="226">
        <f>AVERAGE(K30:K32)</f>
        <v>2.3862878205608642E-2</v>
      </c>
      <c r="Q9" s="229" t="s">
        <v>85</v>
      </c>
      <c r="R9" t="s">
        <v>91</v>
      </c>
      <c r="T9" t="s">
        <v>95</v>
      </c>
    </row>
    <row r="10" spans="1:23" x14ac:dyDescent="0.25">
      <c r="A10" s="60" t="s">
        <v>19</v>
      </c>
      <c r="B10" s="61">
        <v>2.0830000000000002</v>
      </c>
      <c r="C10" s="62">
        <v>-25.682391311942901</v>
      </c>
      <c r="D10" s="62">
        <v>-4.1019779810525563</v>
      </c>
      <c r="E10" s="63">
        <v>8.6804480911500004E-2</v>
      </c>
      <c r="F10" s="64">
        <v>4.1672818488478152</v>
      </c>
      <c r="G10" s="65">
        <v>2.7688022377E-2</v>
      </c>
      <c r="H10" s="64">
        <v>1.3292377521363417</v>
      </c>
      <c r="I10" s="66">
        <v>3.1350914026856285</v>
      </c>
      <c r="J10" s="67">
        <v>44413</v>
      </c>
      <c r="K10" s="68">
        <f t="shared" si="0"/>
        <v>4.1672818488478154E-2</v>
      </c>
      <c r="M10" s="225">
        <v>44796</v>
      </c>
      <c r="N10" s="226">
        <f>AVERAGE(K34:K36)</f>
        <v>2.7828849239432716E-2</v>
      </c>
      <c r="O10" s="226">
        <f>K33</f>
        <v>1.8901883746156495E-2</v>
      </c>
      <c r="P10" s="226">
        <f>AVERAGE(K36)</f>
        <v>3.7780468660844627E-2</v>
      </c>
      <c r="Q10" s="229" t="s">
        <v>85</v>
      </c>
      <c r="R10" t="s">
        <v>91</v>
      </c>
    </row>
    <row r="11" spans="1:23" x14ac:dyDescent="0.25">
      <c r="A11" s="69" t="s">
        <v>20</v>
      </c>
      <c r="B11" s="70">
        <v>2.294</v>
      </c>
      <c r="C11" s="71">
        <v>-25.652614406924517</v>
      </c>
      <c r="D11" s="71">
        <v>-4.0188153963879358</v>
      </c>
      <c r="E11" s="72">
        <v>7.044120930825E-2</v>
      </c>
      <c r="F11" s="73">
        <v>3.0706717222428073</v>
      </c>
      <c r="G11" s="74">
        <v>2.3787672355250006E-2</v>
      </c>
      <c r="H11" s="73">
        <v>1.0369517155732346</v>
      </c>
      <c r="I11" s="75">
        <v>2.9612485095753147</v>
      </c>
      <c r="J11" s="76">
        <v>44413</v>
      </c>
      <c r="K11" s="77">
        <f t="shared" si="0"/>
        <v>3.0706717222428074E-2</v>
      </c>
      <c r="M11" s="227">
        <v>45004</v>
      </c>
      <c r="N11" s="228">
        <f>AVERAGE(K39:K41)</f>
        <v>3.4265477573018809E-2</v>
      </c>
      <c r="O11" s="228">
        <f>AVERAGE(K37:K38)</f>
        <v>2.4800824529672347E-2</v>
      </c>
      <c r="P11" s="228">
        <f>AVERAGE(K37:K41)</f>
        <v>3.0479616355680222E-2</v>
      </c>
    </row>
    <row r="12" spans="1:23" x14ac:dyDescent="0.25">
      <c r="A12" s="69" t="s">
        <v>21</v>
      </c>
      <c r="B12" s="70">
        <v>1.8280000000000001</v>
      </c>
      <c r="C12" s="71">
        <v>-25.704246759251301</v>
      </c>
      <c r="D12" s="71">
        <v>-4.0160509227603551</v>
      </c>
      <c r="E12" s="72">
        <v>2.7526684172625E-2</v>
      </c>
      <c r="F12" s="73">
        <v>1.5058361144762036</v>
      </c>
      <c r="G12" s="74">
        <v>1.2599044099375015E-3</v>
      </c>
      <c r="H12" s="73">
        <v>6.8922560718681705E-2</v>
      </c>
      <c r="I12" s="75">
        <v>21.848232259136612</v>
      </c>
      <c r="J12" s="76">
        <v>44413</v>
      </c>
      <c r="K12" s="77">
        <f t="shared" si="0"/>
        <v>1.5058361144762035E-2</v>
      </c>
      <c r="M12" s="227">
        <v>45045</v>
      </c>
      <c r="N12" s="228">
        <f>AVERAGE(K45:K47)</f>
        <v>2.9779816135687299E-2</v>
      </c>
      <c r="O12" s="228">
        <f>AVERAGE(K42:K44)</f>
        <v>4.8136000146327983E-2</v>
      </c>
      <c r="P12" s="228">
        <f>AVERAGE(K42:K47)</f>
        <v>3.8957908141007642E-2</v>
      </c>
    </row>
    <row r="13" spans="1:23" x14ac:dyDescent="0.25">
      <c r="A13" s="69" t="s">
        <v>22</v>
      </c>
      <c r="B13" s="70">
        <v>2.2850000000000001</v>
      </c>
      <c r="C13" s="71">
        <v>-26.134065736975366</v>
      </c>
      <c r="D13" s="71">
        <v>-4.7831341473725484</v>
      </c>
      <c r="E13" s="72">
        <v>7.9554719103750005E-2</v>
      </c>
      <c r="F13" s="73">
        <v>3.4816069629649893</v>
      </c>
      <c r="G13" s="74">
        <v>2.4910599382875001E-2</v>
      </c>
      <c r="H13" s="73">
        <v>1.0901794040645514</v>
      </c>
      <c r="I13" s="75">
        <v>3.1936091894457008</v>
      </c>
      <c r="J13" s="76">
        <v>44413</v>
      </c>
      <c r="K13" s="77">
        <f t="shared" si="0"/>
        <v>3.4816069629649893E-2</v>
      </c>
      <c r="M13" s="227">
        <v>45100</v>
      </c>
      <c r="N13" s="228">
        <f>AVERAGE(K51:K53)</f>
        <v>3.7492845663279158E-2</v>
      </c>
      <c r="O13" s="228">
        <f>AVERAGE(K48:K50)</f>
        <v>2.9771254604649969E-2</v>
      </c>
      <c r="P13" s="228">
        <f>AVERAGE(K48:K53)</f>
        <v>3.3632050133964565E-2</v>
      </c>
      <c r="Q13" s="229" t="s">
        <v>92</v>
      </c>
      <c r="U13" t="s">
        <v>82</v>
      </c>
      <c r="V13" t="s">
        <v>83</v>
      </c>
      <c r="W13" t="s">
        <v>84</v>
      </c>
    </row>
    <row r="14" spans="1:23" x14ac:dyDescent="0.25">
      <c r="A14" s="69" t="s">
        <v>23</v>
      </c>
      <c r="B14" s="70">
        <v>1.9930000000000001</v>
      </c>
      <c r="C14" s="71">
        <v>-25.492082558699085</v>
      </c>
      <c r="D14" s="71">
        <v>-5.3730597463718883</v>
      </c>
      <c r="E14" s="72">
        <v>2.8907052000750003E-2</v>
      </c>
      <c r="F14" s="73">
        <v>1.4504291018941295</v>
      </c>
      <c r="G14" s="74">
        <v>1.8592905670312514E-3</v>
      </c>
      <c r="H14" s="73">
        <v>9.3291047016118983E-2</v>
      </c>
      <c r="I14" s="75">
        <v>15.547355810504753</v>
      </c>
      <c r="J14" s="76">
        <v>44413</v>
      </c>
      <c r="K14" s="77">
        <f t="shared" si="0"/>
        <v>1.4504291018941295E-2</v>
      </c>
      <c r="M14" s="227">
        <v>45120</v>
      </c>
      <c r="N14" s="228">
        <f>AVERAGE(K57:K59)</f>
        <v>2.2847642808406565E-2</v>
      </c>
      <c r="O14" s="228">
        <f>AVERAGE(K54:K56)</f>
        <v>1.5603218377565278E-2</v>
      </c>
      <c r="P14" s="228">
        <f>AVERAGE(K54:K59)</f>
        <v>1.9225430592985922E-2</v>
      </c>
      <c r="Q14" s="229" t="s">
        <v>92</v>
      </c>
      <c r="T14" t="s">
        <v>87</v>
      </c>
      <c r="U14" s="230">
        <v>2.3816307765831504E-2</v>
      </c>
      <c r="V14" s="230">
        <v>2.8012649441848607E-2</v>
      </c>
      <c r="W14" s="230">
        <v>2.4598405491444316E-2</v>
      </c>
    </row>
    <row r="15" spans="1:23" ht="15.75" thickBot="1" x14ac:dyDescent="0.3">
      <c r="A15" s="78" t="s">
        <v>24</v>
      </c>
      <c r="B15" s="79">
        <v>2.0219999999999998</v>
      </c>
      <c r="C15" s="80">
        <v>-25.538180271038836</v>
      </c>
      <c r="D15" s="80">
        <v>-5.4075976789816771</v>
      </c>
      <c r="E15" s="81">
        <v>5.8192336991250003E-2</v>
      </c>
      <c r="F15" s="82">
        <v>2.8779592972922852</v>
      </c>
      <c r="G15" s="83">
        <v>3.8464701644374995E-3</v>
      </c>
      <c r="H15" s="82">
        <v>0.19023096757851138</v>
      </c>
      <c r="I15" s="84">
        <v>15.128763386563259</v>
      </c>
      <c r="J15" s="85">
        <v>44413</v>
      </c>
      <c r="K15" s="86">
        <f t="shared" si="0"/>
        <v>2.8779592972922853E-2</v>
      </c>
      <c r="M15" s="227">
        <v>45134</v>
      </c>
      <c r="N15" s="228">
        <f>AVERAGE(K63:K65)</f>
        <v>4.0709946511432164E-2</v>
      </c>
      <c r="O15" s="228">
        <f>AVERAGE(K60:K62)</f>
        <v>3.9169478640177752E-2</v>
      </c>
      <c r="P15" s="228">
        <f>AVERAGE(K60:K65)</f>
        <v>3.9939712575804955E-2</v>
      </c>
      <c r="Q15" s="229" t="s">
        <v>92</v>
      </c>
      <c r="T15" t="s">
        <v>89</v>
      </c>
      <c r="U15" s="230">
        <v>3.6863794196113527E-2</v>
      </c>
      <c r="V15" s="230">
        <v>1.708526993489496E-2</v>
      </c>
      <c r="W15" s="230">
        <v>2.6974532065504243E-2</v>
      </c>
    </row>
    <row r="16" spans="1:23" x14ac:dyDescent="0.25">
      <c r="A16" s="87" t="s">
        <v>25</v>
      </c>
      <c r="B16" s="88">
        <v>2.0960000000000001</v>
      </c>
      <c r="C16" s="89">
        <v>-25.77384020884335</v>
      </c>
      <c r="D16" s="89">
        <v>-2.5507242944318951</v>
      </c>
      <c r="E16" s="90">
        <v>8.0097356220749996E-2</v>
      </c>
      <c r="F16" s="91">
        <v>3.8214387509899805</v>
      </c>
      <c r="G16" s="92">
        <v>5.418942266125E-3</v>
      </c>
      <c r="H16" s="91">
        <v>0.25853732185710876</v>
      </c>
      <c r="I16" s="93">
        <v>14.780994571847755</v>
      </c>
      <c r="J16" s="94">
        <v>44421</v>
      </c>
      <c r="K16" s="95">
        <f t="shared" si="0"/>
        <v>3.8214387509899805E-2</v>
      </c>
      <c r="M16" s="227">
        <v>45146</v>
      </c>
      <c r="N16" s="228">
        <f>AVERAGE(K69:K70)</f>
        <v>3.0644232792768952E-2</v>
      </c>
      <c r="O16" s="228">
        <f>AVERAGE(K66:K68)</f>
        <v>5.0676335550048197E-2</v>
      </c>
      <c r="P16" s="228">
        <f>AVERAGE(K66:K70)</f>
        <v>4.0660284171408573E-2</v>
      </c>
      <c r="Q16" s="229" t="s">
        <v>93</v>
      </c>
      <c r="T16" t="s">
        <v>90</v>
      </c>
      <c r="U16" s="230">
        <v>1.7629051004676988E-2</v>
      </c>
      <c r="V16" s="230">
        <v>3.9185770295907078E-2</v>
      </c>
      <c r="W16" s="230">
        <v>2.3018230827484512E-2</v>
      </c>
    </row>
    <row r="17" spans="1:23" x14ac:dyDescent="0.25">
      <c r="A17" s="96" t="s">
        <v>26</v>
      </c>
      <c r="B17" s="97">
        <v>1.88</v>
      </c>
      <c r="C17" s="98">
        <v>-25.159306420566299</v>
      </c>
      <c r="D17" s="98">
        <v>-2.7888635182858112</v>
      </c>
      <c r="E17" s="99">
        <v>4.5788798385000003E-2</v>
      </c>
      <c r="F17" s="100">
        <v>2.4355743821808513</v>
      </c>
      <c r="G17" s="101">
        <v>3.1962247898437504E-3</v>
      </c>
      <c r="H17" s="100">
        <v>0.17001195690658247</v>
      </c>
      <c r="I17" s="102">
        <v>14.325900521921181</v>
      </c>
      <c r="J17" s="103">
        <v>44421</v>
      </c>
      <c r="K17" s="104">
        <f t="shared" si="0"/>
        <v>2.4355743821808513E-2</v>
      </c>
      <c r="T17" t="s">
        <v>92</v>
      </c>
      <c r="U17" s="230">
        <f>N19</f>
        <v>4.0709946511432164E-2</v>
      </c>
      <c r="V17" s="230">
        <f t="shared" ref="V17:W17" si="6">O19</f>
        <v>3.9169478640177752E-2</v>
      </c>
      <c r="W17" s="230">
        <f t="shared" si="6"/>
        <v>3.9939712575804955E-2</v>
      </c>
    </row>
    <row r="18" spans="1:23" x14ac:dyDescent="0.25">
      <c r="A18" s="96" t="s">
        <v>27</v>
      </c>
      <c r="B18" s="97">
        <v>2.3879999999999999</v>
      </c>
      <c r="C18" s="98">
        <v>-25.399511416676042</v>
      </c>
      <c r="D18" s="98">
        <v>-5.5315991051371345</v>
      </c>
      <c r="E18" s="99">
        <v>6.7306660443000002E-2</v>
      </c>
      <c r="F18" s="100">
        <v>2.818536869472362</v>
      </c>
      <c r="G18" s="101">
        <v>4.0108938467499997E-3</v>
      </c>
      <c r="H18" s="100">
        <v>0.16796037884212731</v>
      </c>
      <c r="I18" s="102">
        <v>16.780962801480808</v>
      </c>
      <c r="J18" s="103">
        <v>44421</v>
      </c>
      <c r="K18" s="104">
        <f t="shared" si="0"/>
        <v>2.8185368694723621E-2</v>
      </c>
      <c r="M18" t="s">
        <v>96</v>
      </c>
      <c r="T18" t="s">
        <v>93</v>
      </c>
      <c r="U18" s="230">
        <f t="shared" ref="U18:U20" si="7">N20</f>
        <v>2.2847642808406565E-2</v>
      </c>
      <c r="V18" s="230">
        <f t="shared" ref="V18:V20" si="8">O20</f>
        <v>1.5603218377565278E-2</v>
      </c>
      <c r="W18" s="230">
        <f t="shared" ref="W18:W20" si="9">P20</f>
        <v>1.9225430592985922E-2</v>
      </c>
    </row>
    <row r="19" spans="1:23" x14ac:dyDescent="0.25">
      <c r="A19" s="96" t="s">
        <v>28</v>
      </c>
      <c r="B19" s="97">
        <v>2.1509999999999998</v>
      </c>
      <c r="C19" s="98">
        <v>-26.161294651587127</v>
      </c>
      <c r="D19" s="98">
        <v>-5.2295744727489417</v>
      </c>
      <c r="E19" s="99">
        <v>3.1628754939375003E-2</v>
      </c>
      <c r="F19" s="100">
        <v>1.4704209641736405</v>
      </c>
      <c r="G19" s="101">
        <v>1.5388444073125007E-3</v>
      </c>
      <c r="H19" s="100">
        <v>7.154088365004653E-2</v>
      </c>
      <c r="I19" s="102">
        <v>20.553575650063753</v>
      </c>
      <c r="J19" s="103">
        <v>44421</v>
      </c>
      <c r="K19" s="104">
        <f t="shared" si="0"/>
        <v>1.4704209641736405E-2</v>
      </c>
      <c r="M19" s="227">
        <v>45134</v>
      </c>
      <c r="N19" s="228">
        <v>4.0709946511432164E-2</v>
      </c>
      <c r="O19" s="228">
        <v>3.9169478640177752E-2</v>
      </c>
      <c r="P19" s="228">
        <v>3.9939712575804955E-2</v>
      </c>
      <c r="Q19" s="229" t="s">
        <v>92</v>
      </c>
      <c r="T19" t="s">
        <v>94</v>
      </c>
      <c r="U19" s="230">
        <f t="shared" si="7"/>
        <v>3.7492845663279158E-2</v>
      </c>
      <c r="V19" s="230">
        <f t="shared" si="8"/>
        <v>2.9771254604649969E-2</v>
      </c>
      <c r="W19" s="230">
        <f t="shared" si="9"/>
        <v>3.3632050133964565E-2</v>
      </c>
    </row>
    <row r="20" spans="1:23" x14ac:dyDescent="0.25">
      <c r="A20" s="96" t="s">
        <v>29</v>
      </c>
      <c r="B20" s="97">
        <v>1.8819999999999999</v>
      </c>
      <c r="C20" s="98">
        <v>-25.407226997741997</v>
      </c>
      <c r="D20" s="98">
        <v>-4.7353127368348673</v>
      </c>
      <c r="E20" s="99">
        <v>4.2756057444375002E-2</v>
      </c>
      <c r="F20" s="100">
        <v>2.2718415220178003</v>
      </c>
      <c r="G20" s="101">
        <v>-3.5690677587812492E-3</v>
      </c>
      <c r="H20" s="100">
        <v>-0.18964228261324384</v>
      </c>
      <c r="I20" s="102">
        <v>-11.979614939833803</v>
      </c>
      <c r="J20" s="103">
        <v>44421</v>
      </c>
      <c r="K20" s="104">
        <f t="shared" si="0"/>
        <v>2.2718415220178003E-2</v>
      </c>
      <c r="M20" s="227">
        <v>45151</v>
      </c>
      <c r="N20" s="228">
        <v>2.2847642808406565E-2</v>
      </c>
      <c r="O20" s="228">
        <v>1.5603218377565278E-2</v>
      </c>
      <c r="P20" s="228">
        <v>1.9225430592985922E-2</v>
      </c>
      <c r="Q20" s="229" t="s">
        <v>93</v>
      </c>
      <c r="T20" t="s">
        <v>95</v>
      </c>
      <c r="U20" s="230">
        <f t="shared" si="7"/>
        <v>3.0644232792768952E-2</v>
      </c>
      <c r="V20" s="230">
        <f t="shared" si="8"/>
        <v>5.0676335550048197E-2</v>
      </c>
      <c r="W20" s="230">
        <f t="shared" si="9"/>
        <v>4.0660284171408573E-2</v>
      </c>
    </row>
    <row r="21" spans="1:23" ht="15.75" thickBot="1" x14ac:dyDescent="0.3">
      <c r="A21" s="105" t="s">
        <v>30</v>
      </c>
      <c r="B21" s="106">
        <v>1.8680000000000001</v>
      </c>
      <c r="C21" s="107">
        <v>-25.316303933402473</v>
      </c>
      <c r="D21" s="107">
        <v>-1.5566531060994695</v>
      </c>
      <c r="E21" s="108">
        <v>3.6703454114250002E-2</v>
      </c>
      <c r="F21" s="109">
        <v>1.9648530039748393</v>
      </c>
      <c r="G21" s="110">
        <v>-2.9938866249988594E-6</v>
      </c>
      <c r="H21" s="109">
        <v>-1.6027230326546356E-4</v>
      </c>
      <c r="I21" s="111">
        <v>-12259.4669443316</v>
      </c>
      <c r="J21" s="112">
        <v>44421</v>
      </c>
      <c r="K21" s="113">
        <f t="shared" si="0"/>
        <v>1.9648530039748393E-2</v>
      </c>
      <c r="M21" s="227">
        <v>45161</v>
      </c>
      <c r="N21" s="228">
        <v>3.7492845663279158E-2</v>
      </c>
      <c r="O21" s="228">
        <v>2.9771254604649969E-2</v>
      </c>
      <c r="P21" s="228">
        <v>3.3632050133964565E-2</v>
      </c>
      <c r="Q21" s="229" t="s">
        <v>94</v>
      </c>
    </row>
    <row r="22" spans="1:23" x14ac:dyDescent="0.25">
      <c r="A22" s="114" t="s">
        <v>31</v>
      </c>
      <c r="B22" s="115">
        <v>1.968</v>
      </c>
      <c r="C22" s="116">
        <v>-24.27703990778981</v>
      </c>
      <c r="D22" s="116">
        <v>-1.2316871491716577</v>
      </c>
      <c r="E22" s="117">
        <v>2.5481640559374998E-2</v>
      </c>
      <c r="F22" s="118">
        <v>1.2947988089113314</v>
      </c>
      <c r="G22" s="119">
        <v>1.5633607523203124E-3</v>
      </c>
      <c r="H22" s="118">
        <v>7.9439062617902054E-2</v>
      </c>
      <c r="I22" s="118">
        <v>16.299270991391843</v>
      </c>
      <c r="J22" s="120">
        <v>44754</v>
      </c>
      <c r="K22" s="121">
        <f>E22/B22</f>
        <v>1.2947988089113313E-2</v>
      </c>
      <c r="M22" s="227">
        <v>45177</v>
      </c>
      <c r="N22" s="228">
        <v>3.0644232792768952E-2</v>
      </c>
      <c r="O22" s="228">
        <v>5.0676335550048197E-2</v>
      </c>
      <c r="P22" s="228">
        <v>4.0660284171408573E-2</v>
      </c>
      <c r="Q22" s="229" t="s">
        <v>95</v>
      </c>
    </row>
    <row r="23" spans="1:23" x14ac:dyDescent="0.25">
      <c r="A23" s="122" t="s">
        <v>32</v>
      </c>
      <c r="B23" s="123">
        <v>2.1800000000000002</v>
      </c>
      <c r="C23" s="124">
        <v>-25.282910260642062</v>
      </c>
      <c r="D23" s="124">
        <v>-2.7679461598127935</v>
      </c>
      <c r="E23" s="125">
        <v>4.6265162881875002E-2</v>
      </c>
      <c r="F23" s="126">
        <v>2.1222551780676606</v>
      </c>
      <c r="G23" s="127">
        <v>6.8615382543749997E-3</v>
      </c>
      <c r="H23" s="126">
        <v>0.31474946120986236</v>
      </c>
      <c r="I23" s="126">
        <v>6.7426808926374164</v>
      </c>
      <c r="J23" s="128">
        <v>44754</v>
      </c>
      <c r="K23" s="129">
        <f>E23/B23</f>
        <v>2.1222551780676606E-2</v>
      </c>
    </row>
    <row r="24" spans="1:23" x14ac:dyDescent="0.25">
      <c r="A24" s="122" t="s">
        <v>33</v>
      </c>
      <c r="B24" s="123">
        <v>1.865</v>
      </c>
      <c r="C24" s="124">
        <v>-25.482859226638556</v>
      </c>
      <c r="D24" s="124">
        <v>-1.8661198051117527</v>
      </c>
      <c r="E24" s="125">
        <v>5.1773060369999999E-2</v>
      </c>
      <c r="F24" s="126">
        <v>2.7760354085790886</v>
      </c>
      <c r="G24" s="127">
        <v>6.6006929550000001E-3</v>
      </c>
      <c r="H24" s="126">
        <v>0.35392455522788208</v>
      </c>
      <c r="I24" s="126">
        <v>7.843579563988369</v>
      </c>
      <c r="J24" s="128">
        <v>44754</v>
      </c>
      <c r="K24" s="129">
        <f>E24/B24</f>
        <v>2.7760354085790886E-2</v>
      </c>
    </row>
    <row r="25" spans="1:23" ht="15.75" thickBot="1" x14ac:dyDescent="0.3">
      <c r="A25" s="130" t="s">
        <v>34</v>
      </c>
      <c r="B25" s="131">
        <v>2.35</v>
      </c>
      <c r="C25" s="132" t="s">
        <v>35</v>
      </c>
      <c r="D25" s="132">
        <v>1.9680570334855281</v>
      </c>
      <c r="E25" s="133">
        <v>0.108023000620125</v>
      </c>
      <c r="F25" s="134">
        <v>4.5967234306436167</v>
      </c>
      <c r="G25" s="135">
        <v>5.165935184671875E-3</v>
      </c>
      <c r="H25" s="134">
        <v>0.21982702913497337</v>
      </c>
      <c r="I25" s="134">
        <v>20.910638008127915</v>
      </c>
      <c r="J25" s="136">
        <v>44754</v>
      </c>
      <c r="K25" s="137">
        <f>E25/B25</f>
        <v>4.5967234306436171E-2</v>
      </c>
    </row>
    <row r="26" spans="1:23" x14ac:dyDescent="0.25">
      <c r="A26" s="138" t="s">
        <v>36</v>
      </c>
      <c r="B26" s="139">
        <v>1.8080000000000001</v>
      </c>
      <c r="C26" s="140">
        <v>-25.973643226712205</v>
      </c>
      <c r="D26" s="140">
        <v>-3.1928192200002519</v>
      </c>
      <c r="E26" s="141">
        <v>7.0847872694999994E-2</v>
      </c>
      <c r="F26" s="142">
        <v>3.9185770295907076</v>
      </c>
      <c r="G26" s="143">
        <v>7.1415537675000003E-3</v>
      </c>
      <c r="H26" s="142">
        <v>0.39499744289269911</v>
      </c>
      <c r="I26" s="142">
        <v>9.9205123984946582</v>
      </c>
      <c r="J26" s="144">
        <v>44777</v>
      </c>
      <c r="K26" s="145">
        <f t="shared" si="0"/>
        <v>3.9185770295907078E-2</v>
      </c>
    </row>
    <row r="27" spans="1:23" x14ac:dyDescent="0.25">
      <c r="A27" s="146" t="s">
        <v>37</v>
      </c>
      <c r="B27" s="147">
        <v>1.913</v>
      </c>
      <c r="C27" s="148">
        <v>-23.353220249114319</v>
      </c>
      <c r="D27" s="148">
        <v>-10.68074781241263</v>
      </c>
      <c r="E27" s="149">
        <v>1.230196078646875E-2</v>
      </c>
      <c r="F27" s="150">
        <v>0.64307165637578412</v>
      </c>
      <c r="G27" s="11">
        <v>2.31156921825E-3</v>
      </c>
      <c r="H27" s="150">
        <v>0.12083477356246732</v>
      </c>
      <c r="I27" s="150">
        <v>5.3219088960624292</v>
      </c>
      <c r="J27" s="10">
        <v>44777</v>
      </c>
      <c r="K27" s="151">
        <f t="shared" si="0"/>
        <v>6.4307165637578411E-3</v>
      </c>
    </row>
    <row r="28" spans="1:23" x14ac:dyDescent="0.25">
      <c r="A28" s="146" t="s">
        <v>38</v>
      </c>
      <c r="B28" s="152">
        <v>2.37</v>
      </c>
      <c r="C28" s="153">
        <v>-25.765513455979978</v>
      </c>
      <c r="D28" s="153">
        <v>-3.7998750224802462</v>
      </c>
      <c r="E28" s="149">
        <v>4.4435076001499998E-2</v>
      </c>
      <c r="F28" s="150">
        <v>1.8748977215822784</v>
      </c>
      <c r="G28" s="11">
        <v>5.6025787518750002E-3</v>
      </c>
      <c r="H28" s="150">
        <v>0.23639572792721517</v>
      </c>
      <c r="I28" s="150">
        <v>7.9311827587660471</v>
      </c>
      <c r="J28" s="10">
        <v>44777</v>
      </c>
      <c r="K28" s="151">
        <f t="shared" si="0"/>
        <v>1.8748977215822783E-2</v>
      </c>
    </row>
    <row r="29" spans="1:23" ht="15.75" thickBot="1" x14ac:dyDescent="0.3">
      <c r="A29" s="154" t="s">
        <v>39</v>
      </c>
      <c r="B29" s="155">
        <v>2.0739999999999998</v>
      </c>
      <c r="C29" s="156">
        <v>-25.646495850332688</v>
      </c>
      <c r="D29" s="156">
        <v>-4.986662550812258</v>
      </c>
      <c r="E29" s="157">
        <v>5.746527045225E-2</v>
      </c>
      <c r="F29" s="158">
        <v>2.770745923445034</v>
      </c>
      <c r="G29" s="159">
        <v>1.35361422825E-2</v>
      </c>
      <c r="H29" s="158">
        <v>0.65265874071841856</v>
      </c>
      <c r="I29" s="158">
        <v>4.2453211005725846</v>
      </c>
      <c r="J29" s="160">
        <v>44777</v>
      </c>
      <c r="K29" s="161">
        <f t="shared" si="0"/>
        <v>2.7707459234450341E-2</v>
      </c>
    </row>
    <row r="30" spans="1:23" x14ac:dyDescent="0.25">
      <c r="A30" s="30" t="s">
        <v>40</v>
      </c>
      <c r="B30" s="36">
        <v>1.8120000000000001</v>
      </c>
      <c r="C30" s="37">
        <v>-27.100792823432904</v>
      </c>
      <c r="D30" s="37">
        <v>-7.3402539767070101</v>
      </c>
      <c r="E30" s="31">
        <v>1.8646830780749999E-2</v>
      </c>
      <c r="F30" s="32">
        <v>1.0290745463990065</v>
      </c>
      <c r="G30" s="33">
        <v>4.7980292835937506E-3</v>
      </c>
      <c r="H30" s="32">
        <v>0.26479190306808781</v>
      </c>
      <c r="I30" s="32">
        <v>3.8863520163393872</v>
      </c>
      <c r="J30" s="34">
        <v>44783</v>
      </c>
      <c r="K30" s="35">
        <f t="shared" si="0"/>
        <v>1.0290745463990066E-2</v>
      </c>
    </row>
    <row r="31" spans="1:23" x14ac:dyDescent="0.25">
      <c r="A31" s="38" t="s">
        <v>41</v>
      </c>
      <c r="B31" s="39">
        <v>1.9730000000000001</v>
      </c>
      <c r="C31" s="40">
        <v>-25.657330175652255</v>
      </c>
      <c r="D31" s="40">
        <v>-2.31958326725956</v>
      </c>
      <c r="E31" s="41">
        <v>6.2701521410249997E-2</v>
      </c>
      <c r="F31" s="42">
        <v>3.17797878409782</v>
      </c>
      <c r="G31" s="43">
        <v>7.1228235928125008E-3</v>
      </c>
      <c r="H31" s="42">
        <v>0.3610148805277496</v>
      </c>
      <c r="I31" s="42">
        <v>8.8029024716435273</v>
      </c>
      <c r="J31" s="28">
        <v>44783</v>
      </c>
      <c r="K31" s="29">
        <f t="shared" si="0"/>
        <v>3.1779787840978201E-2</v>
      </c>
    </row>
    <row r="32" spans="1:23" ht="15.75" thickBot="1" x14ac:dyDescent="0.3">
      <c r="A32" s="162" t="s">
        <v>42</v>
      </c>
      <c r="B32" s="163">
        <v>1.946</v>
      </c>
      <c r="C32" s="164">
        <v>-25.232791591404094</v>
      </c>
      <c r="D32" s="164">
        <v>-2.2470805700836034</v>
      </c>
      <c r="E32" s="165">
        <v>5.744222515287499E-2</v>
      </c>
      <c r="F32" s="166">
        <v>2.9518101311857654</v>
      </c>
      <c r="G32" s="167">
        <v>2.8879100059921873E-3</v>
      </c>
      <c r="H32" s="166">
        <v>0.14840236413115043</v>
      </c>
      <c r="I32" s="166">
        <v>19.890586975939993</v>
      </c>
      <c r="J32" s="58">
        <v>44783</v>
      </c>
      <c r="K32" s="59">
        <f t="shared" si="0"/>
        <v>2.9518101311857652E-2</v>
      </c>
    </row>
    <row r="33" spans="1:11" x14ac:dyDescent="0.25">
      <c r="A33" s="168" t="s">
        <v>43</v>
      </c>
      <c r="B33" s="169">
        <v>2.1789999999999998</v>
      </c>
      <c r="C33" s="170">
        <v>-25.265437627098198</v>
      </c>
      <c r="D33" s="170">
        <v>-3.915952751741945</v>
      </c>
      <c r="E33" s="171">
        <v>4.1187204682874998E-2</v>
      </c>
      <c r="F33" s="172">
        <v>1.8901883746156496</v>
      </c>
      <c r="G33" s="173">
        <v>5.45833852359375E-3</v>
      </c>
      <c r="H33" s="172">
        <v>0.25049740815024096</v>
      </c>
      <c r="I33" s="172">
        <v>7.5457402476674336</v>
      </c>
      <c r="J33" s="67">
        <v>44796</v>
      </c>
      <c r="K33" s="68">
        <f t="shared" si="0"/>
        <v>1.8901883746156495E-2</v>
      </c>
    </row>
    <row r="34" spans="1:11" x14ac:dyDescent="0.25">
      <c r="A34" s="174" t="s">
        <v>44</v>
      </c>
      <c r="B34" s="175">
        <v>2.0430000000000001</v>
      </c>
      <c r="C34" s="176">
        <v>-25.009029094353092</v>
      </c>
      <c r="D34" s="176">
        <v>-16.849650019797853</v>
      </c>
      <c r="E34" s="177">
        <v>4.0801510593062494E-2</v>
      </c>
      <c r="F34" s="178">
        <v>1.9971370823819132</v>
      </c>
      <c r="G34" s="179">
        <v>4.6139380924218746E-3</v>
      </c>
      <c r="H34" s="178">
        <v>0.22584131632020921</v>
      </c>
      <c r="I34" s="178">
        <v>8.8430988400292172</v>
      </c>
      <c r="J34" s="76">
        <v>44796</v>
      </c>
      <c r="K34" s="77">
        <f t="shared" si="0"/>
        <v>1.9971370823819133E-2</v>
      </c>
    </row>
    <row r="35" spans="1:11" x14ac:dyDescent="0.25">
      <c r="A35" s="174" t="s">
        <v>45</v>
      </c>
      <c r="B35" s="175">
        <v>1.73</v>
      </c>
      <c r="C35" s="176">
        <v>-14.783321507123151</v>
      </c>
      <c r="D35" s="176">
        <v>-12.249796324345587</v>
      </c>
      <c r="E35" s="177">
        <v>4.4521045244187499E-2</v>
      </c>
      <c r="F35" s="178">
        <v>2.5734708233634391</v>
      </c>
      <c r="G35" s="179">
        <v>1.0889526627421875E-3</v>
      </c>
      <c r="H35" s="178">
        <v>6.2945240620935691E-2</v>
      </c>
      <c r="I35" s="178">
        <v>40.884279700529071</v>
      </c>
      <c r="J35" s="76">
        <v>44796</v>
      </c>
      <c r="K35" s="77">
        <f t="shared" si="0"/>
        <v>2.5734708233634392E-2</v>
      </c>
    </row>
    <row r="36" spans="1:11" ht="15.75" thickBot="1" x14ac:dyDescent="0.3">
      <c r="A36" s="180" t="s">
        <v>46</v>
      </c>
      <c r="B36" s="181">
        <v>1.9179999999999999</v>
      </c>
      <c r="C36" s="182">
        <v>-25.492491884175006</v>
      </c>
      <c r="D36" s="182">
        <v>-12.746620966169546</v>
      </c>
      <c r="E36" s="183">
        <v>7.2462938891499989E-2</v>
      </c>
      <c r="F36" s="184">
        <v>3.7780468660844626</v>
      </c>
      <c r="G36" s="185">
        <v>5.5426792822031255E-3</v>
      </c>
      <c r="H36" s="184">
        <v>0.28898223577701382</v>
      </c>
      <c r="I36" s="184">
        <v>13.073630134828429</v>
      </c>
      <c r="J36" s="85">
        <v>44796</v>
      </c>
      <c r="K36" s="86">
        <f t="shared" si="0"/>
        <v>3.7780468660844627E-2</v>
      </c>
    </row>
    <row r="37" spans="1:11" x14ac:dyDescent="0.25">
      <c r="A37" s="186" t="s">
        <v>47</v>
      </c>
      <c r="B37" s="187">
        <v>2.0019999999999998</v>
      </c>
      <c r="C37" s="188">
        <v>-24.987843382100202</v>
      </c>
      <c r="D37" s="188">
        <v>-2.8818170253419577</v>
      </c>
      <c r="E37" s="189">
        <v>4.3292750724375002E-2</v>
      </c>
      <c r="F37" s="190">
        <v>2.1624750611575925</v>
      </c>
      <c r="G37" s="191">
        <v>6.2592099693750004E-3</v>
      </c>
      <c r="H37" s="190">
        <v>0.31264785061813194</v>
      </c>
      <c r="I37" s="190">
        <v>6.9166477776264639</v>
      </c>
      <c r="J37" s="94">
        <v>45004</v>
      </c>
      <c r="K37" s="95">
        <f t="shared" si="0"/>
        <v>2.1624750611575927E-2</v>
      </c>
    </row>
    <row r="38" spans="1:11" x14ac:dyDescent="0.25">
      <c r="A38" s="192" t="s">
        <v>48</v>
      </c>
      <c r="B38" s="193">
        <v>1.972</v>
      </c>
      <c r="C38" s="194">
        <v>-25.32967499400532</v>
      </c>
      <c r="D38" s="194">
        <v>-3.4610955604610343</v>
      </c>
      <c r="E38" s="195">
        <v>5.5170443739E-2</v>
      </c>
      <c r="F38" s="196">
        <v>2.7976898447768761</v>
      </c>
      <c r="G38" s="197">
        <v>1.4501068387500001E-2</v>
      </c>
      <c r="H38" s="196">
        <v>0.7353482955121704</v>
      </c>
      <c r="I38" s="196">
        <v>3.8045778603842195</v>
      </c>
      <c r="J38" s="103">
        <v>45004</v>
      </c>
      <c r="K38" s="104">
        <f t="shared" si="0"/>
        <v>2.7976898447768763E-2</v>
      </c>
    </row>
    <row r="39" spans="1:11" x14ac:dyDescent="0.25">
      <c r="A39" s="192" t="s">
        <v>49</v>
      </c>
      <c r="B39" s="193">
        <v>1.181</v>
      </c>
      <c r="C39" s="194">
        <v>-25.428404430677528</v>
      </c>
      <c r="D39" s="194">
        <v>-3.0592511584035513</v>
      </c>
      <c r="E39" s="195">
        <v>5.4085805077499993E-2</v>
      </c>
      <c r="F39" s="196">
        <v>4.5796617339119381</v>
      </c>
      <c r="G39" s="197">
        <v>6.8162937900000005E-3</v>
      </c>
      <c r="H39" s="196">
        <v>0.57716289500423379</v>
      </c>
      <c r="I39" s="196">
        <v>7.9347819715235586</v>
      </c>
      <c r="J39" s="103">
        <v>45004</v>
      </c>
      <c r="K39" s="104">
        <f t="shared" si="0"/>
        <v>4.5796617339119383E-2</v>
      </c>
    </row>
    <row r="40" spans="1:11" x14ac:dyDescent="0.25">
      <c r="A40" s="192" t="s">
        <v>50</v>
      </c>
      <c r="B40" s="198">
        <v>2.077</v>
      </c>
      <c r="C40" s="199">
        <v>-23.313646907982097</v>
      </c>
      <c r="D40" s="199">
        <v>-9.6900069920521386</v>
      </c>
      <c r="E40" s="195">
        <v>6.7675898294374995E-2</v>
      </c>
      <c r="F40" s="196">
        <v>3.25834849756259</v>
      </c>
      <c r="G40" s="197">
        <v>3.540156143484375E-3</v>
      </c>
      <c r="H40" s="196">
        <v>0.17044564966222317</v>
      </c>
      <c r="I40" s="196">
        <v>19.116642190749655</v>
      </c>
      <c r="J40" s="103">
        <v>45004</v>
      </c>
      <c r="K40" s="104">
        <f t="shared" si="0"/>
        <v>3.2583484975625902E-2</v>
      </c>
    </row>
    <row r="41" spans="1:11" ht="15.75" thickBot="1" x14ac:dyDescent="0.3">
      <c r="A41" s="200" t="s">
        <v>51</v>
      </c>
      <c r="B41" s="201">
        <v>2.1920000000000002</v>
      </c>
      <c r="C41" s="202">
        <v>-25.942183923451786</v>
      </c>
      <c r="D41" s="202">
        <v>-4.3678347663558252</v>
      </c>
      <c r="E41" s="203">
        <v>5.3520596246249996E-2</v>
      </c>
      <c r="F41" s="204">
        <v>2.4416330404311126</v>
      </c>
      <c r="G41" s="205">
        <v>1.4081816066250001E-2</v>
      </c>
      <c r="H41" s="204">
        <v>0.64241861616104012</v>
      </c>
      <c r="I41" s="204">
        <v>3.8006884903519818</v>
      </c>
      <c r="J41" s="112">
        <v>45004</v>
      </c>
      <c r="K41" s="113">
        <f t="shared" si="0"/>
        <v>2.4416330404311126E-2</v>
      </c>
    </row>
    <row r="42" spans="1:11" x14ac:dyDescent="0.25">
      <c r="A42" s="114" t="s">
        <v>52</v>
      </c>
      <c r="B42" s="206">
        <v>1.984</v>
      </c>
      <c r="C42" s="207">
        <v>-25.534603926427344</v>
      </c>
      <c r="D42" s="207">
        <v>-1.4538493517337585</v>
      </c>
      <c r="E42" s="117">
        <v>9.5465976203999992E-2</v>
      </c>
      <c r="F42" s="118">
        <v>4.8117931554435476</v>
      </c>
      <c r="G42" s="119">
        <v>8.6655646387499997E-3</v>
      </c>
      <c r="H42" s="118">
        <v>0.43677241122731852</v>
      </c>
      <c r="I42" s="118">
        <v>11.016705798616128</v>
      </c>
      <c r="J42" s="120">
        <v>45045</v>
      </c>
      <c r="K42" s="121">
        <f t="shared" si="0"/>
        <v>4.8117931554435479E-2</v>
      </c>
    </row>
    <row r="43" spans="1:11" x14ac:dyDescent="0.25">
      <c r="A43" s="122" t="s">
        <v>53</v>
      </c>
      <c r="B43" s="123">
        <v>2.0249999999999999</v>
      </c>
      <c r="C43" s="124">
        <v>-26.166814120024384</v>
      </c>
      <c r="D43" s="124">
        <v>-0.74710435608460291</v>
      </c>
      <c r="E43" s="125">
        <v>0.1171249980495</v>
      </c>
      <c r="F43" s="126">
        <v>5.7839505209629634</v>
      </c>
      <c r="G43" s="127">
        <v>9.4235928253125004E-3</v>
      </c>
      <c r="H43" s="126">
        <v>0.46536260865740742</v>
      </c>
      <c r="I43" s="126">
        <v>12.428911161663647</v>
      </c>
      <c r="J43" s="128">
        <v>45045</v>
      </c>
      <c r="K43" s="129">
        <f t="shared" si="0"/>
        <v>5.7839505209629632E-2</v>
      </c>
    </row>
    <row r="44" spans="1:11" x14ac:dyDescent="0.25">
      <c r="A44" s="122" t="s">
        <v>54</v>
      </c>
      <c r="B44" s="123">
        <v>1.8480000000000001</v>
      </c>
      <c r="C44" s="124">
        <v>-25.880895101708727</v>
      </c>
      <c r="D44" s="124">
        <v>-3.8174008537992226</v>
      </c>
      <c r="E44" s="125">
        <v>7.1056641671250004E-2</v>
      </c>
      <c r="F44" s="126">
        <v>3.8450563674918827</v>
      </c>
      <c r="G44" s="127">
        <v>9.1419326221874996E-3</v>
      </c>
      <c r="H44" s="126">
        <v>0.49469332371144475</v>
      </c>
      <c r="I44" s="126">
        <v>7.7726061444376988</v>
      </c>
      <c r="J44" s="128">
        <v>45045</v>
      </c>
      <c r="K44" s="129">
        <f t="shared" si="0"/>
        <v>3.8450563674918829E-2</v>
      </c>
    </row>
    <row r="45" spans="1:11" x14ac:dyDescent="0.25">
      <c r="A45" s="122" t="s">
        <v>55</v>
      </c>
      <c r="B45" s="123">
        <v>2.0110000000000001</v>
      </c>
      <c r="C45" s="124">
        <v>-25.997369503537811</v>
      </c>
      <c r="D45" s="124">
        <v>-1.1333863170185348</v>
      </c>
      <c r="E45" s="125">
        <v>9.6373046376749996E-2</v>
      </c>
      <c r="F45" s="126">
        <v>4.7922946979985079</v>
      </c>
      <c r="G45" s="127">
        <v>8.4232530806250018E-3</v>
      </c>
      <c r="H45" s="126">
        <v>0.4188589299167082</v>
      </c>
      <c r="I45" s="126">
        <v>11.441309605005856</v>
      </c>
      <c r="J45" s="128">
        <v>45045</v>
      </c>
      <c r="K45" s="129">
        <f t="shared" si="0"/>
        <v>4.792294697998508E-2</v>
      </c>
    </row>
    <row r="46" spans="1:11" x14ac:dyDescent="0.25">
      <c r="A46" s="122" t="s">
        <v>56</v>
      </c>
      <c r="B46" s="123">
        <v>1.9950000000000001</v>
      </c>
      <c r="C46" s="124">
        <v>-24.81986350304917</v>
      </c>
      <c r="D46" s="124">
        <v>-4.8134375179232896</v>
      </c>
      <c r="E46" s="125">
        <v>2.1440001280499998E-2</v>
      </c>
      <c r="F46" s="126">
        <v>1.0746867809774434</v>
      </c>
      <c r="G46" s="127">
        <v>5.5995181921874998E-3</v>
      </c>
      <c r="H46" s="126">
        <v>0.28067760361842103</v>
      </c>
      <c r="I46" s="126">
        <v>3.8289010848135629</v>
      </c>
      <c r="J46" s="128">
        <v>45045</v>
      </c>
      <c r="K46" s="129">
        <f t="shared" si="0"/>
        <v>1.0746867809774435E-2</v>
      </c>
    </row>
    <row r="47" spans="1:11" ht="15.75" thickBot="1" x14ac:dyDescent="0.3">
      <c r="A47" s="130" t="s">
        <v>57</v>
      </c>
      <c r="B47" s="208">
        <v>2.1760000000000002</v>
      </c>
      <c r="C47" s="209">
        <v>-25.926541431376524</v>
      </c>
      <c r="D47" s="209">
        <v>-2.2152418163259284</v>
      </c>
      <c r="E47" s="133">
        <v>6.6737122751250003E-2</v>
      </c>
      <c r="F47" s="134">
        <v>3.066963361730239</v>
      </c>
      <c r="G47" s="135">
        <v>1.13404762040625E-2</v>
      </c>
      <c r="H47" s="134">
        <v>0.52116159026022513</v>
      </c>
      <c r="I47" s="134">
        <v>5.8848607016469696</v>
      </c>
      <c r="J47" s="136">
        <v>45045</v>
      </c>
      <c r="K47" s="137">
        <f t="shared" si="0"/>
        <v>3.0669633617302388E-2</v>
      </c>
    </row>
    <row r="48" spans="1:11" x14ac:dyDescent="0.25">
      <c r="A48" s="138" t="s">
        <v>58</v>
      </c>
      <c r="B48" s="210">
        <v>1.75</v>
      </c>
      <c r="C48" s="211">
        <v>-24.829624699144155</v>
      </c>
      <c r="D48" s="211">
        <v>-1.5918156972141855</v>
      </c>
      <c r="E48" s="141">
        <v>6.5470128460624999E-2</v>
      </c>
      <c r="F48" s="142">
        <v>3.7411501977499997</v>
      </c>
      <c r="G48" s="143">
        <v>3.6854199580781252E-3</v>
      </c>
      <c r="H48" s="142">
        <v>0.21059542617589286</v>
      </c>
      <c r="I48" s="142">
        <v>17.764631766624067</v>
      </c>
      <c r="J48" s="144">
        <v>45100</v>
      </c>
      <c r="K48" s="145">
        <f t="shared" si="0"/>
        <v>3.7411501977499997E-2</v>
      </c>
    </row>
    <row r="49" spans="1:11" x14ac:dyDescent="0.25">
      <c r="A49" s="146" t="s">
        <v>59</v>
      </c>
      <c r="B49" s="147">
        <v>2.109</v>
      </c>
      <c r="C49" s="148">
        <v>-25.398494424168373</v>
      </c>
      <c r="D49" s="148">
        <v>-17.187401894562427</v>
      </c>
      <c r="E49" s="149">
        <v>7.1738917170749997E-2</v>
      </c>
      <c r="F49" s="150">
        <v>3.401560795199146</v>
      </c>
      <c r="G49" s="11">
        <v>4.1068464931406246E-3</v>
      </c>
      <c r="H49" s="150">
        <v>0.19472956344905759</v>
      </c>
      <c r="I49" s="150">
        <v>17.468127257877896</v>
      </c>
      <c r="J49" s="10">
        <v>45100</v>
      </c>
      <c r="K49" s="151">
        <f t="shared" si="0"/>
        <v>3.4015607951991461E-2</v>
      </c>
    </row>
    <row r="50" spans="1:11" x14ac:dyDescent="0.25">
      <c r="A50" s="146" t="s">
        <v>60</v>
      </c>
      <c r="B50" s="147">
        <v>2.359</v>
      </c>
      <c r="C50" s="148">
        <v>-25.108358632830726</v>
      </c>
      <c r="D50" s="148">
        <v>-15.216473670869309</v>
      </c>
      <c r="E50" s="149">
        <v>4.2194616513437498E-2</v>
      </c>
      <c r="F50" s="150">
        <v>1.7886653884458457</v>
      </c>
      <c r="G50" s="11">
        <v>8.2568382809062486E-3</v>
      </c>
      <c r="H50" s="150">
        <v>0.35001434001298215</v>
      </c>
      <c r="I50" s="150">
        <v>5.1102631634449702</v>
      </c>
      <c r="J50" s="10">
        <v>45100</v>
      </c>
      <c r="K50" s="151">
        <f t="shared" si="0"/>
        <v>1.7886653884458457E-2</v>
      </c>
    </row>
    <row r="51" spans="1:11" x14ac:dyDescent="0.25">
      <c r="A51" s="146" t="s">
        <v>61</v>
      </c>
      <c r="B51" s="147">
        <v>1.8660000000000001</v>
      </c>
      <c r="C51" s="148">
        <v>-25.392599516155702</v>
      </c>
      <c r="D51" s="148">
        <v>-6.2166572049171194</v>
      </c>
      <c r="E51" s="149">
        <v>7.7835546901874997E-2</v>
      </c>
      <c r="F51" s="150">
        <v>4.1712511737339222</v>
      </c>
      <c r="G51" s="11">
        <v>6.2214054598124999E-3</v>
      </c>
      <c r="H51" s="150">
        <v>0.33340865272307069</v>
      </c>
      <c r="I51" s="150">
        <v>12.510926575137702</v>
      </c>
      <c r="J51" s="10">
        <v>45100</v>
      </c>
      <c r="K51" s="151">
        <f t="shared" si="0"/>
        <v>4.1712511737339225E-2</v>
      </c>
    </row>
    <row r="52" spans="1:11" x14ac:dyDescent="0.25">
      <c r="A52" s="146" t="s">
        <v>62</v>
      </c>
      <c r="B52" s="152">
        <v>2.2109999999999999</v>
      </c>
      <c r="C52" s="153">
        <v>-26.188001565618531</v>
      </c>
      <c r="D52" s="153">
        <v>-2.1612698030062365</v>
      </c>
      <c r="E52" s="149">
        <v>0.10758820218224999</v>
      </c>
      <c r="F52" s="150">
        <v>4.866042613398915</v>
      </c>
      <c r="G52" s="11">
        <v>1.4330423351250001E-2</v>
      </c>
      <c r="H52" s="150">
        <v>0.64814216875848041</v>
      </c>
      <c r="I52" s="150">
        <v>7.5076778644411348</v>
      </c>
      <c r="J52" s="10">
        <v>45100</v>
      </c>
      <c r="K52" s="151">
        <f t="shared" si="0"/>
        <v>4.8660426133989146E-2</v>
      </c>
    </row>
    <row r="53" spans="1:11" ht="15.75" thickBot="1" x14ac:dyDescent="0.3">
      <c r="A53" s="154" t="s">
        <v>63</v>
      </c>
      <c r="B53" s="212">
        <v>1.8680000000000001</v>
      </c>
      <c r="C53" s="213">
        <v>-24.325345615603162</v>
      </c>
      <c r="D53" s="213">
        <v>-3.7251891623428444</v>
      </c>
      <c r="E53" s="157">
        <v>4.1293259153374992E-2</v>
      </c>
      <c r="F53" s="158">
        <v>2.2105599118509094</v>
      </c>
      <c r="G53" s="159">
        <v>3.2440670218124995E-3</v>
      </c>
      <c r="H53" s="158">
        <v>0.17366525812700745</v>
      </c>
      <c r="I53" s="158">
        <v>12.728855130219827</v>
      </c>
      <c r="J53" s="160">
        <v>45100</v>
      </c>
      <c r="K53" s="161">
        <f t="shared" si="0"/>
        <v>2.2105599118509095E-2</v>
      </c>
    </row>
    <row r="54" spans="1:11" x14ac:dyDescent="0.25">
      <c r="A54" s="30" t="s">
        <v>64</v>
      </c>
      <c r="B54" s="36">
        <v>2.3479999999999999</v>
      </c>
      <c r="C54" s="37">
        <v>-25.073708703049103</v>
      </c>
      <c r="D54" s="37">
        <v>-4.1705460267146259</v>
      </c>
      <c r="E54" s="31">
        <v>3.3254521879499996E-2</v>
      </c>
      <c r="F54" s="32">
        <v>1.4162913918015332</v>
      </c>
      <c r="G54" s="33">
        <v>1.3559283408750001E-2</v>
      </c>
      <c r="H54" s="32">
        <v>0.57748225761286209</v>
      </c>
      <c r="I54" s="32">
        <v>2.4525279748958102</v>
      </c>
      <c r="J54" s="34">
        <v>45120</v>
      </c>
      <c r="K54" s="35">
        <f t="shared" si="0"/>
        <v>1.4162913918015331E-2</v>
      </c>
    </row>
    <row r="55" spans="1:11" x14ac:dyDescent="0.25">
      <c r="A55" s="38" t="s">
        <v>65</v>
      </c>
      <c r="B55" s="39">
        <v>2.0059999999999998</v>
      </c>
      <c r="C55" s="40">
        <v>-25.048535019625906</v>
      </c>
      <c r="D55" s="40">
        <v>-3.5236559780174019</v>
      </c>
      <c r="E55" s="41">
        <v>3.2831144978625E-2</v>
      </c>
      <c r="F55" s="42">
        <v>1.6366473070102194</v>
      </c>
      <c r="G55" s="43">
        <v>1.3054441025625E-2</v>
      </c>
      <c r="H55" s="42">
        <v>0.65076974205508487</v>
      </c>
      <c r="I55" s="42">
        <v>2.5149406944487049</v>
      </c>
      <c r="J55" s="28">
        <v>45120</v>
      </c>
      <c r="K55" s="29">
        <f t="shared" si="0"/>
        <v>1.6366473070102194E-2</v>
      </c>
    </row>
    <row r="56" spans="1:11" x14ac:dyDescent="0.25">
      <c r="A56" s="38" t="s">
        <v>66</v>
      </c>
      <c r="B56" s="39">
        <v>1.992</v>
      </c>
      <c r="C56" s="40">
        <v>-25.122913237622171</v>
      </c>
      <c r="D56" s="40">
        <v>-4.8762030740209221</v>
      </c>
      <c r="E56" s="41">
        <v>3.2430294143999998E-2</v>
      </c>
      <c r="F56" s="42">
        <v>1.6280268144578312</v>
      </c>
      <c r="G56" s="43">
        <v>1.3134819616875E-2</v>
      </c>
      <c r="H56" s="42">
        <v>0.65937849482304212</v>
      </c>
      <c r="I56" s="42">
        <v>2.4690323194339934</v>
      </c>
      <c r="J56" s="28">
        <v>45120</v>
      </c>
      <c r="K56" s="29">
        <f t="shared" si="0"/>
        <v>1.6280268144578312E-2</v>
      </c>
    </row>
    <row r="57" spans="1:11" x14ac:dyDescent="0.25">
      <c r="A57" s="38" t="s">
        <v>67</v>
      </c>
      <c r="B57" s="39">
        <v>2.1360000000000001</v>
      </c>
      <c r="C57" s="40">
        <v>-25.943905523397799</v>
      </c>
      <c r="D57" s="40">
        <v>-1.7484335415791623</v>
      </c>
      <c r="E57" s="41">
        <v>0.10333480772399999</v>
      </c>
      <c r="F57" s="42">
        <v>4.8377718971910104</v>
      </c>
      <c r="G57" s="43">
        <v>8.0501506481250006E-3</v>
      </c>
      <c r="H57" s="42">
        <v>0.37687971199087078</v>
      </c>
      <c r="I57" s="42">
        <v>12.83638185678776</v>
      </c>
      <c r="J57" s="28">
        <v>45120</v>
      </c>
      <c r="K57" s="29">
        <f t="shared" si="0"/>
        <v>4.8377718971910101E-2</v>
      </c>
    </row>
    <row r="58" spans="1:11" x14ac:dyDescent="0.25">
      <c r="A58" s="38" t="s">
        <v>68</v>
      </c>
      <c r="B58" s="39">
        <v>2.0489999999999999</v>
      </c>
      <c r="C58" s="40">
        <v>-24.87901218393003</v>
      </c>
      <c r="D58" s="40">
        <v>-4.5736234114048795</v>
      </c>
      <c r="E58" s="41">
        <v>1.6136492700187501E-2</v>
      </c>
      <c r="F58" s="42">
        <v>0.78753014642203523</v>
      </c>
      <c r="G58" s="43">
        <v>5.5636888035937504E-3</v>
      </c>
      <c r="H58" s="42">
        <v>0.27153190842331631</v>
      </c>
      <c r="I58" s="42">
        <v>2.9003226581911745</v>
      </c>
      <c r="J58" s="28">
        <v>45120</v>
      </c>
      <c r="K58" s="29">
        <f t="shared" si="0"/>
        <v>7.8753014642203526E-3</v>
      </c>
    </row>
    <row r="59" spans="1:11" ht="15.75" thickBot="1" x14ac:dyDescent="0.3">
      <c r="A59" s="162" t="s">
        <v>69</v>
      </c>
      <c r="B59" s="214">
        <v>2.0449999999999999</v>
      </c>
      <c r="C59" s="215">
        <v>-25.221746628569154</v>
      </c>
      <c r="D59" s="215">
        <v>-4.7807169801974396</v>
      </c>
      <c r="E59" s="165">
        <v>2.5132861837687499E-2</v>
      </c>
      <c r="F59" s="166">
        <v>1.2289907989089242</v>
      </c>
      <c r="G59" s="167">
        <v>6.0400620675000009E-3</v>
      </c>
      <c r="H59" s="166">
        <v>0.29535755831295851</v>
      </c>
      <c r="I59" s="166">
        <v>4.161027081645547</v>
      </c>
      <c r="J59" s="58">
        <v>45120</v>
      </c>
      <c r="K59" s="59">
        <f t="shared" si="0"/>
        <v>1.2289907989089242E-2</v>
      </c>
    </row>
    <row r="60" spans="1:11" x14ac:dyDescent="0.25">
      <c r="A60" s="168" t="s">
        <v>70</v>
      </c>
      <c r="B60" s="169">
        <v>2.1659999999999999</v>
      </c>
      <c r="C60" s="170">
        <v>-25.282953606804789</v>
      </c>
      <c r="D60" s="170">
        <v>1.2601685824648063</v>
      </c>
      <c r="E60" s="171">
        <v>7.4627252889749987E-2</v>
      </c>
      <c r="F60" s="172">
        <v>3.4453948702562318</v>
      </c>
      <c r="G60" s="173">
        <v>7.8202946596874993E-3</v>
      </c>
      <c r="H60" s="172">
        <v>0.36104776822195289</v>
      </c>
      <c r="I60" s="172">
        <v>9.5427673939759341</v>
      </c>
      <c r="J60" s="67">
        <v>45134</v>
      </c>
      <c r="K60" s="68">
        <f t="shared" si="0"/>
        <v>3.4453948702562319E-2</v>
      </c>
    </row>
    <row r="61" spans="1:11" x14ac:dyDescent="0.25">
      <c r="A61" s="174" t="s">
        <v>71</v>
      </c>
      <c r="B61" s="216">
        <v>1.9410000000000001</v>
      </c>
      <c r="C61" s="217">
        <v>-25.858879091927744</v>
      </c>
      <c r="D61" s="217">
        <v>-1.0363414077839677</v>
      </c>
      <c r="E61" s="177">
        <v>0.124093842936</v>
      </c>
      <c r="F61" s="178">
        <v>6.3932943295208657</v>
      </c>
      <c r="G61" s="179">
        <v>8.646821086875001E-3</v>
      </c>
      <c r="H61" s="178">
        <v>0.44548279685085013</v>
      </c>
      <c r="I61" s="178">
        <v>14.35138320652452</v>
      </c>
      <c r="J61" s="76">
        <v>45134</v>
      </c>
      <c r="K61" s="77">
        <f t="shared" si="0"/>
        <v>6.3932943295208655E-2</v>
      </c>
    </row>
    <row r="62" spans="1:11" x14ac:dyDescent="0.25">
      <c r="A62" s="174" t="s">
        <v>72</v>
      </c>
      <c r="B62" s="216">
        <v>2.0779999999999998</v>
      </c>
      <c r="C62" s="217">
        <v>-24.832766067849235</v>
      </c>
      <c r="D62" s="217">
        <v>-5.0419845166076431</v>
      </c>
      <c r="E62" s="177">
        <v>3.9734568271499994E-2</v>
      </c>
      <c r="F62" s="178">
        <v>1.912154392276227</v>
      </c>
      <c r="G62" s="179">
        <v>6.7338353981250005E-3</v>
      </c>
      <c r="H62" s="178">
        <v>0.32405367652189609</v>
      </c>
      <c r="I62" s="178">
        <v>5.9007335229138311</v>
      </c>
      <c r="J62" s="76">
        <v>45134</v>
      </c>
      <c r="K62" s="77">
        <f t="shared" si="0"/>
        <v>1.9121543922762271E-2</v>
      </c>
    </row>
    <row r="63" spans="1:11" x14ac:dyDescent="0.25">
      <c r="A63" s="174" t="s">
        <v>73</v>
      </c>
      <c r="B63" s="175">
        <v>2.105</v>
      </c>
      <c r="C63" s="176">
        <v>-25.407123316505402</v>
      </c>
      <c r="D63" s="176">
        <v>3.8649433301531642</v>
      </c>
      <c r="E63" s="177">
        <v>8.9592463445374998E-2</v>
      </c>
      <c r="F63" s="178">
        <v>4.2561740354097388</v>
      </c>
      <c r="G63" s="179">
        <v>4.0582605854531254E-3</v>
      </c>
      <c r="H63" s="178">
        <v>0.19279147674361641</v>
      </c>
      <c r="I63" s="178">
        <v>22.076567425591165</v>
      </c>
      <c r="J63" s="76">
        <v>45134</v>
      </c>
      <c r="K63" s="77">
        <f t="shared" si="0"/>
        <v>4.2561740354097384E-2</v>
      </c>
    </row>
    <row r="64" spans="1:11" x14ac:dyDescent="0.25">
      <c r="A64" s="174" t="s">
        <v>74</v>
      </c>
      <c r="B64" s="216">
        <v>1.901</v>
      </c>
      <c r="C64" s="217">
        <v>-25.715519350051782</v>
      </c>
      <c r="D64" s="217">
        <v>-1.9019938687601083</v>
      </c>
      <c r="E64" s="177">
        <v>7.2311710424249984E-2</v>
      </c>
      <c r="F64" s="178">
        <v>3.8038774552472372</v>
      </c>
      <c r="G64" s="179">
        <v>7.4870013290625004E-3</v>
      </c>
      <c r="H64" s="178">
        <v>0.39384541446935828</v>
      </c>
      <c r="I64" s="178">
        <v>9.6583007329724406</v>
      </c>
      <c r="J64" s="76">
        <v>45134</v>
      </c>
      <c r="K64" s="77">
        <f t="shared" si="0"/>
        <v>3.8038774552472371E-2</v>
      </c>
    </row>
    <row r="65" spans="1:11" ht="15.75" thickBot="1" x14ac:dyDescent="0.3">
      <c r="A65" s="180" t="s">
        <v>75</v>
      </c>
      <c r="B65" s="218">
        <v>1.742</v>
      </c>
      <c r="C65" s="219">
        <v>-25.706554579970742</v>
      </c>
      <c r="D65" s="219">
        <v>-2.9412997464643968</v>
      </c>
      <c r="E65" s="183">
        <v>7.2344083501499984E-2</v>
      </c>
      <c r="F65" s="184">
        <v>4.1529324627726742</v>
      </c>
      <c r="G65" s="185">
        <v>1.59767045325E-2</v>
      </c>
      <c r="H65" s="184">
        <v>0.91714721770952934</v>
      </c>
      <c r="I65" s="184">
        <v>4.5280979788001208</v>
      </c>
      <c r="J65" s="85">
        <v>45134</v>
      </c>
      <c r="K65" s="86">
        <f t="shared" si="0"/>
        <v>4.1529324627726745E-2</v>
      </c>
    </row>
    <row r="66" spans="1:11" x14ac:dyDescent="0.25">
      <c r="A66" s="186" t="s">
        <v>76</v>
      </c>
      <c r="B66" s="220">
        <v>2.4580000000000002</v>
      </c>
      <c r="C66" s="221">
        <v>-25.507028412540357</v>
      </c>
      <c r="D66" s="221">
        <v>3.6052284301031929</v>
      </c>
      <c r="E66" s="189">
        <v>0.1182875150395</v>
      </c>
      <c r="F66" s="190">
        <v>4.8123480487998371</v>
      </c>
      <c r="G66" s="191">
        <v>5.08671067303125E-3</v>
      </c>
      <c r="H66" s="190">
        <v>0.20694510467987184</v>
      </c>
      <c r="I66" s="190">
        <v>23.254225105948599</v>
      </c>
      <c r="J66" s="94">
        <v>45146</v>
      </c>
      <c r="K66" s="95">
        <f t="shared" si="0"/>
        <v>4.8123480487998367E-2</v>
      </c>
    </row>
    <row r="67" spans="1:11" x14ac:dyDescent="0.25">
      <c r="A67" s="192" t="s">
        <v>77</v>
      </c>
      <c r="B67" s="198">
        <v>1.9279999999999999</v>
      </c>
      <c r="C67" s="199">
        <v>-25.546980737339524</v>
      </c>
      <c r="D67" s="199">
        <v>1.5976270032765689</v>
      </c>
      <c r="E67" s="195">
        <v>0.102625879500125</v>
      </c>
      <c r="F67" s="196">
        <v>5.3229190612098032</v>
      </c>
      <c r="G67" s="197">
        <v>4.3786440464062496E-3</v>
      </c>
      <c r="H67" s="196">
        <v>0.2271080936932702</v>
      </c>
      <c r="I67" s="196">
        <v>23.437821940414334</v>
      </c>
      <c r="J67" s="103">
        <v>45146</v>
      </c>
      <c r="K67" s="104">
        <f>E67/B67</f>
        <v>5.3229190612098028E-2</v>
      </c>
    </row>
    <row r="68" spans="1:11" x14ac:dyDescent="0.25">
      <c r="A68" s="192" t="s">
        <v>78</v>
      </c>
      <c r="B68" s="193">
        <v>2.1779999999999999</v>
      </c>
      <c r="C68" s="194">
        <v>-26.830180654754049</v>
      </c>
      <c r="D68" s="194">
        <v>2.2610033173148265</v>
      </c>
      <c r="E68" s="195">
        <v>0.32170648487100001</v>
      </c>
      <c r="F68" s="196">
        <v>14.77072933292011</v>
      </c>
      <c r="G68" s="197">
        <v>1.763577148875E-2</v>
      </c>
      <c r="H68" s="196">
        <v>0.80972320884986226</v>
      </c>
      <c r="I68" s="196">
        <v>18.241701820428958</v>
      </c>
      <c r="J68" s="103">
        <v>45146</v>
      </c>
      <c r="K68" s="104"/>
    </row>
    <row r="69" spans="1:11" x14ac:dyDescent="0.25">
      <c r="A69" s="192" t="s">
        <v>79</v>
      </c>
      <c r="B69" s="198">
        <v>2.093</v>
      </c>
      <c r="C69" s="199">
        <v>-25.055947817622762</v>
      </c>
      <c r="D69" s="199">
        <v>0.91643830189617947</v>
      </c>
      <c r="E69" s="195">
        <v>6.5246052533249999E-2</v>
      </c>
      <c r="F69" s="196">
        <v>3.1173460359890113</v>
      </c>
      <c r="G69" s="197">
        <v>3.5472578961093749E-3</v>
      </c>
      <c r="H69" s="196">
        <v>0.16948198261392142</v>
      </c>
      <c r="I69" s="196">
        <v>18.393377206887532</v>
      </c>
      <c r="J69" s="103">
        <v>45146</v>
      </c>
      <c r="K69" s="104">
        <f>E69/B69</f>
        <v>3.1173460359890111E-2</v>
      </c>
    </row>
    <row r="70" spans="1:11" ht="15.75" thickBot="1" x14ac:dyDescent="0.3">
      <c r="A70" s="200" t="s">
        <v>80</v>
      </c>
      <c r="B70" s="201">
        <v>2.0840000000000001</v>
      </c>
      <c r="C70" s="202">
        <v>-25.508941504145387</v>
      </c>
      <c r="D70" s="202">
        <v>-1.36964841832443</v>
      </c>
      <c r="E70" s="203">
        <v>6.2759670890250002E-2</v>
      </c>
      <c r="F70" s="204">
        <v>3.0115005225647793</v>
      </c>
      <c r="G70" s="205">
        <v>7.5660358650000009E-3</v>
      </c>
      <c r="H70" s="204">
        <v>0.36305354438579657</v>
      </c>
      <c r="I70" s="204">
        <v>8.2949211462996413</v>
      </c>
      <c r="J70" s="112">
        <v>45146</v>
      </c>
      <c r="K70" s="113">
        <f>E70/B70</f>
        <v>3.0115005225647792E-2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2026-06-18T21:39:52Z</dcterms:created>
  <dcterms:modified xsi:type="dcterms:W3CDTF">2026-06-18T23:45:56Z</dcterms:modified>
</cp:coreProperties>
</file>