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hysteresis\data\"/>
    </mc:Choice>
  </mc:AlternateContent>
  <xr:revisionPtr revIDLastSave="0" documentId="13_ncr:1_{7CE2F4B8-14B6-4A25-9784-FD39F4754279}" xr6:coauthVersionLast="47" xr6:coauthVersionMax="47" xr10:uidLastSave="{00000000-0000-0000-0000-000000000000}"/>
  <bookViews>
    <workbookView xWindow="-105" yWindow="0" windowWidth="14610" windowHeight="15585" tabRatio="623" activeTab="3" xr2:uid="{FEC01F85-CDE9-417C-893C-E562E55652ED}"/>
  </bookViews>
  <sheets>
    <sheet name="Spring" sheetId="4" r:id="rId1"/>
    <sheet name="Summer " sheetId="1" r:id="rId2"/>
    <sheet name="Grab Samples" sheetId="2" r:id="rId3"/>
    <sheet name="Experiment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5" l="1"/>
  <c r="I18" i="5"/>
  <c r="I19" i="5"/>
  <c r="I21" i="5"/>
  <c r="I22" i="5"/>
  <c r="I29" i="5"/>
  <c r="I32" i="5"/>
  <c r="I33" i="5"/>
  <c r="I34" i="5"/>
  <c r="I36" i="5"/>
  <c r="I39" i="5"/>
  <c r="I40" i="5"/>
  <c r="I43" i="5"/>
  <c r="I48" i="5"/>
  <c r="I49" i="5"/>
  <c r="I51" i="5"/>
  <c r="I54" i="5"/>
  <c r="I59" i="5"/>
  <c r="I61" i="5"/>
  <c r="I62" i="5"/>
  <c r="I63" i="5"/>
  <c r="I64" i="5"/>
  <c r="I66" i="5"/>
  <c r="I70" i="5"/>
  <c r="I73" i="5"/>
  <c r="I74" i="5"/>
  <c r="I76" i="5"/>
  <c r="I78" i="5"/>
  <c r="I82" i="5"/>
  <c r="I86" i="5"/>
  <c r="I88" i="5"/>
  <c r="I90" i="5"/>
  <c r="I93" i="5"/>
  <c r="I95" i="5"/>
  <c r="I102" i="5"/>
  <c r="I104" i="5"/>
  <c r="I106" i="5"/>
  <c r="I108" i="5"/>
  <c r="I109" i="5"/>
  <c r="I110" i="5"/>
  <c r="I16" i="5"/>
  <c r="I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7" i="5"/>
  <c r="E20" i="5"/>
  <c r="E18" i="5"/>
  <c r="E19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2" i="5"/>
  <c r="I14" i="4"/>
  <c r="F3" i="5"/>
  <c r="F4" i="5"/>
  <c r="F6" i="5"/>
  <c r="F7" i="5"/>
  <c r="F8" i="5"/>
  <c r="F9" i="5"/>
  <c r="F10" i="5"/>
  <c r="F11" i="5"/>
  <c r="F12" i="5"/>
  <c r="F13" i="5"/>
  <c r="F14" i="5"/>
  <c r="F15" i="5"/>
  <c r="F16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2" i="5"/>
  <c r="H167" i="4" l="1"/>
  <c r="H165" i="4"/>
  <c r="H161" i="4"/>
  <c r="H160" i="4"/>
  <c r="H117" i="4"/>
  <c r="H116" i="4"/>
  <c r="H115" i="4"/>
  <c r="H105" i="4"/>
  <c r="H92" i="4"/>
  <c r="H76" i="4"/>
  <c r="H74" i="4"/>
  <c r="H67" i="4"/>
  <c r="H14" i="4"/>
  <c r="I14" i="1" l="1"/>
  <c r="I160" i="4"/>
  <c r="I161" i="4"/>
  <c r="I165" i="4"/>
  <c r="I167" i="4"/>
  <c r="E149" i="4"/>
  <c r="F149" i="4" s="1"/>
  <c r="E150" i="4"/>
  <c r="F150" i="4" s="1"/>
  <c r="E151" i="4"/>
  <c r="F151" i="4" s="1"/>
  <c r="E152" i="4"/>
  <c r="F152" i="4" s="1"/>
  <c r="E155" i="4"/>
  <c r="F155" i="4" s="1"/>
  <c r="E158" i="4"/>
  <c r="F158" i="4" s="1"/>
  <c r="E160" i="4"/>
  <c r="F160" i="4" s="1"/>
  <c r="E161" i="4"/>
  <c r="F161" i="4" s="1"/>
  <c r="E163" i="4"/>
  <c r="F163" i="4" s="1"/>
  <c r="E165" i="4"/>
  <c r="F165" i="4" s="1"/>
  <c r="E147" i="4"/>
  <c r="F147" i="4" s="1"/>
  <c r="E148" i="4"/>
  <c r="F148" i="4" s="1"/>
  <c r="E145" i="4"/>
  <c r="F145" i="4" s="1"/>
  <c r="E146" i="4"/>
  <c r="F146" i="4" s="1"/>
  <c r="E167" i="4"/>
  <c r="E132" i="4"/>
  <c r="F132" i="4" s="1"/>
  <c r="E133" i="4"/>
  <c r="F133" i="4" s="1"/>
  <c r="E134" i="4"/>
  <c r="F134" i="4" s="1"/>
  <c r="E135" i="4"/>
  <c r="F135" i="4" s="1"/>
  <c r="E136" i="4"/>
  <c r="F136" i="4" s="1"/>
  <c r="E137" i="4"/>
  <c r="F137" i="4" s="1"/>
  <c r="E138" i="4"/>
  <c r="F138" i="4" s="1"/>
  <c r="E139" i="4"/>
  <c r="F139" i="4" s="1"/>
  <c r="E140" i="4"/>
  <c r="F140" i="4" s="1"/>
  <c r="E141" i="4"/>
  <c r="F141" i="4" s="1"/>
  <c r="E142" i="4"/>
  <c r="F142" i="4" s="1"/>
  <c r="E143" i="4"/>
  <c r="F143" i="4" s="1"/>
  <c r="E144" i="4"/>
  <c r="F144" i="4" s="1"/>
  <c r="E123" i="4"/>
  <c r="F123" i="4" s="1"/>
  <c r="E124" i="4"/>
  <c r="F124" i="4" s="1"/>
  <c r="E126" i="4"/>
  <c r="F126" i="4" s="1"/>
  <c r="E127" i="4"/>
  <c r="E128" i="4"/>
  <c r="F128" i="4" s="1"/>
  <c r="E129" i="4"/>
  <c r="F129" i="4" s="1"/>
  <c r="E130" i="4"/>
  <c r="F130" i="4" s="1"/>
  <c r="E131" i="4"/>
  <c r="F131" i="4" s="1"/>
  <c r="I117" i="4"/>
  <c r="E117" i="4"/>
  <c r="F117" i="4" s="1"/>
  <c r="E118" i="4"/>
  <c r="F118" i="4" s="1"/>
  <c r="E119" i="4"/>
  <c r="F119" i="4" s="1"/>
  <c r="E120" i="4"/>
  <c r="E121" i="4"/>
  <c r="F121" i="4" s="1"/>
  <c r="E122" i="4"/>
  <c r="F122" i="4" s="1"/>
  <c r="E99" i="4"/>
  <c r="F99" i="4" s="1"/>
  <c r="E100" i="4"/>
  <c r="F100" i="4" s="1"/>
  <c r="E101" i="4"/>
  <c r="F101" i="4" s="1"/>
  <c r="E102" i="4"/>
  <c r="F102" i="4" s="1"/>
  <c r="E103" i="4"/>
  <c r="F103" i="4" s="1"/>
  <c r="E104" i="4"/>
  <c r="F104" i="4" s="1"/>
  <c r="E105" i="4"/>
  <c r="F105" i="4" s="1"/>
  <c r="E106" i="4"/>
  <c r="F106" i="4" s="1"/>
  <c r="E107" i="4"/>
  <c r="F107" i="4" s="1"/>
  <c r="E108" i="4"/>
  <c r="F108" i="4" s="1"/>
  <c r="E109" i="4"/>
  <c r="F109" i="4" s="1"/>
  <c r="E110" i="4"/>
  <c r="E111" i="4"/>
  <c r="F111" i="4" s="1"/>
  <c r="E112" i="4"/>
  <c r="F112" i="4" s="1"/>
  <c r="E113" i="4"/>
  <c r="F113" i="4" s="1"/>
  <c r="E114" i="4"/>
  <c r="F114" i="4" s="1"/>
  <c r="E116" i="4"/>
  <c r="F116" i="4" s="1"/>
  <c r="I116" i="4"/>
  <c r="I115" i="4"/>
  <c r="I105" i="4"/>
  <c r="I92" i="4"/>
  <c r="E88" i="4"/>
  <c r="F88" i="4" s="1"/>
  <c r="E89" i="4"/>
  <c r="F89" i="4" s="1"/>
  <c r="E90" i="4"/>
  <c r="F90" i="4" s="1"/>
  <c r="E91" i="4"/>
  <c r="F91" i="4" s="1"/>
  <c r="E92" i="4"/>
  <c r="F92" i="4" s="1"/>
  <c r="E93" i="4"/>
  <c r="F93" i="4" s="1"/>
  <c r="E94" i="4"/>
  <c r="F94" i="4" s="1"/>
  <c r="E95" i="4"/>
  <c r="F95" i="4" s="1"/>
  <c r="E96" i="4"/>
  <c r="F96" i="4" s="1"/>
  <c r="E97" i="4"/>
  <c r="F97" i="4" s="1"/>
  <c r="E98" i="4"/>
  <c r="F98" i="4" s="1"/>
  <c r="E84" i="4"/>
  <c r="F84" i="4" s="1"/>
  <c r="E85" i="4"/>
  <c r="F85" i="4" s="1"/>
  <c r="E86" i="4"/>
  <c r="F86" i="4" s="1"/>
  <c r="E87" i="4"/>
  <c r="I67" i="4"/>
  <c r="I74" i="4"/>
  <c r="I76" i="4"/>
  <c r="E83" i="4"/>
  <c r="F83" i="4" s="1"/>
  <c r="E67" i="4"/>
  <c r="F67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F73" i="4" s="1"/>
  <c r="E74" i="4"/>
  <c r="F74" i="4" s="1"/>
  <c r="E76" i="4"/>
  <c r="F76" i="4" s="1"/>
  <c r="E78" i="4"/>
  <c r="F78" i="4" s="1"/>
  <c r="E80" i="4"/>
  <c r="F80" i="4" s="1"/>
  <c r="E81" i="4"/>
  <c r="F81" i="4" s="1"/>
  <c r="E82" i="4"/>
  <c r="F82" i="4" s="1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44" i="4"/>
  <c r="E45" i="4"/>
  <c r="E46" i="4"/>
  <c r="E47" i="4"/>
  <c r="E48" i="4"/>
  <c r="E49" i="4"/>
  <c r="E50" i="4"/>
  <c r="E51" i="4"/>
  <c r="E52" i="4"/>
  <c r="E53" i="4"/>
  <c r="E42" i="4"/>
  <c r="E29" i="4"/>
  <c r="E30" i="4"/>
  <c r="E31" i="4"/>
  <c r="E32" i="4"/>
  <c r="E33" i="4"/>
  <c r="E34" i="4"/>
  <c r="E35" i="4"/>
  <c r="E36" i="4"/>
  <c r="E37" i="4"/>
  <c r="E38" i="4"/>
  <c r="E39" i="4"/>
  <c r="E40" i="4"/>
  <c r="E43" i="4"/>
  <c r="E16" i="4"/>
  <c r="E18" i="4"/>
  <c r="E19" i="4"/>
  <c r="E20" i="4"/>
  <c r="E21" i="4"/>
  <c r="E22" i="4"/>
  <c r="E24" i="4"/>
  <c r="E25" i="4"/>
  <c r="E26" i="4"/>
  <c r="E27" i="4"/>
  <c r="E28" i="4"/>
  <c r="E14" i="4"/>
  <c r="F14" i="4" s="1"/>
  <c r="E15" i="4"/>
  <c r="E3" i="4"/>
  <c r="E4" i="4"/>
  <c r="E5" i="4"/>
  <c r="E6" i="4"/>
  <c r="E7" i="4"/>
  <c r="E8" i="4"/>
  <c r="E9" i="4"/>
  <c r="E10" i="4"/>
  <c r="E11" i="4"/>
  <c r="E12" i="4"/>
  <c r="E13" i="4"/>
  <c r="E2" i="4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I36" i="2"/>
  <c r="X17" i="2"/>
  <c r="X16" i="2"/>
  <c r="X15" i="2"/>
  <c r="X14" i="2"/>
  <c r="X13" i="2"/>
  <c r="U13" i="2"/>
  <c r="T13" i="2"/>
  <c r="X12" i="2"/>
  <c r="U12" i="2"/>
  <c r="T12" i="2"/>
  <c r="X11" i="2"/>
  <c r="U11" i="2"/>
  <c r="T11" i="2"/>
  <c r="I9" i="2"/>
  <c r="I8" i="2"/>
  <c r="I7" i="2"/>
  <c r="I6" i="2"/>
  <c r="I5" i="2"/>
  <c r="I4" i="2"/>
  <c r="I3" i="2"/>
  <c r="I2" i="2"/>
  <c r="F62" i="4" l="1"/>
  <c r="F47" i="4"/>
  <c r="F49" i="4"/>
  <c r="F52" i="4"/>
  <c r="F53" i="4"/>
  <c r="F29" i="4"/>
  <c r="F32" i="4"/>
  <c r="F34" i="4"/>
  <c r="F36" i="4"/>
  <c r="F39" i="4"/>
  <c r="F42" i="4"/>
  <c r="F54" i="4"/>
  <c r="F55" i="4"/>
  <c r="F56" i="4"/>
  <c r="F57" i="4"/>
  <c r="F58" i="4"/>
  <c r="F59" i="4"/>
  <c r="F60" i="4"/>
  <c r="F61" i="4"/>
  <c r="F63" i="4"/>
  <c r="F64" i="4"/>
  <c r="F65" i="4"/>
  <c r="F66" i="4"/>
  <c r="F44" i="4"/>
  <c r="F45" i="4"/>
  <c r="F46" i="4"/>
  <c r="F48" i="4"/>
  <c r="F50" i="4"/>
  <c r="F51" i="4"/>
  <c r="F30" i="4"/>
  <c r="F31" i="4"/>
  <c r="F33" i="4"/>
  <c r="F35" i="4"/>
  <c r="F37" i="4"/>
  <c r="F40" i="4"/>
  <c r="F43" i="4"/>
  <c r="F18" i="4"/>
  <c r="F24" i="4"/>
  <c r="F20" i="4"/>
  <c r="F21" i="4"/>
  <c r="F16" i="4"/>
  <c r="F25" i="4"/>
  <c r="F19" i="4"/>
  <c r="F22" i="4"/>
  <c r="F3" i="4"/>
  <c r="F4" i="4"/>
  <c r="F6" i="4"/>
  <c r="F7" i="4"/>
  <c r="F10" i="4"/>
  <c r="F11" i="4"/>
  <c r="F13" i="4"/>
  <c r="F2" i="4"/>
  <c r="F15" i="4"/>
  <c r="F5" i="4"/>
  <c r="F8" i="4"/>
  <c r="F9" i="4"/>
  <c r="F12" i="4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W17" i="2"/>
  <c r="W11" i="2"/>
  <c r="W14" i="2"/>
  <c r="W12" i="2"/>
  <c r="W15" i="2"/>
  <c r="W16" i="2"/>
  <c r="S11" i="2"/>
  <c r="S16" i="2" l="1"/>
  <c r="S17" i="2"/>
  <c r="S14" i="2"/>
  <c r="S15" i="2"/>
  <c r="S12" i="2"/>
  <c r="S13" i="2"/>
  <c r="I15" i="1" l="1"/>
  <c r="I16" i="1"/>
  <c r="I17" i="1"/>
  <c r="I18" i="1"/>
  <c r="I19" i="1"/>
  <c r="I20" i="1"/>
  <c r="E15" i="1"/>
  <c r="F15" i="1" s="1"/>
  <c r="E16" i="1"/>
  <c r="F16" i="1" s="1"/>
  <c r="E17" i="1"/>
  <c r="F17" i="1" s="1"/>
  <c r="E19" i="1"/>
  <c r="F19" i="1" s="1"/>
  <c r="E18" i="1"/>
  <c r="F18" i="1" s="1"/>
  <c r="E20" i="1"/>
  <c r="F20" i="1" s="1"/>
  <c r="E14" i="1"/>
  <c r="F14" i="1" s="1"/>
  <c r="I87" i="1"/>
  <c r="I76" i="1"/>
  <c r="I60" i="1"/>
  <c r="I62" i="1"/>
  <c r="I66" i="1"/>
  <c r="I68" i="1"/>
  <c r="I69" i="1"/>
  <c r="I70" i="1"/>
  <c r="I52" i="1"/>
  <c r="I57" i="1"/>
  <c r="I58" i="1"/>
  <c r="I49" i="1"/>
  <c r="I51" i="1"/>
  <c r="I45" i="1"/>
  <c r="I21" i="1"/>
  <c r="W13" i="2" s="1"/>
  <c r="I22" i="1"/>
  <c r="I23" i="1"/>
  <c r="I24" i="1"/>
  <c r="I25" i="1"/>
  <c r="I26" i="1"/>
  <c r="I33" i="1"/>
  <c r="I34" i="1"/>
  <c r="I35" i="1"/>
  <c r="I36" i="1"/>
  <c r="I37" i="1"/>
  <c r="I38" i="1"/>
  <c r="I40" i="1"/>
  <c r="I41" i="1"/>
  <c r="I42" i="1"/>
  <c r="I43" i="1"/>
  <c r="I29" i="1"/>
  <c r="I77" i="1"/>
  <c r="I78" i="1"/>
  <c r="I79" i="1"/>
  <c r="I81" i="1"/>
  <c r="I82" i="1"/>
  <c r="I83" i="1"/>
  <c r="I84" i="1"/>
  <c r="I85" i="1"/>
  <c r="I71" i="1"/>
  <c r="I72" i="1"/>
  <c r="I73" i="1"/>
  <c r="I50" i="1"/>
  <c r="I53" i="1"/>
  <c r="I54" i="1"/>
  <c r="I55" i="1"/>
  <c r="I56" i="1"/>
  <c r="I39" i="1"/>
  <c r="I47" i="1"/>
  <c r="I2" i="1"/>
  <c r="I4" i="1"/>
  <c r="E2" i="1"/>
  <c r="F2" i="1" s="1"/>
  <c r="I27" i="1"/>
  <c r="I28" i="1"/>
  <c r="I30" i="1"/>
  <c r="I31" i="1"/>
  <c r="I32" i="1"/>
  <c r="I3" i="1"/>
  <c r="I5" i="1"/>
  <c r="I6" i="1"/>
  <c r="I7" i="1"/>
  <c r="I8" i="1"/>
  <c r="I9" i="1"/>
  <c r="I10" i="1"/>
  <c r="I11" i="1"/>
  <c r="I12" i="1"/>
  <c r="I13" i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F38" i="1" l="1"/>
  <c r="F39" i="1"/>
  <c r="E28" i="1" l="1"/>
  <c r="F28" i="1" s="1"/>
  <c r="E29" i="1"/>
  <c r="E33" i="1" l="1"/>
  <c r="F33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34" i="1"/>
  <c r="F34" i="1" s="1"/>
  <c r="E35" i="1"/>
  <c r="F35" i="1" s="1"/>
  <c r="E36" i="1"/>
  <c r="F36" i="1" s="1"/>
  <c r="E37" i="1"/>
  <c r="F37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F29" i="1"/>
  <c r="E30" i="1"/>
  <c r="F30" i="1" s="1"/>
  <c r="E31" i="1"/>
  <c r="F31" i="1" s="1"/>
  <c r="E32" i="1"/>
  <c r="F32" i="1" s="1"/>
</calcChain>
</file>

<file path=xl/sharedStrings.xml><?xml version="1.0" encoding="utf-8"?>
<sst xmlns="http://schemas.openxmlformats.org/spreadsheetml/2006/main" count="580" uniqueCount="479">
  <si>
    <t>Volume filtered (mL)</t>
  </si>
  <si>
    <t>Sample ID</t>
  </si>
  <si>
    <t>pre-filter weight (g)</t>
  </si>
  <si>
    <t>post-filter weight (g)</t>
  </si>
  <si>
    <t>SS concentration (mg/L)</t>
  </si>
  <si>
    <t>Storm 1 (2021)</t>
  </si>
  <si>
    <t>Storm 2 (2022)</t>
  </si>
  <si>
    <t>ST5-D1</t>
  </si>
  <si>
    <t>ST5-D2</t>
  </si>
  <si>
    <t>ST5-D3</t>
  </si>
  <si>
    <t>ST5-D4</t>
  </si>
  <si>
    <t>ST5-D5</t>
  </si>
  <si>
    <t>ST5-U1</t>
  </si>
  <si>
    <t>ST5-U2</t>
  </si>
  <si>
    <t>ST5-U3</t>
  </si>
  <si>
    <t>ST5-U4</t>
  </si>
  <si>
    <t>ST5-U5</t>
  </si>
  <si>
    <t>ST5-U6</t>
  </si>
  <si>
    <t>ST5-U7</t>
  </si>
  <si>
    <t>ST5-U8</t>
  </si>
  <si>
    <t>ST5-U9</t>
  </si>
  <si>
    <t>ST5-U10</t>
  </si>
  <si>
    <t>ST5-U11</t>
  </si>
  <si>
    <t>ST5-U12</t>
  </si>
  <si>
    <t>ST4-D2</t>
  </si>
  <si>
    <t>ST4-D3</t>
  </si>
  <si>
    <t>ST4-D4</t>
  </si>
  <si>
    <t>ST4-D5</t>
  </si>
  <si>
    <t>ST4-U1</t>
  </si>
  <si>
    <t>ST4-U2</t>
  </si>
  <si>
    <t>ST4-U3</t>
  </si>
  <si>
    <t>ST4-U4</t>
  </si>
  <si>
    <t>ST4-U5</t>
  </si>
  <si>
    <t>ST4-U6</t>
  </si>
  <si>
    <t>ST4-U7</t>
  </si>
  <si>
    <t>ST4-U9</t>
  </si>
  <si>
    <t>ST4-U11</t>
  </si>
  <si>
    <t>ST4-U14</t>
  </si>
  <si>
    <t>ST6-U1</t>
  </si>
  <si>
    <t>ST6-U2</t>
  </si>
  <si>
    <t>ST6-U3</t>
  </si>
  <si>
    <t>ST6-U4</t>
  </si>
  <si>
    <t>ST6-U5</t>
  </si>
  <si>
    <t>ST6-U8</t>
  </si>
  <si>
    <t>ST6-U10</t>
  </si>
  <si>
    <t>ST7-D1</t>
  </si>
  <si>
    <t>ST7-D2</t>
  </si>
  <si>
    <t>ST7-D3</t>
  </si>
  <si>
    <t>ST7-D4</t>
  </si>
  <si>
    <t>ST7-D5</t>
  </si>
  <si>
    <t>ST7-D6</t>
  </si>
  <si>
    <t>ST7-U1</t>
  </si>
  <si>
    <t>ST7-U2</t>
  </si>
  <si>
    <t>ST7-U3</t>
  </si>
  <si>
    <t>ST7-U5</t>
  </si>
  <si>
    <t>ST7-U7</t>
  </si>
  <si>
    <t>Storm 3 (2022)</t>
  </si>
  <si>
    <t>Storm 5 (2023)</t>
  </si>
  <si>
    <t>Storm 4 (2023)</t>
  </si>
  <si>
    <t>Storm 6 (2023)</t>
  </si>
  <si>
    <t>Storm 7 (2023)</t>
  </si>
  <si>
    <t>Lab ID</t>
  </si>
  <si>
    <t>ST4-D1</t>
  </si>
  <si>
    <t>ST4-D6</t>
  </si>
  <si>
    <t>ST4-D7</t>
  </si>
  <si>
    <t>ST5-U13</t>
  </si>
  <si>
    <t>ST6-U13</t>
  </si>
  <si>
    <t>DateTime</t>
  </si>
  <si>
    <t>ST7-U10</t>
  </si>
  <si>
    <t>DOC</t>
  </si>
  <si>
    <t>POC</t>
  </si>
  <si>
    <t>Total sediment on filter - (inorganic + organic) (g)</t>
  </si>
  <si>
    <t>mgC</t>
  </si>
  <si>
    <t>VC-BER-20</t>
  </si>
  <si>
    <t>VC-BER-21</t>
  </si>
  <si>
    <t>VC-BER-22</t>
  </si>
  <si>
    <t>VC-BER-23</t>
  </si>
  <si>
    <t>VC-BER-24</t>
  </si>
  <si>
    <t>VC-BER-25</t>
  </si>
  <si>
    <t>VC-BER-26</t>
  </si>
  <si>
    <t>VC-BER-27</t>
  </si>
  <si>
    <t>VC-BER-28</t>
  </si>
  <si>
    <t>VC-BER-29</t>
  </si>
  <si>
    <t>VC-BER-30</t>
  </si>
  <si>
    <t>VC-BER-31</t>
  </si>
  <si>
    <t>ST1-D1</t>
  </si>
  <si>
    <t>ST1-D2</t>
  </si>
  <si>
    <t>ST1-D5</t>
  </si>
  <si>
    <t>ST1-D6</t>
  </si>
  <si>
    <t>ST1-D10</t>
  </si>
  <si>
    <t>ST1-S18</t>
  </si>
  <si>
    <t>ST1-U1</t>
  </si>
  <si>
    <t>ST1-U3</t>
  </si>
  <si>
    <t>ST1-U8</t>
  </si>
  <si>
    <t>ST1-U11</t>
  </si>
  <si>
    <t>ST1-U15</t>
  </si>
  <si>
    <t>ST1-U24</t>
  </si>
  <si>
    <t>LISST concentration (uL/L)</t>
  </si>
  <si>
    <t>ST2-U1</t>
  </si>
  <si>
    <t>ST2-U2</t>
  </si>
  <si>
    <t>ST2-U3</t>
  </si>
  <si>
    <t>ST2-U4</t>
  </si>
  <si>
    <t>ST2-U5</t>
  </si>
  <si>
    <t>ST2-U6</t>
  </si>
  <si>
    <t>ST2-U7</t>
  </si>
  <si>
    <t>ST3-U1</t>
  </si>
  <si>
    <t>ST3-U2</t>
  </si>
  <si>
    <t>ST3-U3</t>
  </si>
  <si>
    <t>ST3-U4</t>
  </si>
  <si>
    <t>ST3-U5</t>
  </si>
  <si>
    <t>ST3-U6</t>
  </si>
  <si>
    <t>ST3-U7</t>
  </si>
  <si>
    <t>ST3-U8</t>
  </si>
  <si>
    <t>ST3-U9</t>
  </si>
  <si>
    <t>ST3-U10</t>
  </si>
  <si>
    <t>ST3-U11</t>
  </si>
  <si>
    <t>ST3-U12</t>
  </si>
  <si>
    <t>PP (mg/L)</t>
  </si>
  <si>
    <t>SRP</t>
  </si>
  <si>
    <t>TP</t>
  </si>
  <si>
    <t xml:space="preserve">Grab Samples </t>
  </si>
  <si>
    <t>VC-BER-7</t>
  </si>
  <si>
    <t>VC-BER-8</t>
  </si>
  <si>
    <t>VC-BER-9</t>
  </si>
  <si>
    <t>VC-BER-10</t>
  </si>
  <si>
    <t>VC-BER-11</t>
  </si>
  <si>
    <t>VC-BER-12</t>
  </si>
  <si>
    <t>VC-BER-13</t>
  </si>
  <si>
    <t>VC-BER-14</t>
  </si>
  <si>
    <t>GSU1</t>
  </si>
  <si>
    <t>GSD1</t>
  </si>
  <si>
    <t>GSU2</t>
  </si>
  <si>
    <t>GSD2</t>
  </si>
  <si>
    <t>GSU4</t>
  </si>
  <si>
    <t>GSD5</t>
  </si>
  <si>
    <t>GSD4</t>
  </si>
  <si>
    <t>GSU5</t>
  </si>
  <si>
    <t>GSU6</t>
  </si>
  <si>
    <t>GSD6</t>
  </si>
  <si>
    <t>GSU7</t>
  </si>
  <si>
    <t>GSD7</t>
  </si>
  <si>
    <t>GSU8</t>
  </si>
  <si>
    <t>GSD8</t>
  </si>
  <si>
    <t>GSU9</t>
  </si>
  <si>
    <t>GSD9</t>
  </si>
  <si>
    <t>GSU10</t>
  </si>
  <si>
    <t>GSD10</t>
  </si>
  <si>
    <t>GSUB11</t>
  </si>
  <si>
    <t>GSUT11</t>
  </si>
  <si>
    <t>GSDB 11</t>
  </si>
  <si>
    <t>GSDT 11</t>
  </si>
  <si>
    <t>GSUB12</t>
  </si>
  <si>
    <t>GSUT12</t>
  </si>
  <si>
    <t>GSDB12</t>
  </si>
  <si>
    <t>GSDT12</t>
  </si>
  <si>
    <t>GSUB13</t>
  </si>
  <si>
    <t>GSUT13</t>
  </si>
  <si>
    <t>GSDB13</t>
  </si>
  <si>
    <t>GSDT13</t>
  </si>
  <si>
    <t>GSUB14</t>
  </si>
  <si>
    <t>GSUT14</t>
  </si>
  <si>
    <t>GSDT14</t>
  </si>
  <si>
    <t>GSDB14</t>
  </si>
  <si>
    <t>GSU15</t>
  </si>
  <si>
    <t>GSD16</t>
  </si>
  <si>
    <t>GSU16</t>
  </si>
  <si>
    <t>Summer 2021</t>
  </si>
  <si>
    <t>Summer 2022</t>
  </si>
  <si>
    <t>Summer 2023</t>
  </si>
  <si>
    <t>Spring 2022</t>
  </si>
  <si>
    <t>Spring 2023</t>
  </si>
  <si>
    <t>Grab Samples</t>
  </si>
  <si>
    <t>SS (uL/L)</t>
  </si>
  <si>
    <t>SSC (mg/L)</t>
  </si>
  <si>
    <t>SRP (mg/L)</t>
  </si>
  <si>
    <t>TP (mg/L)</t>
  </si>
  <si>
    <t>POC (mg/L)</t>
  </si>
  <si>
    <t>DOC (mg/L)</t>
  </si>
  <si>
    <t xml:space="preserve">Starting Concentrations for hysteresis patterns </t>
  </si>
  <si>
    <t>-</t>
  </si>
  <si>
    <t>Downstream</t>
  </si>
  <si>
    <t>Upstream</t>
  </si>
  <si>
    <t>DOWN#1 4/15/23</t>
  </si>
  <si>
    <t>DOWN#2 4/15/23</t>
  </si>
  <si>
    <t>DOWN#3 4/15/23</t>
  </si>
  <si>
    <t>DOWN#4 4/16/23</t>
  </si>
  <si>
    <t>DOWN#7 4/16/23</t>
  </si>
  <si>
    <t>DOWN#8 4/16/23</t>
  </si>
  <si>
    <t>DOWN#10 4/17/23</t>
  </si>
  <si>
    <t>DOWN#11 4/17/23</t>
  </si>
  <si>
    <t>DOWN#12 4/17/23</t>
  </si>
  <si>
    <t>DOWN#13 4/17/23</t>
  </si>
  <si>
    <t>DOWN#14 4/17/23</t>
  </si>
  <si>
    <t>DOWN#15 4/17/23</t>
  </si>
  <si>
    <t>DOWN#17 4/18/23</t>
  </si>
  <si>
    <t>DOWN#16 4/18/23</t>
  </si>
  <si>
    <t>DOWN#18 4/18/23</t>
  </si>
  <si>
    <t>DOWN#19 4/18/23</t>
  </si>
  <si>
    <t>DOWN#1 4/18/23</t>
  </si>
  <si>
    <t>DOWN#2 4/18/23</t>
  </si>
  <si>
    <t>DOWN#3 4/19/23</t>
  </si>
  <si>
    <t>DOWN#4 4/19/23</t>
  </si>
  <si>
    <t>DOWN#5 4/19/23</t>
  </si>
  <si>
    <t>DOWN#9 4/20/23</t>
  </si>
  <si>
    <t>DOWN#10 4/20/23</t>
  </si>
  <si>
    <t>DOWN#11 4/20/23</t>
  </si>
  <si>
    <t>DOWN#12 4/21/23</t>
  </si>
  <si>
    <t>DOWN#13 4/21/23</t>
  </si>
  <si>
    <t>DOWN#14 4/21/23</t>
  </si>
  <si>
    <t>DOWN#1 4/23/23</t>
  </si>
  <si>
    <t>DOWN#2 4/23/23</t>
  </si>
  <si>
    <t>DOWN#3 4/24/23</t>
  </si>
  <si>
    <t>DOWN#4 4/24/23</t>
  </si>
  <si>
    <t>DOWN#5 4/24/23</t>
  </si>
  <si>
    <t>DOWN#6 4/24/23</t>
  </si>
  <si>
    <t>DOWN#7 4/24/23</t>
  </si>
  <si>
    <t>DOWN#8 4/25/23</t>
  </si>
  <si>
    <t>DOWN#9 4/25/23</t>
  </si>
  <si>
    <t>DOWN#10 4/25/23</t>
  </si>
  <si>
    <t>DOWN#11 4/25/23</t>
  </si>
  <si>
    <t>DOWN#12 4/25/23</t>
  </si>
  <si>
    <t>DOWN#13 4/26/23</t>
  </si>
  <si>
    <t>DOWN#15 4/26/23</t>
  </si>
  <si>
    <t>DOWN#16 4/26/23</t>
  </si>
  <si>
    <t>DOWN#17 4/27/23</t>
  </si>
  <si>
    <t>DOWN#18 4/27/23</t>
  </si>
  <si>
    <t>DOWN#19 4/27/23</t>
  </si>
  <si>
    <t>DOWN#20 4/27/23</t>
  </si>
  <si>
    <t>DOWN#21 4/28/23</t>
  </si>
  <si>
    <t>DOWN#22 4/28/23</t>
  </si>
  <si>
    <t>DOWN#23 4/28/23</t>
  </si>
  <si>
    <t>DOWN#24 4/28/23</t>
  </si>
  <si>
    <t>DOWN#1 4/28/23</t>
  </si>
  <si>
    <t>DOWN#2 4/28/23</t>
  </si>
  <si>
    <t>DOWN#3 4/29/23</t>
  </si>
  <si>
    <t>DOWN#4 4/29/23</t>
  </si>
  <si>
    <t>DOWN#5 4/29/23</t>
  </si>
  <si>
    <t>DOWN#6 4/29/23</t>
  </si>
  <si>
    <t>DOWN#7 4/29/23</t>
  </si>
  <si>
    <t>DOWN#8 4/30/23</t>
  </si>
  <si>
    <t>DOWN#9 4/30/23</t>
  </si>
  <si>
    <t>DOWN#10 4/30/23</t>
  </si>
  <si>
    <t>DOWN#11 4/30/23</t>
  </si>
  <si>
    <t>DOWN#12 4/30/23</t>
  </si>
  <si>
    <t>DOWN#13 5/1/23</t>
  </si>
  <si>
    <t>DOWN#14 5/1/23</t>
  </si>
  <si>
    <t>DOWN#15 5/1/23</t>
  </si>
  <si>
    <t>DOWN#16 5/2/23</t>
  </si>
  <si>
    <t>DOWN#17 5/2/23</t>
  </si>
  <si>
    <t>DOWN#18 5/2/23</t>
  </si>
  <si>
    <t>DOWN#19 5/2/23</t>
  </si>
  <si>
    <t>DOWN#20 5/3/23</t>
  </si>
  <si>
    <t>DOWN#21 5/3/23</t>
  </si>
  <si>
    <t>DOWN#22 5/3/23</t>
  </si>
  <si>
    <t>DOWN#1 5/3/23</t>
  </si>
  <si>
    <t>DOWN#3 5/4/23</t>
  </si>
  <si>
    <t>DOWN#5 5/4/23</t>
  </si>
  <si>
    <t>DOWN#7 5/4/23</t>
  </si>
  <si>
    <t>DOWN#8 5/4/23</t>
  </si>
  <si>
    <t>DOWN#9 5/4/23</t>
  </si>
  <si>
    <t>DOWN#10 5/4/23</t>
  </si>
  <si>
    <t>UP#14 4/17/23</t>
  </si>
  <si>
    <t>UP#15 4/17/23</t>
  </si>
  <si>
    <t>UP#16 4/17/23</t>
  </si>
  <si>
    <t>UP#17 4/18/23</t>
  </si>
  <si>
    <t>UP#18 4/18/23</t>
  </si>
  <si>
    <t>UP#19 4/18/23</t>
  </si>
  <si>
    <t>UP#1 4/18/23</t>
  </si>
  <si>
    <t>UP#2 4/18/23</t>
  </si>
  <si>
    <t>UP#3 4/19/23</t>
  </si>
  <si>
    <t>UP#4 4/19/23</t>
  </si>
  <si>
    <t>UP#5 4/19/23</t>
  </si>
  <si>
    <t>UP#6 4/19/23</t>
  </si>
  <si>
    <t>UP#7 4/19/23</t>
  </si>
  <si>
    <t>UP#8 4/20/23</t>
  </si>
  <si>
    <t>UP#9 4/20/23</t>
  </si>
  <si>
    <t>UP#11  4/20/23</t>
  </si>
  <si>
    <t>UP#12  4/20/23</t>
  </si>
  <si>
    <t>UP#14 4/21/23</t>
  </si>
  <si>
    <t>UP#15 4/21/23</t>
  </si>
  <si>
    <t>UP#16 4/21/23</t>
  </si>
  <si>
    <t>UP#17 4/22/23</t>
  </si>
  <si>
    <t>UP#18 4/22/23</t>
  </si>
  <si>
    <t>UP#19 4/22/23</t>
  </si>
  <si>
    <t>UP#20 4/22/23</t>
  </si>
  <si>
    <t>UP#21 4/23/23</t>
  </si>
  <si>
    <t>UP#22 4/23/23</t>
  </si>
  <si>
    <t>UP#23 4/23/23</t>
  </si>
  <si>
    <t>UP#1 4/23/23</t>
  </si>
  <si>
    <t>UP#2 4/23/23</t>
  </si>
  <si>
    <t>UP#3 4/24/23</t>
  </si>
  <si>
    <t>UP#4 4/24/23</t>
  </si>
  <si>
    <t>UP#5 4/24/23</t>
  </si>
  <si>
    <t>UP#6 4/24/23</t>
  </si>
  <si>
    <t>UP#8 4/25/23</t>
  </si>
  <si>
    <t>UP#10 4/25/23</t>
  </si>
  <si>
    <t>UP#11 4/25/23</t>
  </si>
  <si>
    <t>UP#15 4/26/23</t>
  </si>
  <si>
    <t>UP#16 4/26/23</t>
  </si>
  <si>
    <t>UP#7 4/24/23</t>
  </si>
  <si>
    <t>UP#17 4/27/23</t>
  </si>
  <si>
    <t>UP#18 4/27/23</t>
  </si>
  <si>
    <t>UP#19 4/27/23</t>
  </si>
  <si>
    <t>UP#20 4/27/23</t>
  </si>
  <si>
    <t>UP#21 4/27/23</t>
  </si>
  <si>
    <t>UP#22 4/28/23</t>
  </si>
  <si>
    <t>UP#23 4/28/23</t>
  </si>
  <si>
    <t>UP#24 4/28/23</t>
  </si>
  <si>
    <t>UP#1 4/28/23</t>
  </si>
  <si>
    <t>UP#2 4/29/23</t>
  </si>
  <si>
    <t>UP#3 4/29/23</t>
  </si>
  <si>
    <t>UP#5 4/29/23</t>
  </si>
  <si>
    <t>UP#6 4/29/23</t>
  </si>
  <si>
    <t>UP#7 4/29/23</t>
  </si>
  <si>
    <t>UP#8 4/30/23</t>
  </si>
  <si>
    <t>UP#9 4/30/23</t>
  </si>
  <si>
    <t>UP#10 4/30/23</t>
  </si>
  <si>
    <t>UP#11 4/30/23</t>
  </si>
  <si>
    <t>UP#12 4/30/23</t>
  </si>
  <si>
    <t>UP#13 5/01/23</t>
  </si>
  <si>
    <t>UP#14 5/01/23</t>
  </si>
  <si>
    <t>UP#15 5/01/23</t>
  </si>
  <si>
    <t>UP#16 5/2/23</t>
  </si>
  <si>
    <t>UP#17 5/2/23</t>
  </si>
  <si>
    <t>UP#18 5/2/23</t>
  </si>
  <si>
    <t>UP#19 5/2/23</t>
  </si>
  <si>
    <t>UP#20 5/3/23</t>
  </si>
  <si>
    <t>UP#21 5/3/23</t>
  </si>
  <si>
    <t>UP#22  5/3/23</t>
  </si>
  <si>
    <t>UP#1 5/3/23</t>
  </si>
  <si>
    <t>UP#4 5/4/23</t>
  </si>
  <si>
    <t>UP#7 5/4/23</t>
  </si>
  <si>
    <t>UP#9 5/4/23</t>
  </si>
  <si>
    <t>UP#10</t>
  </si>
  <si>
    <t>UP#12 5/5/23</t>
  </si>
  <si>
    <t>UP#14 5/5/23</t>
  </si>
  <si>
    <t>UP#16 5/5/23</t>
  </si>
  <si>
    <t xml:space="preserve">Respective Reach Turbidity </t>
  </si>
  <si>
    <t xml:space="preserve">Downstream Turbidity </t>
  </si>
  <si>
    <t xml:space="preserve">Upstream Turbidity </t>
  </si>
  <si>
    <t>Downstream fDOM</t>
  </si>
  <si>
    <t>Upstream fDOM</t>
  </si>
  <si>
    <t xml:space="preserve">Respective Site fDOM </t>
  </si>
  <si>
    <t>LISST (uL/L)</t>
  </si>
  <si>
    <t>Exp 1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</si>
  <si>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</si>
  <si>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</si>
  <si>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</si>
  <si>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</si>
  <si>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</si>
  <si>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</si>
  <si>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</si>
  <si>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</si>
  <si>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</si>
  <si>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</si>
  <si>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</si>
  <si>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</si>
  <si>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</si>
  <si>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</si>
  <si>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</si>
  <si>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VC-BER-32</t>
  </si>
  <si>
    <t>VC-BER-33</t>
  </si>
  <si>
    <t>VC-BER-34</t>
  </si>
  <si>
    <t>VC-BER-35</t>
  </si>
  <si>
    <t>VC-BER-36</t>
  </si>
  <si>
    <t>VC-BER-37</t>
  </si>
  <si>
    <t>VC-BER-38</t>
  </si>
  <si>
    <t>VC-BER-39</t>
  </si>
  <si>
    <t>VC-BER-40</t>
  </si>
  <si>
    <t>VC-BER-41</t>
  </si>
  <si>
    <t>VC-BER-42</t>
  </si>
  <si>
    <t>VC-BER-43</t>
  </si>
  <si>
    <t>VC-BER-44</t>
  </si>
  <si>
    <t>VC-BER-45</t>
  </si>
  <si>
    <t>VC-BER-46</t>
  </si>
  <si>
    <t>VC-BER-47</t>
  </si>
  <si>
    <t>2021 Armor Removal Experiment</t>
  </si>
  <si>
    <t>Exp 1 C B#1</t>
  </si>
  <si>
    <t>Exp 1 C B#2</t>
  </si>
  <si>
    <t>Exp 1 C B#3</t>
  </si>
  <si>
    <t>Exp 1 C B#4</t>
  </si>
  <si>
    <t>Exp 1 C B#5</t>
  </si>
  <si>
    <t>Exp 1 C B#6</t>
  </si>
  <si>
    <t>Exp 1 C B#7</t>
  </si>
  <si>
    <t>Exp 1 C B#8</t>
  </si>
  <si>
    <t>Exp 1 C B#9</t>
  </si>
  <si>
    <t>Exp 1 C B#10</t>
  </si>
  <si>
    <t>Exp 1 C B#11</t>
  </si>
  <si>
    <t>Exp 1 C B#12</t>
  </si>
  <si>
    <t>Exp 1 C B#13</t>
  </si>
  <si>
    <t>Exp 1 C B#14</t>
  </si>
  <si>
    <t>Exp 2 C B#1</t>
  </si>
  <si>
    <t>Exp 2 C B#2</t>
  </si>
  <si>
    <t>Exp 2 C B#3</t>
  </si>
  <si>
    <t>Exp 2 C B#4</t>
  </si>
  <si>
    <t>Exp 2 C B#5</t>
  </si>
  <si>
    <t>Exp 2 C B#6</t>
  </si>
  <si>
    <t>Exp 2 C B#7</t>
  </si>
  <si>
    <t>Exp 2 C B#8</t>
  </si>
  <si>
    <t>Exp 2 C B#9</t>
  </si>
  <si>
    <t>Exp 2 C B#10</t>
  </si>
  <si>
    <t>Exp 2 C B#11</t>
  </si>
  <si>
    <t>Exp 2 C B#12</t>
  </si>
  <si>
    <t>Exp 2 C B#13</t>
  </si>
  <si>
    <t>Exp 2 C B#14</t>
  </si>
  <si>
    <t>Exp 2 C B#15</t>
  </si>
  <si>
    <t>Exp 2 C B#16</t>
  </si>
  <si>
    <t>Exp 3 C B#1</t>
  </si>
  <si>
    <t>Exp 3 C B#2</t>
  </si>
  <si>
    <t>Exp 3 C B#3</t>
  </si>
  <si>
    <t>Exp 3 C B#4</t>
  </si>
  <si>
    <t>Exp 3 C B#5</t>
  </si>
  <si>
    <t>Exp 3 C B#6</t>
  </si>
  <si>
    <t>Exp 3 C B#7</t>
  </si>
  <si>
    <t>Exp 3 C B#8</t>
  </si>
  <si>
    <t>Exp 3 C B#9</t>
  </si>
  <si>
    <t>Exp 3 C B#10</t>
  </si>
  <si>
    <t>Exp 3 C B#11</t>
  </si>
  <si>
    <t>Exp 3 C B#12</t>
  </si>
  <si>
    <t>Exp 3 C B#13</t>
  </si>
  <si>
    <t>Exp 4 C B#1</t>
  </si>
  <si>
    <t>Exp 4 C B#2</t>
  </si>
  <si>
    <t>Exp 4 C B#3</t>
  </si>
  <si>
    <t>Exp 4 C B#4</t>
  </si>
  <si>
    <t>Exp 4 C B#5</t>
  </si>
  <si>
    <t>Exp 4 C B#6</t>
  </si>
  <si>
    <t>Exp 4 C B#7</t>
  </si>
  <si>
    <t>Exp 4 C B#8</t>
  </si>
  <si>
    <t>Exp 4 C B#9</t>
  </si>
  <si>
    <t>Exp 4 C B#10</t>
  </si>
  <si>
    <t>Exp 4 C B#11</t>
  </si>
  <si>
    <t>Exp 4 C B#12</t>
  </si>
  <si>
    <t>Exp 5 C B#1</t>
  </si>
  <si>
    <t>Exp 5 C B#2</t>
  </si>
  <si>
    <t>Exp 5 C B#3</t>
  </si>
  <si>
    <t>Exp 5 C B#4</t>
  </si>
  <si>
    <t>Exp 5 C B#5</t>
  </si>
  <si>
    <t>Exp 5 C B#6</t>
  </si>
  <si>
    <t>Exp 5 C B#7</t>
  </si>
  <si>
    <t>Exp 5 C B#8</t>
  </si>
  <si>
    <t>Exp 5 C B#9</t>
  </si>
  <si>
    <t>Exp 5 C B#10</t>
  </si>
  <si>
    <t>Exp 5 C B#11</t>
  </si>
  <si>
    <t>Exp 5 C B#12</t>
  </si>
  <si>
    <t>Exp 5 C B#13</t>
  </si>
  <si>
    <t>Exp 6 C B#1</t>
  </si>
  <si>
    <t>Exp 6 C B#2</t>
  </si>
  <si>
    <t>Exp 6 C B#3</t>
  </si>
  <si>
    <t>Exp 6 C B#4</t>
  </si>
  <si>
    <t>Exp 6 C B#5</t>
  </si>
  <si>
    <t>Exp 6 C B#6</t>
  </si>
  <si>
    <t>Exp 6 C B#7</t>
  </si>
  <si>
    <t>Exp 6 C B#8</t>
  </si>
  <si>
    <t>Exp 6 C B#9</t>
  </si>
  <si>
    <t>Exp 6 C B#10</t>
  </si>
  <si>
    <t>Exp 6 C B#11</t>
  </si>
  <si>
    <t>Exp 7 C B#1</t>
  </si>
  <si>
    <t>Exp 7 C B#2</t>
  </si>
  <si>
    <t>Exp 7 C B#3</t>
  </si>
  <si>
    <t>Exp 7 C B#4</t>
  </si>
  <si>
    <t>Exp 7 C B#5</t>
  </si>
  <si>
    <t>Exp 8 C B#1</t>
  </si>
  <si>
    <t>Exp 8 C B#2</t>
  </si>
  <si>
    <t>Exp 8 C B#3</t>
  </si>
  <si>
    <t>Exp 8 C B#4</t>
  </si>
  <si>
    <t>Exp 8 C B#5</t>
  </si>
  <si>
    <t>Exp 8 C B#6</t>
  </si>
  <si>
    <t>Exp 8 C B#7</t>
  </si>
  <si>
    <t>Exp 8 C B#8</t>
  </si>
  <si>
    <t>Exp 8 C B#10</t>
  </si>
  <si>
    <t>Exp 8 C B#11</t>
  </si>
  <si>
    <t>Exp 1 - Aug 2</t>
  </si>
  <si>
    <t>Exp 2 - Aug 2</t>
  </si>
  <si>
    <t>Exp 3 - Aug 2</t>
  </si>
  <si>
    <t>Exp 4 - Aug 3</t>
  </si>
  <si>
    <t>Exp 5 - Aug 3</t>
  </si>
  <si>
    <t>Exp 6 - Aug 4</t>
  </si>
  <si>
    <t xml:space="preserve">Exp 8 - Aug 5 </t>
  </si>
  <si>
    <t xml:space="preserve">Exp 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</si>
</sst>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0"/>
      <name val="MS Sans Serif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sz val="12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71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22" fontId="0" fillId="0" borderId="1" xfId="0" applyNumberFormat="1" applyBorder="1"/>
    <xf numFmtId="164" fontId="0" fillId="3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 wrapText="1"/>
    </xf>
    <xf numFmtId="164" fontId="4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 wrapText="1"/>
    </xf>
    <xf numFmtId="2" fontId="4" fillId="4" borderId="1" xfId="0" applyNumberFormat="1" applyFont="1" applyFill="1" applyBorder="1" applyAlignment="1">
      <alignment horizontal="center"/>
    </xf>
    <xf numFmtId="2" fontId="4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 wrapText="1"/>
    </xf>
    <xf numFmtId="2" fontId="4" fillId="2" borderId="1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165" fontId="8" fillId="4" borderId="1" xfId="0" applyNumberFormat="1" applyFont="1" applyFill="1" applyBorder="1" applyAlignment="1">
      <alignment horizontal="center"/>
    </xf>
    <xf numFmtId="165" fontId="8" fillId="6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 wrapText="1"/>
    </xf>
    <xf numFmtId="2" fontId="4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 wrapText="1"/>
    </xf>
    <xf numFmtId="2" fontId="4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164" fontId="5" fillId="0" borderId="0" xfId="0" applyNumberFormat="1" applyFont="1" applyAlignment="1">
      <alignment horizontal="center" wrapText="1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164" fontId="5" fillId="10" borderId="1" xfId="0" applyNumberFormat="1" applyFont="1" applyFill="1" applyBorder="1" applyAlignment="1">
      <alignment horizontal="center" wrapText="1"/>
    </xf>
    <xf numFmtId="2" fontId="4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64" fontId="5" fillId="11" borderId="1" xfId="0" applyNumberFormat="1" applyFont="1" applyFill="1" applyBorder="1" applyAlignment="1">
      <alignment horizontal="center" wrapText="1"/>
    </xf>
    <xf numFmtId="2" fontId="4" fillId="11" borderId="1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64" fontId="0" fillId="12" borderId="1" xfId="0" applyNumberFormat="1" applyFill="1" applyBorder="1" applyAlignment="1">
      <alignment horizontal="center"/>
    </xf>
    <xf numFmtId="164" fontId="4" fillId="12" borderId="1" xfId="0" applyNumberFormat="1" applyFont="1" applyFill="1" applyBorder="1" applyAlignment="1">
      <alignment horizontal="center"/>
    </xf>
    <xf numFmtId="2" fontId="4" fillId="12" borderId="1" xfId="0" applyNumberFormat="1" applyFont="1" applyFill="1" applyBorder="1" applyAlignment="1">
      <alignment horizontal="center"/>
    </xf>
    <xf numFmtId="2" fontId="3" fillId="12" borderId="1" xfId="0" applyNumberFormat="1" applyFont="1" applyFill="1" applyBorder="1" applyAlignment="1">
      <alignment horizontal="center"/>
    </xf>
    <xf numFmtId="22" fontId="0" fillId="0" borderId="4" xfId="0" applyNumberFormat="1" applyBorder="1"/>
    <xf numFmtId="0" fontId="0" fillId="5" borderId="3" xfId="0" applyFill="1" applyBorder="1" applyAlignment="1">
      <alignment horizontal="center"/>
    </xf>
    <xf numFmtId="164" fontId="0" fillId="5" borderId="3" xfId="0" applyNumberFormat="1" applyFill="1" applyBorder="1" applyAlignment="1">
      <alignment horizontal="center"/>
    </xf>
    <xf numFmtId="164" fontId="4" fillId="5" borderId="3" xfId="0" applyNumberFormat="1" applyFont="1" applyFill="1" applyBorder="1" applyAlignment="1">
      <alignment horizontal="center"/>
    </xf>
    <xf numFmtId="2" fontId="4" fillId="5" borderId="3" xfId="0" applyNumberFormat="1" applyFont="1" applyFill="1" applyBorder="1" applyAlignment="1">
      <alignment horizontal="center"/>
    </xf>
    <xf numFmtId="2" fontId="3" fillId="5" borderId="3" xfId="0" applyNumberFormat="1" applyFont="1" applyFill="1" applyBorder="1" applyAlignment="1">
      <alignment horizontal="center"/>
    </xf>
    <xf numFmtId="22" fontId="0" fillId="0" borderId="3" xfId="0" applyNumberFormat="1" applyBorder="1"/>
    <xf numFmtId="0" fontId="0" fillId="6" borderId="4" xfId="0" applyFill="1" applyBorder="1" applyAlignment="1">
      <alignment horizontal="center"/>
    </xf>
    <xf numFmtId="164" fontId="5" fillId="6" borderId="4" xfId="0" applyNumberFormat="1" applyFont="1" applyFill="1" applyBorder="1" applyAlignment="1">
      <alignment horizontal="center" wrapText="1"/>
    </xf>
    <xf numFmtId="2" fontId="4" fillId="6" borderId="4" xfId="0" applyNumberFormat="1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164" fontId="5" fillId="4" borderId="5" xfId="0" applyNumberFormat="1" applyFont="1" applyFill="1" applyBorder="1" applyAlignment="1">
      <alignment horizontal="center" wrapText="1"/>
    </xf>
    <xf numFmtId="2" fontId="4" fillId="4" borderId="5" xfId="0" applyNumberFormat="1" applyFont="1" applyFill="1" applyBorder="1" applyAlignment="1">
      <alignment horizontal="center"/>
    </xf>
    <xf numFmtId="165" fontId="8" fillId="4" borderId="5" xfId="0" applyNumberFormat="1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22" fontId="0" fillId="0" borderId="5" xfId="0" applyNumberFormat="1" applyBorder="1"/>
    <xf numFmtId="164" fontId="0" fillId="4" borderId="0" xfId="0" applyNumberFormat="1" applyFill="1" applyAlignment="1">
      <alignment horizontal="center"/>
    </xf>
    <xf numFmtId="0" fontId="0" fillId="4" borderId="3" xfId="0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164" fontId="5" fillId="4" borderId="3" xfId="0" applyNumberFormat="1" applyFont="1" applyFill="1" applyBorder="1" applyAlignment="1">
      <alignment horizontal="center" wrapText="1"/>
    </xf>
    <xf numFmtId="2" fontId="4" fillId="4" borderId="3" xfId="0" applyNumberFormat="1" applyFont="1" applyFill="1" applyBorder="1" applyAlignment="1">
      <alignment horizontal="center"/>
    </xf>
    <xf numFmtId="165" fontId="8" fillId="4" borderId="3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164" fontId="0" fillId="6" borderId="5" xfId="0" applyNumberFormat="1" applyFill="1" applyBorder="1" applyAlignment="1">
      <alignment horizontal="center"/>
    </xf>
    <xf numFmtId="164" fontId="5" fillId="6" borderId="5" xfId="0" applyNumberFormat="1" applyFont="1" applyFill="1" applyBorder="1" applyAlignment="1">
      <alignment horizontal="center" wrapText="1"/>
    </xf>
    <xf numFmtId="2" fontId="4" fillId="6" borderId="5" xfId="0" applyNumberFormat="1" applyFont="1" applyFill="1" applyBorder="1" applyAlignment="1">
      <alignment horizontal="center"/>
    </xf>
    <xf numFmtId="165" fontId="8" fillId="6" borderId="5" xfId="0" applyNumberFormat="1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64" fontId="0" fillId="6" borderId="3" xfId="0" applyNumberFormat="1" applyFill="1" applyBorder="1" applyAlignment="1">
      <alignment horizontal="center"/>
    </xf>
    <xf numFmtId="164" fontId="5" fillId="6" borderId="3" xfId="0" applyNumberFormat="1" applyFont="1" applyFill="1" applyBorder="1" applyAlignment="1">
      <alignment horizontal="center" wrapText="1"/>
    </xf>
    <xf numFmtId="2" fontId="4" fillId="6" borderId="3" xfId="0" applyNumberFormat="1" applyFont="1" applyFill="1" applyBorder="1" applyAlignment="1">
      <alignment horizontal="center"/>
    </xf>
    <xf numFmtId="165" fontId="8" fillId="6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164" fontId="0" fillId="10" borderId="5" xfId="0" applyNumberFormat="1" applyFill="1" applyBorder="1" applyAlignment="1">
      <alignment horizontal="center"/>
    </xf>
    <xf numFmtId="164" fontId="5" fillId="10" borderId="5" xfId="0" applyNumberFormat="1" applyFont="1" applyFill="1" applyBorder="1" applyAlignment="1">
      <alignment horizontal="center" wrapText="1"/>
    </xf>
    <xf numFmtId="2" fontId="4" fillId="10" borderId="5" xfId="0" applyNumberFormat="1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center" wrapText="1"/>
    </xf>
    <xf numFmtId="2" fontId="4" fillId="2" borderId="3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164" fontId="0" fillId="11" borderId="5" xfId="0" applyNumberFormat="1" applyFill="1" applyBorder="1" applyAlignment="1">
      <alignment horizontal="center"/>
    </xf>
    <xf numFmtId="164" fontId="5" fillId="11" borderId="5" xfId="0" applyNumberFormat="1" applyFont="1" applyFill="1" applyBorder="1" applyAlignment="1">
      <alignment horizontal="center" wrapText="1"/>
    </xf>
    <xf numFmtId="2" fontId="4" fillId="11" borderId="5" xfId="0" applyNumberFormat="1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5" fillId="11" borderId="5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5" fillId="3" borderId="3" xfId="0" applyNumberFormat="1" applyFont="1" applyFill="1" applyBorder="1" applyAlignment="1">
      <alignment horizontal="center" wrapText="1"/>
    </xf>
    <xf numFmtId="2" fontId="4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164" fontId="0" fillId="8" borderId="4" xfId="0" applyNumberForma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164" fontId="0" fillId="7" borderId="5" xfId="0" applyNumberFormat="1" applyFill="1" applyBorder="1" applyAlignment="1">
      <alignment horizontal="center"/>
    </xf>
    <xf numFmtId="164" fontId="5" fillId="7" borderId="5" xfId="0" applyNumberFormat="1" applyFont="1" applyFill="1" applyBorder="1" applyAlignment="1">
      <alignment horizontal="center" wrapText="1"/>
    </xf>
    <xf numFmtId="2" fontId="4" fillId="7" borderId="5" xfId="0" applyNumberFormat="1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164" fontId="0" fillId="7" borderId="3" xfId="0" applyNumberFormat="1" applyFill="1" applyBorder="1" applyAlignment="1">
      <alignment horizontal="center"/>
    </xf>
    <xf numFmtId="164" fontId="5" fillId="7" borderId="3" xfId="0" applyNumberFormat="1" applyFont="1" applyFill="1" applyBorder="1" applyAlignment="1">
      <alignment horizontal="center" wrapText="1"/>
    </xf>
    <xf numFmtId="2" fontId="4" fillId="7" borderId="3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164" fontId="0" fillId="8" borderId="5" xfId="0" applyNumberForma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64" fontId="0" fillId="8" borderId="3" xfId="0" applyNumberForma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9" fillId="3" borderId="1" xfId="0" applyNumberFormat="1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65" fontId="9" fillId="3" borderId="3" xfId="0" applyNumberFormat="1" applyFont="1" applyFill="1" applyBorder="1" applyAlignment="1">
      <alignment horizontal="center" vertical="center" wrapText="1"/>
    </xf>
    <xf numFmtId="14" fontId="0" fillId="3" borderId="3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5" fontId="0" fillId="2" borderId="5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14" fontId="0" fillId="2" borderId="5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65" fontId="0" fillId="5" borderId="4" xfId="0" applyNumberFormat="1" applyFill="1" applyBorder="1" applyAlignment="1">
      <alignment horizontal="center"/>
    </xf>
    <xf numFmtId="2" fontId="0" fillId="5" borderId="4" xfId="0" applyNumberFormat="1" applyFill="1" applyBorder="1" applyAlignment="1">
      <alignment horizontal="center"/>
    </xf>
    <xf numFmtId="165" fontId="4" fillId="5" borderId="4" xfId="0" applyNumberFormat="1" applyFont="1" applyFill="1" applyBorder="1" applyAlignment="1">
      <alignment horizontal="center"/>
    </xf>
    <xf numFmtId="164" fontId="0" fillId="5" borderId="4" xfId="0" applyNumberForma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14" fontId="0" fillId="5" borderId="4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5" fontId="0" fillId="5" borderId="3" xfId="0" applyNumberFormat="1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165" fontId="4" fillId="5" borderId="3" xfId="0" applyNumberFormat="1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14" fontId="0" fillId="5" borderId="3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5" fontId="0" fillId="6" borderId="4" xfId="0" applyNumberFormat="1" applyFill="1" applyBorder="1" applyAlignment="1">
      <alignment horizontal="center"/>
    </xf>
    <xf numFmtId="2" fontId="0" fillId="6" borderId="4" xfId="0" applyNumberForma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14" fontId="0" fillId="6" borderId="4" xfId="0" applyNumberForma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7" xfId="0" applyFill="1" applyBorder="1" applyAlignment="1">
      <alignment horizontal="center"/>
    </xf>
    <xf numFmtId="165" fontId="0" fillId="6" borderId="3" xfId="0" applyNumberFormat="1" applyFill="1" applyBorder="1" applyAlignment="1">
      <alignment horizontal="center"/>
    </xf>
    <xf numFmtId="2" fontId="0" fillId="6" borderId="3" xfId="0" applyNumberForma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14" fontId="0" fillId="6" borderId="3" xfId="0" applyNumberFormat="1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165" fontId="0" fillId="13" borderId="4" xfId="0" applyNumberFormat="1" applyFill="1" applyBorder="1" applyAlignment="1">
      <alignment horizontal="center"/>
    </xf>
    <xf numFmtId="164" fontId="5" fillId="13" borderId="4" xfId="0" applyNumberFormat="1" applyFont="1" applyFill="1" applyBorder="1" applyAlignment="1">
      <alignment horizontal="center" wrapText="1"/>
    </xf>
    <xf numFmtId="2" fontId="0" fillId="13" borderId="4" xfId="0" applyNumberFormat="1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14" fontId="0" fillId="13" borderId="4" xfId="0" applyNumberForma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165" fontId="0" fillId="13" borderId="1" xfId="0" applyNumberForma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14" fontId="0" fillId="13" borderId="1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9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3" borderId="4" xfId="0" applyNumberFormat="1" applyFill="1" applyBorder="1" applyAlignment="1">
      <alignment horizontal="center"/>
    </xf>
    <xf numFmtId="165" fontId="0" fillId="0" borderId="0" xfId="0" applyNumberFormat="1"/>
    <xf numFmtId="2" fontId="0" fillId="0" borderId="0" xfId="0" applyNumberFormat="1"/>
    <xf numFmtId="0" fontId="0" fillId="3" borderId="2" xfId="0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22" fontId="0" fillId="3" borderId="1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64" fontId="5" fillId="3" borderId="4" xfId="0" applyNumberFormat="1" applyFont="1" applyFill="1" applyBorder="1" applyAlignment="1">
      <alignment horizontal="center" wrapText="1"/>
    </xf>
    <xf numFmtId="166" fontId="0" fillId="3" borderId="1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166" fontId="5" fillId="3" borderId="1" xfId="0" applyNumberFormat="1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22" fontId="5" fillId="3" borderId="1" xfId="0" applyNumberFormat="1" applyFont="1" applyFill="1" applyBorder="1" applyAlignment="1">
      <alignment horizontal="center"/>
    </xf>
    <xf numFmtId="0" fontId="0" fillId="6" borderId="1" xfId="0" applyFill="1" applyBorder="1"/>
    <xf numFmtId="22" fontId="0" fillId="6" borderId="1" xfId="0" applyNumberFormat="1" applyFill="1" applyBorder="1" applyAlignment="1">
      <alignment horizontal="center"/>
    </xf>
    <xf numFmtId="166" fontId="0" fillId="6" borderId="1" xfId="0" applyNumberFormat="1" applyFill="1" applyBorder="1" applyAlignment="1">
      <alignment horizontal="center"/>
    </xf>
    <xf numFmtId="2" fontId="4" fillId="6" borderId="2" xfId="0" applyNumberFormat="1" applyFont="1" applyFill="1" applyBorder="1" applyAlignment="1">
      <alignment horizontal="center"/>
    </xf>
    <xf numFmtId="22" fontId="0" fillId="6" borderId="4" xfId="0" applyNumberFormat="1" applyFill="1" applyBorder="1" applyAlignment="1">
      <alignment horizontal="center"/>
    </xf>
    <xf numFmtId="0" fontId="0" fillId="9" borderId="0" xfId="0" applyFill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9" borderId="0" xfId="0" applyFont="1" applyFill="1" applyAlignment="1">
      <alignment horizontal="center" vertical="center" wrapText="1"/>
    </xf>
    <xf numFmtId="0" fontId="0" fillId="2" borderId="1" xfId="0" applyFill="1" applyBorder="1"/>
    <xf numFmtId="164" fontId="4" fillId="2" borderId="1" xfId="0" applyNumberFormat="1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65" fontId="4" fillId="6" borderId="1" xfId="0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5" borderId="1" xfId="0" applyFill="1" applyBorder="1"/>
    <xf numFmtId="0" fontId="4" fillId="5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 wrapText="1"/>
    </xf>
    <xf numFmtId="164" fontId="4" fillId="3" borderId="0" xfId="0" applyNumberFormat="1" applyFont="1" applyFill="1" applyAlignment="1">
      <alignment horizontal="center"/>
    </xf>
    <xf numFmtId="21" fontId="0" fillId="3" borderId="1" xfId="0" applyNumberFormat="1" applyFill="1" applyBorder="1" applyAlignment="1">
      <alignment horizontal="center"/>
    </xf>
    <xf numFmtId="21" fontId="0" fillId="2" borderId="1" xfId="0" applyNumberFormat="1" applyFill="1" applyBorder="1" applyAlignment="1">
      <alignment horizontal="center"/>
    </xf>
    <xf numFmtId="21" fontId="0" fillId="6" borderId="1" xfId="0" applyNumberFormat="1" applyFill="1" applyBorder="1" applyAlignment="1">
      <alignment horizontal="center"/>
    </xf>
    <xf numFmtId="21" fontId="0" fillId="5" borderId="1" xfId="0" applyNumberFormat="1" applyFill="1" applyBorder="1" applyAlignment="1">
      <alignment horizontal="center"/>
    </xf>
  </cellXfs>
  <cellStyles count="2">
    <cellStyle name="Normal" xfId="0" builtinId="0"/>
    <cellStyle name="Normal 2" xfId="1" xr:uid="{3F80D62D-5502-4543-BE7F-0A823B4B8C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vs LISST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9133796586627984E-2"/>
                  <c:y val="-0.129745317413861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Spring!$F$2:$F$167</c:f>
              <c:numCache>
                <c:formatCode>0.00</c:formatCode>
                <c:ptCount val="166"/>
                <c:pt idx="0">
                  <c:v>12.380952380952339</c:v>
                </c:pt>
                <c:pt idx="1">
                  <c:v>9.4736842105262955</c:v>
                </c:pt>
                <c:pt idx="2">
                  <c:v>5.0000000000000044</c:v>
                </c:pt>
                <c:pt idx="3">
                  <c:v>3.999999999999976</c:v>
                </c:pt>
                <c:pt idx="4">
                  <c:v>10.476190476190512</c:v>
                </c:pt>
                <c:pt idx="5">
                  <c:v>9.3333333333332309</c:v>
                </c:pt>
                <c:pt idx="6">
                  <c:v>9.6551724137929966</c:v>
                </c:pt>
                <c:pt idx="7">
                  <c:v>3.9999999999999298</c:v>
                </c:pt>
                <c:pt idx="8">
                  <c:v>1.4999999999999736</c:v>
                </c:pt>
                <c:pt idx="9">
                  <c:v>5.5000000000000879</c:v>
                </c:pt>
                <c:pt idx="10">
                  <c:v>23.157894736842042</c:v>
                </c:pt>
                <c:pt idx="11">
                  <c:v>15.000000000000014</c:v>
                </c:pt>
                <c:pt idx="12">
                  <c:v>8.9473684210526692</c:v>
                </c:pt>
                <c:pt idx="13">
                  <c:v>9.4999999999999254</c:v>
                </c:pt>
                <c:pt idx="14">
                  <c:v>4.2857142857143424</c:v>
                </c:pt>
                <c:pt idx="16">
                  <c:v>23.000000000000103</c:v>
                </c:pt>
                <c:pt idx="17">
                  <c:v>15.000000000000014</c:v>
                </c:pt>
                <c:pt idx="18">
                  <c:v>9.0909090909090988</c:v>
                </c:pt>
                <c:pt idx="19">
                  <c:v>7.5000000000000071</c:v>
                </c:pt>
                <c:pt idx="20">
                  <c:v>4.3750000000000382</c:v>
                </c:pt>
                <c:pt idx="22">
                  <c:v>5.6249999999999005</c:v>
                </c:pt>
                <c:pt idx="23">
                  <c:v>6.6666666666666723</c:v>
                </c:pt>
                <c:pt idx="27">
                  <c:v>10.344827586206906</c:v>
                </c:pt>
                <c:pt idx="28">
                  <c:v>5.3333333333333011</c:v>
                </c:pt>
                <c:pt idx="29">
                  <c:v>6.4285714285715132</c:v>
                </c:pt>
                <c:pt idx="30">
                  <c:v>6.4285714285713151</c:v>
                </c:pt>
                <c:pt idx="31">
                  <c:v>14.193548387096822</c:v>
                </c:pt>
                <c:pt idx="32">
                  <c:v>14.736842105263287</c:v>
                </c:pt>
                <c:pt idx="33">
                  <c:v>18.947368421052882</c:v>
                </c:pt>
                <c:pt idx="34">
                  <c:v>26.086956521739157</c:v>
                </c:pt>
                <c:pt idx="35">
                  <c:v>7.2727272727274812</c:v>
                </c:pt>
                <c:pt idx="37">
                  <c:v>5.3333333333333011</c:v>
                </c:pt>
                <c:pt idx="38">
                  <c:v>5.0000000000000444</c:v>
                </c:pt>
                <c:pt idx="40">
                  <c:v>22.012578616352222</c:v>
                </c:pt>
                <c:pt idx="41">
                  <c:v>12.142857142857194</c:v>
                </c:pt>
                <c:pt idx="42">
                  <c:v>10.666666666666602</c:v>
                </c:pt>
                <c:pt idx="43">
                  <c:v>5.2941176470588935</c:v>
                </c:pt>
                <c:pt idx="44">
                  <c:v>4.1176470588235654</c:v>
                </c:pt>
                <c:pt idx="45">
                  <c:v>8.1250000000001457</c:v>
                </c:pt>
                <c:pt idx="46">
                  <c:v>6.8750000000001101</c:v>
                </c:pt>
                <c:pt idx="47">
                  <c:v>4.8275862068965933</c:v>
                </c:pt>
                <c:pt idx="48">
                  <c:v>2.3529411764706558</c:v>
                </c:pt>
                <c:pt idx="49">
                  <c:v>5.3333333333333011</c:v>
                </c:pt>
                <c:pt idx="50">
                  <c:v>5.2941176470587292</c:v>
                </c:pt>
                <c:pt idx="51">
                  <c:v>3.2258064516129061</c:v>
                </c:pt>
                <c:pt idx="52">
                  <c:v>0</c:v>
                </c:pt>
                <c:pt idx="53">
                  <c:v>3.3333333333333361</c:v>
                </c:pt>
                <c:pt idx="54">
                  <c:v>5.3333333333333011</c:v>
                </c:pt>
                <c:pt idx="55">
                  <c:v>12.666666666666567</c:v>
                </c:pt>
                <c:pt idx="56">
                  <c:v>10.666666666666787</c:v>
                </c:pt>
                <c:pt idx="57">
                  <c:v>7.8571428571427848</c:v>
                </c:pt>
                <c:pt idx="58">
                  <c:v>8.6666666666666377</c:v>
                </c:pt>
                <c:pt idx="59">
                  <c:v>9.3750000000000089</c:v>
                </c:pt>
                <c:pt idx="60">
                  <c:v>41.999999999999993</c:v>
                </c:pt>
                <c:pt idx="61">
                  <c:v>17.419354838709729</c:v>
                </c:pt>
                <c:pt idx="62">
                  <c:v>6.6666666666666723</c:v>
                </c:pt>
                <c:pt idx="63">
                  <c:v>2.5000000000000715</c:v>
                </c:pt>
                <c:pt idx="64">
                  <c:v>6.000000000000079</c:v>
                </c:pt>
                <c:pt idx="65">
                  <c:v>22.142857142857082</c:v>
                </c:pt>
                <c:pt idx="66">
                  <c:v>10.000000000000009</c:v>
                </c:pt>
                <c:pt idx="67">
                  <c:v>6.4285714285713151</c:v>
                </c:pt>
                <c:pt idx="68">
                  <c:v>18.000000000000053</c:v>
                </c:pt>
                <c:pt idx="69">
                  <c:v>9.3333333333334156</c:v>
                </c:pt>
                <c:pt idx="70">
                  <c:v>5.7142857142856798</c:v>
                </c:pt>
                <c:pt idx="71">
                  <c:v>2.8571428571429389</c:v>
                </c:pt>
                <c:pt idx="72">
                  <c:v>20.666666666666611</c:v>
                </c:pt>
                <c:pt idx="74">
                  <c:v>11.87500000000008</c:v>
                </c:pt>
                <c:pt idx="76">
                  <c:v>2.8571428571429389</c:v>
                </c:pt>
                <c:pt idx="78">
                  <c:v>4.6666666666667078</c:v>
                </c:pt>
                <c:pt idx="79">
                  <c:v>8.7500000000000764</c:v>
                </c:pt>
                <c:pt idx="80">
                  <c:v>9.3333333333334156</c:v>
                </c:pt>
                <c:pt idx="81">
                  <c:v>7.1428571428571495</c:v>
                </c:pt>
                <c:pt idx="82">
                  <c:v>16.000000000000043</c:v>
                </c:pt>
                <c:pt idx="83">
                  <c:v>0.49999999999994493</c:v>
                </c:pt>
                <c:pt idx="84">
                  <c:v>6.3157894736842453</c:v>
                </c:pt>
                <c:pt idx="86">
                  <c:v>10.000000000000066</c:v>
                </c:pt>
                <c:pt idx="87">
                  <c:v>6.8181818181816984</c:v>
                </c:pt>
                <c:pt idx="88">
                  <c:v>21.499999999999993</c:v>
                </c:pt>
                <c:pt idx="89">
                  <c:v>11.05263157894732</c:v>
                </c:pt>
                <c:pt idx="90">
                  <c:v>17.999999999999961</c:v>
                </c:pt>
                <c:pt idx="91">
                  <c:v>6.4999999999999778</c:v>
                </c:pt>
                <c:pt idx="92">
                  <c:v>7.999999999999952</c:v>
                </c:pt>
                <c:pt idx="93">
                  <c:v>11.999999999999789</c:v>
                </c:pt>
                <c:pt idx="94">
                  <c:v>5.9999999999998943</c:v>
                </c:pt>
                <c:pt idx="95">
                  <c:v>8.888888888888836</c:v>
                </c:pt>
                <c:pt idx="96">
                  <c:v>12.222222222222108</c:v>
                </c:pt>
                <c:pt idx="97">
                  <c:v>6.8750000000001101</c:v>
                </c:pt>
                <c:pt idx="98">
                  <c:v>4.6666666666667078</c:v>
                </c:pt>
                <c:pt idx="99">
                  <c:v>5.3333333333333011</c:v>
                </c:pt>
                <c:pt idx="100">
                  <c:v>6.000000000000079</c:v>
                </c:pt>
                <c:pt idx="101">
                  <c:v>17.857142857142676</c:v>
                </c:pt>
                <c:pt idx="102">
                  <c:v>3.9999999999999298</c:v>
                </c:pt>
                <c:pt idx="103">
                  <c:v>6.6666666666666723</c:v>
                </c:pt>
                <c:pt idx="104">
                  <c:v>5.5172413793103114</c:v>
                </c:pt>
                <c:pt idx="105">
                  <c:v>5.3333333333334858</c:v>
                </c:pt>
                <c:pt idx="106">
                  <c:v>8.0000000000000444</c:v>
                </c:pt>
                <c:pt idx="107">
                  <c:v>7.3333333333334512</c:v>
                </c:pt>
                <c:pt idx="109">
                  <c:v>11.249999999999975</c:v>
                </c:pt>
                <c:pt idx="110">
                  <c:v>5.1612903225806139</c:v>
                </c:pt>
                <c:pt idx="111">
                  <c:v>8.6666666666666377</c:v>
                </c:pt>
                <c:pt idx="112">
                  <c:v>8.5714285714286191</c:v>
                </c:pt>
                <c:pt idx="114">
                  <c:v>15.000000000000083</c:v>
                </c:pt>
                <c:pt idx="115">
                  <c:v>7.1428571428571495</c:v>
                </c:pt>
                <c:pt idx="116">
                  <c:v>4.1176470588235654</c:v>
                </c:pt>
                <c:pt idx="117">
                  <c:v>7.1428571428571495</c:v>
                </c:pt>
                <c:pt idx="119">
                  <c:v>5.5172413793103114</c:v>
                </c:pt>
                <c:pt idx="120">
                  <c:v>11.33333333333338</c:v>
                </c:pt>
                <c:pt idx="121">
                  <c:v>6.6666666666666723</c:v>
                </c:pt>
                <c:pt idx="122">
                  <c:v>5.2941176470588935</c:v>
                </c:pt>
                <c:pt idx="124">
                  <c:v>7.5000000000000417</c:v>
                </c:pt>
                <c:pt idx="126">
                  <c:v>8.1249999999999734</c:v>
                </c:pt>
                <c:pt idx="127">
                  <c:v>11.612903225806427</c:v>
                </c:pt>
                <c:pt idx="128">
                  <c:v>8.1249999999999734</c:v>
                </c:pt>
                <c:pt idx="129">
                  <c:v>6.6666666666666723</c:v>
                </c:pt>
                <c:pt idx="130">
                  <c:v>3.7499999999999338</c:v>
                </c:pt>
                <c:pt idx="131">
                  <c:v>11.249999999999975</c:v>
                </c:pt>
                <c:pt idx="132">
                  <c:v>4.6666666666665231</c:v>
                </c:pt>
                <c:pt idx="133">
                  <c:v>14.545454545454458</c:v>
                </c:pt>
                <c:pt idx="134">
                  <c:v>9.2857142857142527</c:v>
                </c:pt>
                <c:pt idx="135">
                  <c:v>6.8750000000001101</c:v>
                </c:pt>
                <c:pt idx="136">
                  <c:v>2.5000000000000715</c:v>
                </c:pt>
                <c:pt idx="137">
                  <c:v>12.666666666666751</c:v>
                </c:pt>
                <c:pt idx="138">
                  <c:v>45.000000000000007</c:v>
                </c:pt>
                <c:pt idx="139">
                  <c:v>13.99999999999994</c:v>
                </c:pt>
                <c:pt idx="140">
                  <c:v>10.000000000000009</c:v>
                </c:pt>
                <c:pt idx="141">
                  <c:v>8.1249999999999734</c:v>
                </c:pt>
                <c:pt idx="142">
                  <c:v>13.529411764705863</c:v>
                </c:pt>
                <c:pt idx="143">
                  <c:v>20.000000000000018</c:v>
                </c:pt>
                <c:pt idx="144">
                  <c:v>9.9999999999999396</c:v>
                </c:pt>
                <c:pt idx="145">
                  <c:v>0.62500000000010458</c:v>
                </c:pt>
                <c:pt idx="146">
                  <c:v>4.3750000000000382</c:v>
                </c:pt>
                <c:pt idx="147">
                  <c:v>3.3333333333333361</c:v>
                </c:pt>
                <c:pt idx="148">
                  <c:v>5.0000000000000444</c:v>
                </c:pt>
                <c:pt idx="149">
                  <c:v>10.666666666666602</c:v>
                </c:pt>
                <c:pt idx="150">
                  <c:v>24.374999999999918</c:v>
                </c:pt>
                <c:pt idx="153">
                  <c:v>5.6249999999999005</c:v>
                </c:pt>
                <c:pt idx="156">
                  <c:v>1.2903225806451981</c:v>
                </c:pt>
                <c:pt idx="158">
                  <c:v>0.71428571428583387</c:v>
                </c:pt>
                <c:pt idx="159">
                  <c:v>5.7142857142856798</c:v>
                </c:pt>
                <c:pt idx="161">
                  <c:v>2.142857142857105</c:v>
                </c:pt>
                <c:pt idx="163">
                  <c:v>0.66666666666677832</c:v>
                </c:pt>
              </c:numCache>
            </c:numRef>
          </c:xVal>
          <c:yVal>
            <c:numRef>
              <c:f>Spring!$G$2:$G$167</c:f>
              <c:numCache>
                <c:formatCode>0.00</c:formatCode>
                <c:ptCount val="166"/>
                <c:pt idx="10" formatCode="General">
                  <c:v>106.21</c:v>
                </c:pt>
                <c:pt idx="11" formatCode="General">
                  <c:v>51.232999999999997</c:v>
                </c:pt>
                <c:pt idx="12" formatCode="General">
                  <c:v>59.16</c:v>
                </c:pt>
                <c:pt idx="13" formatCode="General">
                  <c:v>48.47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78.709999999999994</c:v>
                </c:pt>
                <c:pt idx="17" formatCode="General">
                  <c:v>45.42</c:v>
                </c:pt>
                <c:pt idx="18" formatCode="General">
                  <c:v>74.75</c:v>
                </c:pt>
                <c:pt idx="19" formatCode="General">
                  <c:v>0</c:v>
                </c:pt>
                <c:pt idx="20" formatCode="General">
                  <c:v>56.59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27.23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  <c:pt idx="52" formatCode="General">
                  <c:v>0</c:v>
                </c:pt>
                <c:pt idx="53" formatCode="General">
                  <c:v>0</c:v>
                </c:pt>
                <c:pt idx="54" formatCode="General">
                  <c:v>0</c:v>
                </c:pt>
                <c:pt idx="55" formatCode="General">
                  <c:v>0</c:v>
                </c:pt>
                <c:pt idx="56" formatCode="General">
                  <c:v>0</c:v>
                </c:pt>
                <c:pt idx="57" formatCode="General">
                  <c:v>0</c:v>
                </c:pt>
                <c:pt idx="58" formatCode="General">
                  <c:v>0</c:v>
                </c:pt>
                <c:pt idx="59" formatCode="General">
                  <c:v>0</c:v>
                </c:pt>
                <c:pt idx="60" formatCode="General">
                  <c:v>63.56</c:v>
                </c:pt>
                <c:pt idx="61" formatCode="General">
                  <c:v>85.89</c:v>
                </c:pt>
                <c:pt idx="62" formatCode="General">
                  <c:v>0</c:v>
                </c:pt>
                <c:pt idx="63" formatCode="General">
                  <c:v>0</c:v>
                </c:pt>
                <c:pt idx="64" formatCode="General">
                  <c:v>50.13</c:v>
                </c:pt>
                <c:pt idx="65" formatCode="0.0000">
                  <c:v>44.99</c:v>
                </c:pt>
                <c:pt idx="66" formatCode="General">
                  <c:v>35.729999999999997</c:v>
                </c:pt>
                <c:pt idx="67" formatCode="General">
                  <c:v>31.62</c:v>
                </c:pt>
                <c:pt idx="68" formatCode="General">
                  <c:v>25.42</c:v>
                </c:pt>
                <c:pt idx="69" formatCode="General">
                  <c:v>0</c:v>
                </c:pt>
                <c:pt idx="70" formatCode="General">
                  <c:v>0</c:v>
                </c:pt>
                <c:pt idx="71" formatCode="General">
                  <c:v>0</c:v>
                </c:pt>
                <c:pt idx="72" formatCode="General">
                  <c:v>68.760000000000005</c:v>
                </c:pt>
                <c:pt idx="73" formatCode="General">
                  <c:v>0</c:v>
                </c:pt>
                <c:pt idx="74" formatCode="General">
                  <c:v>50.92</c:v>
                </c:pt>
                <c:pt idx="75" formatCode="General">
                  <c:v>0</c:v>
                </c:pt>
                <c:pt idx="76" formatCode="General">
                  <c:v>0</c:v>
                </c:pt>
                <c:pt idx="77" formatCode="General">
                  <c:v>0</c:v>
                </c:pt>
                <c:pt idx="78" formatCode="General">
                  <c:v>0</c:v>
                </c:pt>
                <c:pt idx="79" formatCode="0.0000">
                  <c:v>0</c:v>
                </c:pt>
                <c:pt idx="80" formatCode="General">
                  <c:v>33.08</c:v>
                </c:pt>
                <c:pt idx="81" formatCode="General">
                  <c:v>77.489999999999995</c:v>
                </c:pt>
                <c:pt idx="82" formatCode="General">
                  <c:v>103.31</c:v>
                </c:pt>
                <c:pt idx="83" formatCode="General">
                  <c:v>65.48</c:v>
                </c:pt>
                <c:pt idx="84" formatCode="General">
                  <c:v>73.680000000000007</c:v>
                </c:pt>
                <c:pt idx="85" formatCode="General">
                  <c:v>48.9</c:v>
                </c:pt>
                <c:pt idx="86" formatCode="General">
                  <c:v>0</c:v>
                </c:pt>
                <c:pt idx="87" formatCode="General">
                  <c:v>0</c:v>
                </c:pt>
                <c:pt idx="88" formatCode="General">
                  <c:v>93.48</c:v>
                </c:pt>
                <c:pt idx="89" formatCode="General">
                  <c:v>53.79</c:v>
                </c:pt>
                <c:pt idx="90" formatCode="General">
                  <c:v>47.58</c:v>
                </c:pt>
                <c:pt idx="91" formatCode="General">
                  <c:v>30.72</c:v>
                </c:pt>
                <c:pt idx="92" formatCode="General">
                  <c:v>0</c:v>
                </c:pt>
                <c:pt idx="93" formatCode="General">
                  <c:v>0</c:v>
                </c:pt>
                <c:pt idx="94" formatCode="General">
                  <c:v>22.36</c:v>
                </c:pt>
                <c:pt idx="95" formatCode="General">
                  <c:v>30.83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24.91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67.13</c:v>
                </c:pt>
                <c:pt idx="102" formatCode="General">
                  <c:v>0</c:v>
                </c:pt>
                <c:pt idx="103" formatCode="General">
                  <c:v>51.68</c:v>
                </c:pt>
                <c:pt idx="104" formatCode="General">
                  <c:v>0</c:v>
                </c:pt>
                <c:pt idx="105" formatCode="General">
                  <c:v>57.56</c:v>
                </c:pt>
                <c:pt idx="106" formatCode="General">
                  <c:v>63.54</c:v>
                </c:pt>
                <c:pt idx="107" formatCode="General">
                  <c:v>0</c:v>
                </c:pt>
                <c:pt idx="108" formatCode="General">
                  <c:v>0</c:v>
                </c:pt>
                <c:pt idx="109" formatCode="General">
                  <c:v>0</c:v>
                </c:pt>
                <c:pt idx="110" formatCode="General">
                  <c:v>0</c:v>
                </c:pt>
                <c:pt idx="111" formatCode="General">
                  <c:v>66.59</c:v>
                </c:pt>
                <c:pt idx="112" formatCode="General">
                  <c:v>0</c:v>
                </c:pt>
                <c:pt idx="113" formatCode="General">
                  <c:v>46.75</c:v>
                </c:pt>
                <c:pt idx="114" formatCode="General">
                  <c:v>27.12</c:v>
                </c:pt>
                <c:pt idx="115" formatCode="General">
                  <c:v>14.59</c:v>
                </c:pt>
                <c:pt idx="116" formatCode="General">
                  <c:v>0</c:v>
                </c:pt>
                <c:pt idx="117" formatCode="General">
                  <c:v>0</c:v>
                </c:pt>
                <c:pt idx="118" formatCode="General">
                  <c:v>0</c:v>
                </c:pt>
                <c:pt idx="119" formatCode="General">
                  <c:v>0</c:v>
                </c:pt>
                <c:pt idx="120" formatCode="General">
                  <c:v>0</c:v>
                </c:pt>
                <c:pt idx="121" formatCode="General">
                  <c:v>0</c:v>
                </c:pt>
                <c:pt idx="122" formatCode="General">
                  <c:v>0</c:v>
                </c:pt>
                <c:pt idx="123" formatCode="General">
                  <c:v>0</c:v>
                </c:pt>
                <c:pt idx="124" formatCode="General">
                  <c:v>0</c:v>
                </c:pt>
                <c:pt idx="125" formatCode="General">
                  <c:v>0</c:v>
                </c:pt>
                <c:pt idx="126" formatCode="General">
                  <c:v>0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56.02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 formatCode="General">
                  <c:v>0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43.66</c:v>
                </c:pt>
                <c:pt idx="138" formatCode="General">
                  <c:v>85.5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64.14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39.619999999999997</c:v>
                </c:pt>
                <c:pt idx="150" formatCode="General">
                  <c:v>87.1</c:v>
                </c:pt>
                <c:pt idx="151" formatCode="General">
                  <c:v>0</c:v>
                </c:pt>
                <c:pt idx="152" formatCode="General">
                  <c:v>26.28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35.26</c:v>
                </c:pt>
                <c:pt idx="156" formatCode="General">
                  <c:v>0</c:v>
                </c:pt>
                <c:pt idx="157" formatCode="General">
                  <c:v>72.78</c:v>
                </c:pt>
                <c:pt idx="158" formatCode="General">
                  <c:v>25.16</c:v>
                </c:pt>
                <c:pt idx="159" formatCode="General">
                  <c:v>15.19</c:v>
                </c:pt>
                <c:pt idx="160" formatCode="General">
                  <c:v>99.54</c:v>
                </c:pt>
                <c:pt idx="161" formatCode="General">
                  <c:v>0</c:v>
                </c:pt>
                <c:pt idx="162" formatCode="General">
                  <c:v>40.119999999999997</c:v>
                </c:pt>
                <c:pt idx="163" formatCode="General">
                  <c:v>25.61</c:v>
                </c:pt>
                <c:pt idx="164" formatCode="General">
                  <c:v>0</c:v>
                </c:pt>
                <c:pt idx="165" formatCode="General">
                  <c:v>30.82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EB-40DC-81D5-13EAECBCD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22767"/>
        <c:axId val="734720847"/>
      </c:scatterChart>
      <c:valAx>
        <c:axId val="73472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</a:t>
                </a:r>
                <a:r>
                  <a:rPr lang="en-US" baseline="0"/>
                  <a:t> (from filters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0847"/>
        <c:crosses val="autoZero"/>
        <c:crossBetween val="midCat"/>
      </c:valAx>
      <c:valAx>
        <c:axId val="7347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 concentration (uL/L)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vs POC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514181250598091E-2"/>
                  <c:y val="0.236116873891974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Spring!$F$2:$F$167</c:f>
              <c:numCache>
                <c:formatCode>0.00</c:formatCode>
                <c:ptCount val="166"/>
                <c:pt idx="0">
                  <c:v>12.380952380952339</c:v>
                </c:pt>
                <c:pt idx="1">
                  <c:v>9.4736842105262955</c:v>
                </c:pt>
                <c:pt idx="2">
                  <c:v>5.0000000000000044</c:v>
                </c:pt>
                <c:pt idx="3">
                  <c:v>3.999999999999976</c:v>
                </c:pt>
                <c:pt idx="4">
                  <c:v>10.476190476190512</c:v>
                </c:pt>
                <c:pt idx="5">
                  <c:v>9.3333333333332309</c:v>
                </c:pt>
                <c:pt idx="6">
                  <c:v>9.6551724137929966</c:v>
                </c:pt>
                <c:pt idx="7">
                  <c:v>3.9999999999999298</c:v>
                </c:pt>
                <c:pt idx="8">
                  <c:v>1.4999999999999736</c:v>
                </c:pt>
                <c:pt idx="9">
                  <c:v>5.5000000000000879</c:v>
                </c:pt>
                <c:pt idx="10">
                  <c:v>23.157894736842042</c:v>
                </c:pt>
                <c:pt idx="11">
                  <c:v>15.000000000000014</c:v>
                </c:pt>
                <c:pt idx="12">
                  <c:v>8.9473684210526692</c:v>
                </c:pt>
                <c:pt idx="13">
                  <c:v>9.4999999999999254</c:v>
                </c:pt>
                <c:pt idx="14">
                  <c:v>4.2857142857143424</c:v>
                </c:pt>
                <c:pt idx="16">
                  <c:v>23.000000000000103</c:v>
                </c:pt>
                <c:pt idx="17">
                  <c:v>15.000000000000014</c:v>
                </c:pt>
                <c:pt idx="18">
                  <c:v>9.0909090909090988</c:v>
                </c:pt>
                <c:pt idx="19">
                  <c:v>7.5000000000000071</c:v>
                </c:pt>
                <c:pt idx="20">
                  <c:v>4.3750000000000382</c:v>
                </c:pt>
                <c:pt idx="22">
                  <c:v>5.6249999999999005</c:v>
                </c:pt>
                <c:pt idx="23">
                  <c:v>6.6666666666666723</c:v>
                </c:pt>
                <c:pt idx="27">
                  <c:v>10.344827586206906</c:v>
                </c:pt>
                <c:pt idx="28">
                  <c:v>5.3333333333333011</c:v>
                </c:pt>
                <c:pt idx="29">
                  <c:v>6.4285714285715132</c:v>
                </c:pt>
                <c:pt idx="30">
                  <c:v>6.4285714285713151</c:v>
                </c:pt>
                <c:pt idx="31">
                  <c:v>14.193548387096822</c:v>
                </c:pt>
                <c:pt idx="32">
                  <c:v>14.736842105263287</c:v>
                </c:pt>
                <c:pt idx="33">
                  <c:v>18.947368421052882</c:v>
                </c:pt>
                <c:pt idx="34">
                  <c:v>26.086956521739157</c:v>
                </c:pt>
                <c:pt idx="35">
                  <c:v>7.2727272727274812</c:v>
                </c:pt>
                <c:pt idx="37">
                  <c:v>5.3333333333333011</c:v>
                </c:pt>
                <c:pt idx="38">
                  <c:v>5.0000000000000444</c:v>
                </c:pt>
                <c:pt idx="40">
                  <c:v>22.012578616352222</c:v>
                </c:pt>
                <c:pt idx="41">
                  <c:v>12.142857142857194</c:v>
                </c:pt>
                <c:pt idx="42">
                  <c:v>10.666666666666602</c:v>
                </c:pt>
                <c:pt idx="43">
                  <c:v>5.2941176470588935</c:v>
                </c:pt>
                <c:pt idx="44">
                  <c:v>4.1176470588235654</c:v>
                </c:pt>
                <c:pt idx="45">
                  <c:v>8.1250000000001457</c:v>
                </c:pt>
                <c:pt idx="46">
                  <c:v>6.8750000000001101</c:v>
                </c:pt>
                <c:pt idx="47">
                  <c:v>4.8275862068965933</c:v>
                </c:pt>
                <c:pt idx="48">
                  <c:v>2.3529411764706558</c:v>
                </c:pt>
                <c:pt idx="49">
                  <c:v>5.3333333333333011</c:v>
                </c:pt>
                <c:pt idx="50">
                  <c:v>5.2941176470587292</c:v>
                </c:pt>
                <c:pt idx="51">
                  <c:v>3.2258064516129061</c:v>
                </c:pt>
                <c:pt idx="52">
                  <c:v>0</c:v>
                </c:pt>
                <c:pt idx="53">
                  <c:v>3.3333333333333361</c:v>
                </c:pt>
                <c:pt idx="54">
                  <c:v>5.3333333333333011</c:v>
                </c:pt>
                <c:pt idx="55">
                  <c:v>12.666666666666567</c:v>
                </c:pt>
                <c:pt idx="56">
                  <c:v>10.666666666666787</c:v>
                </c:pt>
                <c:pt idx="57">
                  <c:v>7.8571428571427848</c:v>
                </c:pt>
                <c:pt idx="58">
                  <c:v>8.6666666666666377</c:v>
                </c:pt>
                <c:pt idx="59">
                  <c:v>9.3750000000000089</c:v>
                </c:pt>
                <c:pt idx="60">
                  <c:v>41.999999999999993</c:v>
                </c:pt>
                <c:pt idx="61">
                  <c:v>17.419354838709729</c:v>
                </c:pt>
                <c:pt idx="62">
                  <c:v>6.6666666666666723</c:v>
                </c:pt>
                <c:pt idx="63">
                  <c:v>2.5000000000000715</c:v>
                </c:pt>
                <c:pt idx="64">
                  <c:v>6.000000000000079</c:v>
                </c:pt>
                <c:pt idx="65">
                  <c:v>22.142857142857082</c:v>
                </c:pt>
                <c:pt idx="66">
                  <c:v>10.000000000000009</c:v>
                </c:pt>
                <c:pt idx="67">
                  <c:v>6.4285714285713151</c:v>
                </c:pt>
                <c:pt idx="68">
                  <c:v>18.000000000000053</c:v>
                </c:pt>
                <c:pt idx="69">
                  <c:v>9.3333333333334156</c:v>
                </c:pt>
                <c:pt idx="70">
                  <c:v>5.7142857142856798</c:v>
                </c:pt>
                <c:pt idx="71">
                  <c:v>2.8571428571429389</c:v>
                </c:pt>
                <c:pt idx="72">
                  <c:v>20.666666666666611</c:v>
                </c:pt>
                <c:pt idx="74">
                  <c:v>11.87500000000008</c:v>
                </c:pt>
                <c:pt idx="76">
                  <c:v>2.8571428571429389</c:v>
                </c:pt>
                <c:pt idx="78">
                  <c:v>4.6666666666667078</c:v>
                </c:pt>
                <c:pt idx="79">
                  <c:v>8.7500000000000764</c:v>
                </c:pt>
                <c:pt idx="80">
                  <c:v>9.3333333333334156</c:v>
                </c:pt>
                <c:pt idx="81">
                  <c:v>7.1428571428571495</c:v>
                </c:pt>
                <c:pt idx="82">
                  <c:v>16.000000000000043</c:v>
                </c:pt>
                <c:pt idx="83">
                  <c:v>0.49999999999994493</c:v>
                </c:pt>
                <c:pt idx="84">
                  <c:v>6.3157894736842453</c:v>
                </c:pt>
                <c:pt idx="86">
                  <c:v>10.000000000000066</c:v>
                </c:pt>
                <c:pt idx="87">
                  <c:v>6.8181818181816984</c:v>
                </c:pt>
                <c:pt idx="88">
                  <c:v>21.499999999999993</c:v>
                </c:pt>
                <c:pt idx="89">
                  <c:v>11.05263157894732</c:v>
                </c:pt>
                <c:pt idx="90">
                  <c:v>17.999999999999961</c:v>
                </c:pt>
                <c:pt idx="91">
                  <c:v>6.4999999999999778</c:v>
                </c:pt>
                <c:pt idx="92">
                  <c:v>7.999999999999952</c:v>
                </c:pt>
                <c:pt idx="93">
                  <c:v>11.999999999999789</c:v>
                </c:pt>
                <c:pt idx="94">
                  <c:v>5.9999999999998943</c:v>
                </c:pt>
                <c:pt idx="95">
                  <c:v>8.888888888888836</c:v>
                </c:pt>
                <c:pt idx="96">
                  <c:v>12.222222222222108</c:v>
                </c:pt>
                <c:pt idx="97">
                  <c:v>6.8750000000001101</c:v>
                </c:pt>
                <c:pt idx="98">
                  <c:v>4.6666666666667078</c:v>
                </c:pt>
                <c:pt idx="99">
                  <c:v>5.3333333333333011</c:v>
                </c:pt>
                <c:pt idx="100">
                  <c:v>6.000000000000079</c:v>
                </c:pt>
                <c:pt idx="101">
                  <c:v>17.857142857142676</c:v>
                </c:pt>
                <c:pt idx="102">
                  <c:v>3.9999999999999298</c:v>
                </c:pt>
                <c:pt idx="103">
                  <c:v>6.6666666666666723</c:v>
                </c:pt>
                <c:pt idx="104">
                  <c:v>5.5172413793103114</c:v>
                </c:pt>
                <c:pt idx="105">
                  <c:v>5.3333333333334858</c:v>
                </c:pt>
                <c:pt idx="106">
                  <c:v>8.0000000000000444</c:v>
                </c:pt>
                <c:pt idx="107">
                  <c:v>7.3333333333334512</c:v>
                </c:pt>
                <c:pt idx="109">
                  <c:v>11.249999999999975</c:v>
                </c:pt>
                <c:pt idx="110">
                  <c:v>5.1612903225806139</c:v>
                </c:pt>
                <c:pt idx="111">
                  <c:v>8.6666666666666377</c:v>
                </c:pt>
                <c:pt idx="112">
                  <c:v>8.5714285714286191</c:v>
                </c:pt>
                <c:pt idx="114">
                  <c:v>15.000000000000083</c:v>
                </c:pt>
                <c:pt idx="115">
                  <c:v>7.1428571428571495</c:v>
                </c:pt>
                <c:pt idx="116">
                  <c:v>4.1176470588235654</c:v>
                </c:pt>
                <c:pt idx="117">
                  <c:v>7.1428571428571495</c:v>
                </c:pt>
                <c:pt idx="119">
                  <c:v>5.5172413793103114</c:v>
                </c:pt>
                <c:pt idx="120">
                  <c:v>11.33333333333338</c:v>
                </c:pt>
                <c:pt idx="121">
                  <c:v>6.6666666666666723</c:v>
                </c:pt>
                <c:pt idx="122">
                  <c:v>5.2941176470588935</c:v>
                </c:pt>
                <c:pt idx="124">
                  <c:v>7.5000000000000417</c:v>
                </c:pt>
                <c:pt idx="126">
                  <c:v>8.1249999999999734</c:v>
                </c:pt>
                <c:pt idx="127">
                  <c:v>11.612903225806427</c:v>
                </c:pt>
                <c:pt idx="128">
                  <c:v>8.1249999999999734</c:v>
                </c:pt>
                <c:pt idx="129">
                  <c:v>6.6666666666666723</c:v>
                </c:pt>
                <c:pt idx="130">
                  <c:v>3.7499999999999338</c:v>
                </c:pt>
                <c:pt idx="131">
                  <c:v>11.249999999999975</c:v>
                </c:pt>
                <c:pt idx="132">
                  <c:v>4.6666666666665231</c:v>
                </c:pt>
                <c:pt idx="133">
                  <c:v>14.545454545454458</c:v>
                </c:pt>
                <c:pt idx="134">
                  <c:v>9.2857142857142527</c:v>
                </c:pt>
                <c:pt idx="135">
                  <c:v>6.8750000000001101</c:v>
                </c:pt>
                <c:pt idx="136">
                  <c:v>2.5000000000000715</c:v>
                </c:pt>
                <c:pt idx="137">
                  <c:v>12.666666666666751</c:v>
                </c:pt>
                <c:pt idx="138">
                  <c:v>45.000000000000007</c:v>
                </c:pt>
                <c:pt idx="139">
                  <c:v>13.99999999999994</c:v>
                </c:pt>
                <c:pt idx="140">
                  <c:v>10.000000000000009</c:v>
                </c:pt>
                <c:pt idx="141">
                  <c:v>8.1249999999999734</c:v>
                </c:pt>
                <c:pt idx="142">
                  <c:v>13.529411764705863</c:v>
                </c:pt>
                <c:pt idx="143">
                  <c:v>20.000000000000018</c:v>
                </c:pt>
                <c:pt idx="144">
                  <c:v>9.9999999999999396</c:v>
                </c:pt>
                <c:pt idx="145">
                  <c:v>0.62500000000010458</c:v>
                </c:pt>
                <c:pt idx="146">
                  <c:v>4.3750000000000382</c:v>
                </c:pt>
                <c:pt idx="147">
                  <c:v>3.3333333333333361</c:v>
                </c:pt>
                <c:pt idx="148">
                  <c:v>5.0000000000000444</c:v>
                </c:pt>
                <c:pt idx="149">
                  <c:v>10.666666666666602</c:v>
                </c:pt>
                <c:pt idx="150">
                  <c:v>24.374999999999918</c:v>
                </c:pt>
                <c:pt idx="153">
                  <c:v>5.6249999999999005</c:v>
                </c:pt>
                <c:pt idx="156">
                  <c:v>1.2903225806451981</c:v>
                </c:pt>
                <c:pt idx="158">
                  <c:v>0.71428571428583387</c:v>
                </c:pt>
                <c:pt idx="159">
                  <c:v>5.7142857142856798</c:v>
                </c:pt>
                <c:pt idx="161">
                  <c:v>2.142857142857105</c:v>
                </c:pt>
                <c:pt idx="163">
                  <c:v>0.66666666666677832</c:v>
                </c:pt>
              </c:numCache>
            </c:numRef>
          </c:xVal>
          <c:yVal>
            <c:numRef>
              <c:f>Spring!$I$2:$I$167</c:f>
              <c:numCache>
                <c:formatCode>0.00</c:formatCode>
                <c:ptCount val="166"/>
                <c:pt idx="12" formatCode="0.00000">
                  <c:v>1.3945106373630132</c:v>
                </c:pt>
                <c:pt idx="65" formatCode="0.00000">
                  <c:v>2.2897902812448567</c:v>
                </c:pt>
                <c:pt idx="72" formatCode="0.00000">
                  <c:v>3.1546349152673332</c:v>
                </c:pt>
                <c:pt idx="74" formatCode="0.00000">
                  <c:v>2.2311544928160623</c:v>
                </c:pt>
                <c:pt idx="90" formatCode="0.00000">
                  <c:v>1.5765099664454998</c:v>
                </c:pt>
                <c:pt idx="103" formatCode="0.00000">
                  <c:v>1.065221454930475</c:v>
                </c:pt>
                <c:pt idx="113" formatCode="0.00000">
                  <c:v>1.2632195191816917</c:v>
                </c:pt>
                <c:pt idx="114" formatCode="0.00000">
                  <c:v>1.6271141897455623</c:v>
                </c:pt>
                <c:pt idx="115" formatCode="0.00000">
                  <c:v>1.637056086651107</c:v>
                </c:pt>
                <c:pt idx="158" formatCode="0.00000">
                  <c:v>2.2917188381886424</c:v>
                </c:pt>
                <c:pt idx="159" formatCode="0.00000">
                  <c:v>1.6907657585107856</c:v>
                </c:pt>
                <c:pt idx="163" formatCode="0.00000">
                  <c:v>1.3564826527265335</c:v>
                </c:pt>
                <c:pt idx="165" formatCode="0.00000">
                  <c:v>1.7097837435932666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2A-4E16-A314-EDC836C01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22767"/>
        <c:axId val="734720847"/>
      </c:scatterChart>
      <c:valAx>
        <c:axId val="73472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</a:t>
                </a:r>
                <a:r>
                  <a:rPr lang="en-US" baseline="0"/>
                  <a:t> (from filters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0847"/>
        <c:crosses val="autoZero"/>
        <c:crossBetween val="midCat"/>
      </c:valAx>
      <c:valAx>
        <c:axId val="7347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vs DOC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272291668030236E-3"/>
                  <c:y val="0.256906110425921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Spring!$F$2:$F$167</c:f>
              <c:numCache>
                <c:formatCode>0.00</c:formatCode>
                <c:ptCount val="166"/>
                <c:pt idx="0">
                  <c:v>12.380952380952339</c:v>
                </c:pt>
                <c:pt idx="1">
                  <c:v>9.4736842105262955</c:v>
                </c:pt>
                <c:pt idx="2">
                  <c:v>5.0000000000000044</c:v>
                </c:pt>
                <c:pt idx="3">
                  <c:v>3.999999999999976</c:v>
                </c:pt>
                <c:pt idx="4">
                  <c:v>10.476190476190512</c:v>
                </c:pt>
                <c:pt idx="5">
                  <c:v>9.3333333333332309</c:v>
                </c:pt>
                <c:pt idx="6">
                  <c:v>9.6551724137929966</c:v>
                </c:pt>
                <c:pt idx="7">
                  <c:v>3.9999999999999298</c:v>
                </c:pt>
                <c:pt idx="8">
                  <c:v>1.4999999999999736</c:v>
                </c:pt>
                <c:pt idx="9">
                  <c:v>5.5000000000000879</c:v>
                </c:pt>
                <c:pt idx="10">
                  <c:v>23.157894736842042</c:v>
                </c:pt>
                <c:pt idx="11">
                  <c:v>15.000000000000014</c:v>
                </c:pt>
                <c:pt idx="12">
                  <c:v>8.9473684210526692</c:v>
                </c:pt>
                <c:pt idx="13">
                  <c:v>9.4999999999999254</c:v>
                </c:pt>
                <c:pt idx="14">
                  <c:v>4.2857142857143424</c:v>
                </c:pt>
                <c:pt idx="16">
                  <c:v>23.000000000000103</c:v>
                </c:pt>
                <c:pt idx="17">
                  <c:v>15.000000000000014</c:v>
                </c:pt>
                <c:pt idx="18">
                  <c:v>9.0909090909090988</c:v>
                </c:pt>
                <c:pt idx="19">
                  <c:v>7.5000000000000071</c:v>
                </c:pt>
                <c:pt idx="20">
                  <c:v>4.3750000000000382</c:v>
                </c:pt>
                <c:pt idx="22">
                  <c:v>5.6249999999999005</c:v>
                </c:pt>
                <c:pt idx="23">
                  <c:v>6.6666666666666723</c:v>
                </c:pt>
                <c:pt idx="27">
                  <c:v>10.344827586206906</c:v>
                </c:pt>
                <c:pt idx="28">
                  <c:v>5.3333333333333011</c:v>
                </c:pt>
                <c:pt idx="29">
                  <c:v>6.4285714285715132</c:v>
                </c:pt>
                <c:pt idx="30">
                  <c:v>6.4285714285713151</c:v>
                </c:pt>
                <c:pt idx="31">
                  <c:v>14.193548387096822</c:v>
                </c:pt>
                <c:pt idx="32">
                  <c:v>14.736842105263287</c:v>
                </c:pt>
                <c:pt idx="33">
                  <c:v>18.947368421052882</c:v>
                </c:pt>
                <c:pt idx="34">
                  <c:v>26.086956521739157</c:v>
                </c:pt>
                <c:pt idx="35">
                  <c:v>7.2727272727274812</c:v>
                </c:pt>
                <c:pt idx="37">
                  <c:v>5.3333333333333011</c:v>
                </c:pt>
                <c:pt idx="38">
                  <c:v>5.0000000000000444</c:v>
                </c:pt>
                <c:pt idx="40">
                  <c:v>22.012578616352222</c:v>
                </c:pt>
                <c:pt idx="41">
                  <c:v>12.142857142857194</c:v>
                </c:pt>
                <c:pt idx="42">
                  <c:v>10.666666666666602</c:v>
                </c:pt>
                <c:pt idx="43">
                  <c:v>5.2941176470588935</c:v>
                </c:pt>
                <c:pt idx="44">
                  <c:v>4.1176470588235654</c:v>
                </c:pt>
                <c:pt idx="45">
                  <c:v>8.1250000000001457</c:v>
                </c:pt>
                <c:pt idx="46">
                  <c:v>6.8750000000001101</c:v>
                </c:pt>
                <c:pt idx="47">
                  <c:v>4.8275862068965933</c:v>
                </c:pt>
                <c:pt idx="48">
                  <c:v>2.3529411764706558</c:v>
                </c:pt>
                <c:pt idx="49">
                  <c:v>5.3333333333333011</c:v>
                </c:pt>
                <c:pt idx="50">
                  <c:v>5.2941176470587292</c:v>
                </c:pt>
                <c:pt idx="51">
                  <c:v>3.2258064516129061</c:v>
                </c:pt>
                <c:pt idx="52">
                  <c:v>0</c:v>
                </c:pt>
                <c:pt idx="53">
                  <c:v>3.3333333333333361</c:v>
                </c:pt>
                <c:pt idx="54">
                  <c:v>5.3333333333333011</c:v>
                </c:pt>
                <c:pt idx="55">
                  <c:v>12.666666666666567</c:v>
                </c:pt>
                <c:pt idx="56">
                  <c:v>10.666666666666787</c:v>
                </c:pt>
                <c:pt idx="57">
                  <c:v>7.8571428571427848</c:v>
                </c:pt>
                <c:pt idx="58">
                  <c:v>8.6666666666666377</c:v>
                </c:pt>
                <c:pt idx="59">
                  <c:v>9.3750000000000089</c:v>
                </c:pt>
                <c:pt idx="60">
                  <c:v>41.999999999999993</c:v>
                </c:pt>
                <c:pt idx="61">
                  <c:v>17.419354838709729</c:v>
                </c:pt>
                <c:pt idx="62">
                  <c:v>6.6666666666666723</c:v>
                </c:pt>
                <c:pt idx="63">
                  <c:v>2.5000000000000715</c:v>
                </c:pt>
                <c:pt idx="64">
                  <c:v>6.000000000000079</c:v>
                </c:pt>
                <c:pt idx="65">
                  <c:v>22.142857142857082</c:v>
                </c:pt>
                <c:pt idx="66">
                  <c:v>10.000000000000009</c:v>
                </c:pt>
                <c:pt idx="67">
                  <c:v>6.4285714285713151</c:v>
                </c:pt>
                <c:pt idx="68">
                  <c:v>18.000000000000053</c:v>
                </c:pt>
                <c:pt idx="69">
                  <c:v>9.3333333333334156</c:v>
                </c:pt>
                <c:pt idx="70">
                  <c:v>5.7142857142856798</c:v>
                </c:pt>
                <c:pt idx="71">
                  <c:v>2.8571428571429389</c:v>
                </c:pt>
                <c:pt idx="72">
                  <c:v>20.666666666666611</c:v>
                </c:pt>
                <c:pt idx="74">
                  <c:v>11.87500000000008</c:v>
                </c:pt>
                <c:pt idx="76">
                  <c:v>2.8571428571429389</c:v>
                </c:pt>
                <c:pt idx="78">
                  <c:v>4.6666666666667078</c:v>
                </c:pt>
                <c:pt idx="79">
                  <c:v>8.7500000000000764</c:v>
                </c:pt>
                <c:pt idx="80">
                  <c:v>9.3333333333334156</c:v>
                </c:pt>
                <c:pt idx="81">
                  <c:v>7.1428571428571495</c:v>
                </c:pt>
                <c:pt idx="82">
                  <c:v>16.000000000000043</c:v>
                </c:pt>
                <c:pt idx="83">
                  <c:v>0.49999999999994493</c:v>
                </c:pt>
                <c:pt idx="84">
                  <c:v>6.3157894736842453</c:v>
                </c:pt>
                <c:pt idx="86">
                  <c:v>10.000000000000066</c:v>
                </c:pt>
                <c:pt idx="87">
                  <c:v>6.8181818181816984</c:v>
                </c:pt>
                <c:pt idx="88">
                  <c:v>21.499999999999993</c:v>
                </c:pt>
                <c:pt idx="89">
                  <c:v>11.05263157894732</c:v>
                </c:pt>
                <c:pt idx="90">
                  <c:v>17.999999999999961</c:v>
                </c:pt>
                <c:pt idx="91">
                  <c:v>6.4999999999999778</c:v>
                </c:pt>
                <c:pt idx="92">
                  <c:v>7.999999999999952</c:v>
                </c:pt>
                <c:pt idx="93">
                  <c:v>11.999999999999789</c:v>
                </c:pt>
                <c:pt idx="94">
                  <c:v>5.9999999999998943</c:v>
                </c:pt>
                <c:pt idx="95">
                  <c:v>8.888888888888836</c:v>
                </c:pt>
                <c:pt idx="96">
                  <c:v>12.222222222222108</c:v>
                </c:pt>
                <c:pt idx="97">
                  <c:v>6.8750000000001101</c:v>
                </c:pt>
                <c:pt idx="98">
                  <c:v>4.6666666666667078</c:v>
                </c:pt>
                <c:pt idx="99">
                  <c:v>5.3333333333333011</c:v>
                </c:pt>
                <c:pt idx="100">
                  <c:v>6.000000000000079</c:v>
                </c:pt>
                <c:pt idx="101">
                  <c:v>17.857142857142676</c:v>
                </c:pt>
                <c:pt idx="102">
                  <c:v>3.9999999999999298</c:v>
                </c:pt>
                <c:pt idx="103">
                  <c:v>6.6666666666666723</c:v>
                </c:pt>
                <c:pt idx="104">
                  <c:v>5.5172413793103114</c:v>
                </c:pt>
                <c:pt idx="105">
                  <c:v>5.3333333333334858</c:v>
                </c:pt>
                <c:pt idx="106">
                  <c:v>8.0000000000000444</c:v>
                </c:pt>
                <c:pt idx="107">
                  <c:v>7.3333333333334512</c:v>
                </c:pt>
                <c:pt idx="109">
                  <c:v>11.249999999999975</c:v>
                </c:pt>
                <c:pt idx="110">
                  <c:v>5.1612903225806139</c:v>
                </c:pt>
                <c:pt idx="111">
                  <c:v>8.6666666666666377</c:v>
                </c:pt>
                <c:pt idx="112">
                  <c:v>8.5714285714286191</c:v>
                </c:pt>
                <c:pt idx="114">
                  <c:v>15.000000000000083</c:v>
                </c:pt>
                <c:pt idx="115">
                  <c:v>7.1428571428571495</c:v>
                </c:pt>
                <c:pt idx="116">
                  <c:v>4.1176470588235654</c:v>
                </c:pt>
                <c:pt idx="117">
                  <c:v>7.1428571428571495</c:v>
                </c:pt>
                <c:pt idx="119">
                  <c:v>5.5172413793103114</c:v>
                </c:pt>
                <c:pt idx="120">
                  <c:v>11.33333333333338</c:v>
                </c:pt>
                <c:pt idx="121">
                  <c:v>6.6666666666666723</c:v>
                </c:pt>
                <c:pt idx="122">
                  <c:v>5.2941176470588935</c:v>
                </c:pt>
                <c:pt idx="124">
                  <c:v>7.5000000000000417</c:v>
                </c:pt>
                <c:pt idx="126">
                  <c:v>8.1249999999999734</c:v>
                </c:pt>
                <c:pt idx="127">
                  <c:v>11.612903225806427</c:v>
                </c:pt>
                <c:pt idx="128">
                  <c:v>8.1249999999999734</c:v>
                </c:pt>
                <c:pt idx="129">
                  <c:v>6.6666666666666723</c:v>
                </c:pt>
                <c:pt idx="130">
                  <c:v>3.7499999999999338</c:v>
                </c:pt>
                <c:pt idx="131">
                  <c:v>11.249999999999975</c:v>
                </c:pt>
                <c:pt idx="132">
                  <c:v>4.6666666666665231</c:v>
                </c:pt>
                <c:pt idx="133">
                  <c:v>14.545454545454458</c:v>
                </c:pt>
                <c:pt idx="134">
                  <c:v>9.2857142857142527</c:v>
                </c:pt>
                <c:pt idx="135">
                  <c:v>6.8750000000001101</c:v>
                </c:pt>
                <c:pt idx="136">
                  <c:v>2.5000000000000715</c:v>
                </c:pt>
                <c:pt idx="137">
                  <c:v>12.666666666666751</c:v>
                </c:pt>
                <c:pt idx="138">
                  <c:v>45.000000000000007</c:v>
                </c:pt>
                <c:pt idx="139">
                  <c:v>13.99999999999994</c:v>
                </c:pt>
                <c:pt idx="140">
                  <c:v>10.000000000000009</c:v>
                </c:pt>
                <c:pt idx="141">
                  <c:v>8.1249999999999734</c:v>
                </c:pt>
                <c:pt idx="142">
                  <c:v>13.529411764705863</c:v>
                </c:pt>
                <c:pt idx="143">
                  <c:v>20.000000000000018</c:v>
                </c:pt>
                <c:pt idx="144">
                  <c:v>9.9999999999999396</c:v>
                </c:pt>
                <c:pt idx="145">
                  <c:v>0.62500000000010458</c:v>
                </c:pt>
                <c:pt idx="146">
                  <c:v>4.3750000000000382</c:v>
                </c:pt>
                <c:pt idx="147">
                  <c:v>3.3333333333333361</c:v>
                </c:pt>
                <c:pt idx="148">
                  <c:v>5.0000000000000444</c:v>
                </c:pt>
                <c:pt idx="149">
                  <c:v>10.666666666666602</c:v>
                </c:pt>
                <c:pt idx="150">
                  <c:v>24.374999999999918</c:v>
                </c:pt>
                <c:pt idx="153">
                  <c:v>5.6249999999999005</c:v>
                </c:pt>
                <c:pt idx="156">
                  <c:v>1.2903225806451981</c:v>
                </c:pt>
                <c:pt idx="158">
                  <c:v>0.71428571428583387</c:v>
                </c:pt>
                <c:pt idx="159">
                  <c:v>5.7142857142856798</c:v>
                </c:pt>
                <c:pt idx="161">
                  <c:v>2.142857142857105</c:v>
                </c:pt>
                <c:pt idx="163">
                  <c:v>0.66666666666677832</c:v>
                </c:pt>
              </c:numCache>
            </c:numRef>
          </c:xVal>
          <c:yVal>
            <c:numRef>
              <c:f>Spring!$J$2:$J$167</c:f>
              <c:numCache>
                <c:formatCode>General</c:formatCode>
                <c:ptCount val="166"/>
                <c:pt idx="0">
                  <c:v>3.7290000000000001</c:v>
                </c:pt>
                <c:pt idx="1">
                  <c:v>3.573</c:v>
                </c:pt>
                <c:pt idx="2">
                  <c:v>3.2410000000000001</c:v>
                </c:pt>
                <c:pt idx="3">
                  <c:v>3.202</c:v>
                </c:pt>
                <c:pt idx="4">
                  <c:v>3.234</c:v>
                </c:pt>
                <c:pt idx="5">
                  <c:v>3.2930000000000001</c:v>
                </c:pt>
                <c:pt idx="6">
                  <c:v>3.1789999999999998</c:v>
                </c:pt>
                <c:pt idx="7">
                  <c:v>3.1110000000000002</c:v>
                </c:pt>
                <c:pt idx="8">
                  <c:v>3.0259999999999998</c:v>
                </c:pt>
                <c:pt idx="9">
                  <c:v>3.0910000000000002</c:v>
                </c:pt>
                <c:pt idx="10">
                  <c:v>3.206</c:v>
                </c:pt>
                <c:pt idx="11">
                  <c:v>3.6629999999999998</c:v>
                </c:pt>
                <c:pt idx="12">
                  <c:v>3.806</c:v>
                </c:pt>
                <c:pt idx="13">
                  <c:v>3.391</c:v>
                </c:pt>
                <c:pt idx="14">
                  <c:v>3.3119999999999998</c:v>
                </c:pt>
                <c:pt idx="15">
                  <c:v>3.3530000000000002</c:v>
                </c:pt>
                <c:pt idx="16">
                  <c:v>3.5139999999999998</c:v>
                </c:pt>
                <c:pt idx="17">
                  <c:v>3.6539999999999999</c:v>
                </c:pt>
                <c:pt idx="18">
                  <c:v>3.5760000000000001</c:v>
                </c:pt>
                <c:pt idx="19">
                  <c:v>3.3889999999999998</c:v>
                </c:pt>
                <c:pt idx="20">
                  <c:v>3.226</c:v>
                </c:pt>
                <c:pt idx="21">
                  <c:v>3.552</c:v>
                </c:pt>
                <c:pt idx="22">
                  <c:v>3.323</c:v>
                </c:pt>
                <c:pt idx="23">
                  <c:v>3.3159999999999998</c:v>
                </c:pt>
                <c:pt idx="24">
                  <c:v>3.2069999999999999</c:v>
                </c:pt>
                <c:pt idx="25">
                  <c:v>3.153</c:v>
                </c:pt>
                <c:pt idx="26">
                  <c:v>3.2869999999999999</c:v>
                </c:pt>
                <c:pt idx="27">
                  <c:v>3.2440000000000002</c:v>
                </c:pt>
                <c:pt idx="28">
                  <c:v>3.3380000000000001</c:v>
                </c:pt>
                <c:pt idx="29">
                  <c:v>3.2010000000000001</c:v>
                </c:pt>
                <c:pt idx="30">
                  <c:v>3.056</c:v>
                </c:pt>
                <c:pt idx="31">
                  <c:v>3.0910000000000002</c:v>
                </c:pt>
                <c:pt idx="32">
                  <c:v>3.26</c:v>
                </c:pt>
                <c:pt idx="33">
                  <c:v>3.37</c:v>
                </c:pt>
                <c:pt idx="34">
                  <c:v>3.246</c:v>
                </c:pt>
                <c:pt idx="35">
                  <c:v>2.9489999999999998</c:v>
                </c:pt>
                <c:pt idx="36">
                  <c:v>3.0939999999999999</c:v>
                </c:pt>
                <c:pt idx="37">
                  <c:v>3.32</c:v>
                </c:pt>
                <c:pt idx="38">
                  <c:v>2.996</c:v>
                </c:pt>
                <c:pt idx="39">
                  <c:v>2.8530000000000002</c:v>
                </c:pt>
                <c:pt idx="40">
                  <c:v>3.2490000000000001</c:v>
                </c:pt>
                <c:pt idx="41">
                  <c:v>3.1539999999999999</c:v>
                </c:pt>
                <c:pt idx="42">
                  <c:v>3.069</c:v>
                </c:pt>
                <c:pt idx="43">
                  <c:v>2.8119999999999998</c:v>
                </c:pt>
                <c:pt idx="44">
                  <c:v>2.774</c:v>
                </c:pt>
                <c:pt idx="45">
                  <c:v>3.0510000000000002</c:v>
                </c:pt>
                <c:pt idx="46">
                  <c:v>3.2709999999999999</c:v>
                </c:pt>
                <c:pt idx="47">
                  <c:v>3.2989999999999999</c:v>
                </c:pt>
                <c:pt idx="48">
                  <c:v>2.8559999999999999</c:v>
                </c:pt>
                <c:pt idx="49">
                  <c:v>2.7429999999999999</c:v>
                </c:pt>
                <c:pt idx="50">
                  <c:v>2.7890000000000001</c:v>
                </c:pt>
                <c:pt idx="51">
                  <c:v>2.8090000000000002</c:v>
                </c:pt>
                <c:pt idx="52">
                  <c:v>2.6989999999999998</c:v>
                </c:pt>
                <c:pt idx="53">
                  <c:v>2.8239999999999998</c:v>
                </c:pt>
                <c:pt idx="54">
                  <c:v>2.6429999999999998</c:v>
                </c:pt>
                <c:pt idx="55">
                  <c:v>2.9510000000000001</c:v>
                </c:pt>
                <c:pt idx="56">
                  <c:v>3.1309999999999998</c:v>
                </c:pt>
                <c:pt idx="57">
                  <c:v>2.8330000000000002</c:v>
                </c:pt>
                <c:pt idx="58">
                  <c:v>2.7509999999999999</c:v>
                </c:pt>
                <c:pt idx="59">
                  <c:v>2.8889999999999998</c:v>
                </c:pt>
                <c:pt idx="60">
                  <c:v>3.7759999999999998</c:v>
                </c:pt>
                <c:pt idx="61">
                  <c:v>3.4470000000000001</c:v>
                </c:pt>
                <c:pt idx="62">
                  <c:v>3.1629999999999998</c:v>
                </c:pt>
                <c:pt idx="63">
                  <c:v>2.9590000000000001</c:v>
                </c:pt>
                <c:pt idx="64">
                  <c:v>3.1480000000000001</c:v>
                </c:pt>
                <c:pt idx="65">
                  <c:v>3.5409999999999999</c:v>
                </c:pt>
                <c:pt idx="66">
                  <c:v>3.0760000000000001</c:v>
                </c:pt>
                <c:pt idx="67">
                  <c:v>2.8559999999999999</c:v>
                </c:pt>
                <c:pt idx="68">
                  <c:v>2.9209999999999998</c:v>
                </c:pt>
                <c:pt idx="69">
                  <c:v>3.0609999999999999</c:v>
                </c:pt>
                <c:pt idx="70">
                  <c:v>2.823</c:v>
                </c:pt>
                <c:pt idx="71">
                  <c:v>2.923</c:v>
                </c:pt>
                <c:pt idx="72">
                  <c:v>3.5110000000000001</c:v>
                </c:pt>
                <c:pt idx="74">
                  <c:v>3.1459999999999999</c:v>
                </c:pt>
                <c:pt idx="76">
                  <c:v>2.8879999999999999</c:v>
                </c:pt>
                <c:pt idx="78">
                  <c:v>2.9329999999999998</c:v>
                </c:pt>
                <c:pt idx="79">
                  <c:v>3.1819999999999999</c:v>
                </c:pt>
                <c:pt idx="80">
                  <c:v>3.2719999999999998</c:v>
                </c:pt>
                <c:pt idx="81">
                  <c:v>3.0419999999999998</c:v>
                </c:pt>
                <c:pt idx="82">
                  <c:v>3.8290000000000002</c:v>
                </c:pt>
                <c:pt idx="83">
                  <c:v>3.4729999999999999</c:v>
                </c:pt>
                <c:pt idx="84">
                  <c:v>3.4209999999999998</c:v>
                </c:pt>
                <c:pt idx="85">
                  <c:v>3.3460000000000001</c:v>
                </c:pt>
                <c:pt idx="86">
                  <c:v>3.2709999999999999</c:v>
                </c:pt>
                <c:pt idx="87">
                  <c:v>3.4089999999999998</c:v>
                </c:pt>
                <c:pt idx="88">
                  <c:v>4.6630000000000003</c:v>
                </c:pt>
                <c:pt idx="89">
                  <c:v>3.581</c:v>
                </c:pt>
                <c:pt idx="90">
                  <c:v>3.5859999999999999</c:v>
                </c:pt>
                <c:pt idx="91">
                  <c:v>3.4009999999999998</c:v>
                </c:pt>
                <c:pt idx="92">
                  <c:v>3.1459999999999999</c:v>
                </c:pt>
                <c:pt idx="93">
                  <c:v>3.9940000000000002</c:v>
                </c:pt>
                <c:pt idx="94">
                  <c:v>3.5329999999999999</c:v>
                </c:pt>
                <c:pt idx="95">
                  <c:v>3.4340000000000002</c:v>
                </c:pt>
                <c:pt idx="96">
                  <c:v>3.4279999999999999</c:v>
                </c:pt>
                <c:pt idx="97">
                  <c:v>3.4809999999999999</c:v>
                </c:pt>
                <c:pt idx="98">
                  <c:v>3.2829999999999999</c:v>
                </c:pt>
                <c:pt idx="99">
                  <c:v>3.0840000000000001</c:v>
                </c:pt>
                <c:pt idx="100">
                  <c:v>3.2890000000000001</c:v>
                </c:pt>
                <c:pt idx="101">
                  <c:v>3.8639999999999999</c:v>
                </c:pt>
                <c:pt idx="102">
                  <c:v>3.3439999999999999</c:v>
                </c:pt>
                <c:pt idx="103">
                  <c:v>3.1840000000000002</c:v>
                </c:pt>
                <c:pt idx="104">
                  <c:v>3.246</c:v>
                </c:pt>
                <c:pt idx="105">
                  <c:v>3.8860000000000001</c:v>
                </c:pt>
                <c:pt idx="106">
                  <c:v>3.4710000000000001</c:v>
                </c:pt>
                <c:pt idx="107">
                  <c:v>3.3780000000000001</c:v>
                </c:pt>
                <c:pt idx="108">
                  <c:v>3.1680000000000001</c:v>
                </c:pt>
                <c:pt idx="109">
                  <c:v>3.7970000000000002</c:v>
                </c:pt>
                <c:pt idx="110">
                  <c:v>3.1840000000000002</c:v>
                </c:pt>
                <c:pt idx="111">
                  <c:v>3.399</c:v>
                </c:pt>
                <c:pt idx="112">
                  <c:v>3.23</c:v>
                </c:pt>
                <c:pt idx="113">
                  <c:v>3.6640000000000001</c:v>
                </c:pt>
                <c:pt idx="114">
                  <c:v>4.5410000000000004</c:v>
                </c:pt>
                <c:pt idx="115">
                  <c:v>3.4580000000000002</c:v>
                </c:pt>
                <c:pt idx="116">
                  <c:v>3.2360000000000002</c:v>
                </c:pt>
                <c:pt idx="117">
                  <c:v>3.2829999999999999</c:v>
                </c:pt>
                <c:pt idx="118">
                  <c:v>3.1280000000000001</c:v>
                </c:pt>
                <c:pt idx="119">
                  <c:v>3.044</c:v>
                </c:pt>
                <c:pt idx="120">
                  <c:v>3.0270000000000001</c:v>
                </c:pt>
                <c:pt idx="121">
                  <c:v>2.9550000000000001</c:v>
                </c:pt>
                <c:pt idx="122">
                  <c:v>2.5230000000000001</c:v>
                </c:pt>
                <c:pt idx="123">
                  <c:v>2.681</c:v>
                </c:pt>
                <c:pt idx="124">
                  <c:v>3.456</c:v>
                </c:pt>
                <c:pt idx="125">
                  <c:v>3.1459999999999999</c:v>
                </c:pt>
                <c:pt idx="126">
                  <c:v>3.0259999999999998</c:v>
                </c:pt>
                <c:pt idx="127">
                  <c:v>2.7909999999999999</c:v>
                </c:pt>
                <c:pt idx="128">
                  <c:v>2.6970000000000001</c:v>
                </c:pt>
                <c:pt idx="129">
                  <c:v>3.1160000000000001</c:v>
                </c:pt>
                <c:pt idx="130">
                  <c:v>2.9769999999999999</c:v>
                </c:pt>
                <c:pt idx="131">
                  <c:v>2.8260000000000001</c:v>
                </c:pt>
                <c:pt idx="132">
                  <c:v>2.944</c:v>
                </c:pt>
                <c:pt idx="133">
                  <c:v>4.681</c:v>
                </c:pt>
                <c:pt idx="134">
                  <c:v>3.395</c:v>
                </c:pt>
                <c:pt idx="135">
                  <c:v>3.1139999999999999</c:v>
                </c:pt>
                <c:pt idx="136">
                  <c:v>2.9430000000000001</c:v>
                </c:pt>
                <c:pt idx="137">
                  <c:v>4.1040000000000001</c:v>
                </c:pt>
                <c:pt idx="138">
                  <c:v>4.9790000000000001</c:v>
                </c:pt>
                <c:pt idx="139">
                  <c:v>3.871</c:v>
                </c:pt>
                <c:pt idx="140">
                  <c:v>3.4740000000000002</c:v>
                </c:pt>
                <c:pt idx="141">
                  <c:v>3.2690000000000001</c:v>
                </c:pt>
                <c:pt idx="142">
                  <c:v>4.6879999999999997</c:v>
                </c:pt>
                <c:pt idx="143">
                  <c:v>3.9550000000000001</c:v>
                </c:pt>
                <c:pt idx="144">
                  <c:v>3.2229999999999999</c:v>
                </c:pt>
                <c:pt idx="145">
                  <c:v>3.044</c:v>
                </c:pt>
                <c:pt idx="146">
                  <c:v>3.4780000000000002</c:v>
                </c:pt>
                <c:pt idx="147">
                  <c:v>3.1890000000000001</c:v>
                </c:pt>
                <c:pt idx="148">
                  <c:v>2.7290000000000001</c:v>
                </c:pt>
                <c:pt idx="149">
                  <c:v>3.419</c:v>
                </c:pt>
                <c:pt idx="150">
                  <c:v>4.0039999999999996</c:v>
                </c:pt>
                <c:pt idx="153">
                  <c:v>2.944</c:v>
                </c:pt>
                <c:pt idx="156">
                  <c:v>3.504</c:v>
                </c:pt>
                <c:pt idx="158">
                  <c:v>3.5750000000000002</c:v>
                </c:pt>
                <c:pt idx="159">
                  <c:v>3.2189999999999999</c:v>
                </c:pt>
                <c:pt idx="161">
                  <c:v>2.7109999999999999</c:v>
                </c:pt>
                <c:pt idx="163">
                  <c:v>2.7170000000000001</c:v>
                </c:pt>
                <c:pt idx="165">
                  <c:v>3.8330000000000002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A2-482D-B714-E36CF3795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22767"/>
        <c:axId val="734720847"/>
      </c:scatterChart>
      <c:valAx>
        <c:axId val="73472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</a:t>
                </a:r>
                <a:r>
                  <a:rPr lang="en-US" baseline="0"/>
                  <a:t> (from filters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0847"/>
        <c:crosses val="autoZero"/>
        <c:crossBetween val="midCat"/>
      </c:valAx>
      <c:valAx>
        <c:axId val="7347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vs</a:t>
            </a:r>
            <a:r>
              <a:rPr lang="en-US" baseline="0"/>
              <a:t> LISST </a:t>
            </a:r>
            <a:r>
              <a:rPr lang="en-US"/>
              <a:t>Downstream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7002525930310797E-2"/>
                  <c:y val="-0.130785784301207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Spring!$F$12:$F$83</c:f>
              <c:numCache>
                <c:formatCode>0.00</c:formatCode>
                <c:ptCount val="72"/>
                <c:pt idx="0">
                  <c:v>23.157894736842042</c:v>
                </c:pt>
                <c:pt idx="1">
                  <c:v>15.000000000000014</c:v>
                </c:pt>
                <c:pt idx="2">
                  <c:v>8.9473684210526692</c:v>
                </c:pt>
                <c:pt idx="3">
                  <c:v>9.4999999999999254</c:v>
                </c:pt>
                <c:pt idx="4">
                  <c:v>4.2857142857143424</c:v>
                </c:pt>
                <c:pt idx="6">
                  <c:v>23.000000000000103</c:v>
                </c:pt>
                <c:pt idx="7">
                  <c:v>15.000000000000014</c:v>
                </c:pt>
                <c:pt idx="8">
                  <c:v>9.0909090909090988</c:v>
                </c:pt>
                <c:pt idx="9">
                  <c:v>7.5000000000000071</c:v>
                </c:pt>
                <c:pt idx="10">
                  <c:v>4.3750000000000382</c:v>
                </c:pt>
                <c:pt idx="12">
                  <c:v>5.6249999999999005</c:v>
                </c:pt>
                <c:pt idx="13">
                  <c:v>6.6666666666666723</c:v>
                </c:pt>
                <c:pt idx="17">
                  <c:v>10.344827586206906</c:v>
                </c:pt>
                <c:pt idx="18">
                  <c:v>5.3333333333333011</c:v>
                </c:pt>
                <c:pt idx="19">
                  <c:v>6.4285714285715132</c:v>
                </c:pt>
                <c:pt idx="20">
                  <c:v>6.4285714285713151</c:v>
                </c:pt>
                <c:pt idx="21">
                  <c:v>14.193548387096822</c:v>
                </c:pt>
                <c:pt idx="22">
                  <c:v>14.736842105263287</c:v>
                </c:pt>
                <c:pt idx="23">
                  <c:v>18.947368421052882</c:v>
                </c:pt>
                <c:pt idx="24">
                  <c:v>26.086956521739157</c:v>
                </c:pt>
                <c:pt idx="25">
                  <c:v>7.2727272727274812</c:v>
                </c:pt>
                <c:pt idx="27">
                  <c:v>5.3333333333333011</c:v>
                </c:pt>
                <c:pt idx="28">
                  <c:v>5.0000000000000444</c:v>
                </c:pt>
                <c:pt idx="30">
                  <c:v>22.012578616352222</c:v>
                </c:pt>
                <c:pt idx="31">
                  <c:v>12.142857142857194</c:v>
                </c:pt>
                <c:pt idx="32">
                  <c:v>10.666666666666602</c:v>
                </c:pt>
                <c:pt idx="33">
                  <c:v>5.2941176470588935</c:v>
                </c:pt>
                <c:pt idx="34">
                  <c:v>4.1176470588235654</c:v>
                </c:pt>
                <c:pt idx="35">
                  <c:v>8.1250000000001457</c:v>
                </c:pt>
                <c:pt idx="36">
                  <c:v>6.8750000000001101</c:v>
                </c:pt>
                <c:pt idx="37">
                  <c:v>4.8275862068965933</c:v>
                </c:pt>
                <c:pt idx="38">
                  <c:v>2.3529411764706558</c:v>
                </c:pt>
                <c:pt idx="39">
                  <c:v>5.3333333333333011</c:v>
                </c:pt>
                <c:pt idx="40">
                  <c:v>5.2941176470587292</c:v>
                </c:pt>
                <c:pt idx="41">
                  <c:v>3.2258064516129061</c:v>
                </c:pt>
                <c:pt idx="42">
                  <c:v>0</c:v>
                </c:pt>
                <c:pt idx="43">
                  <c:v>3.3333333333333361</c:v>
                </c:pt>
                <c:pt idx="44">
                  <c:v>5.3333333333333011</c:v>
                </c:pt>
                <c:pt idx="45">
                  <c:v>12.666666666666567</c:v>
                </c:pt>
                <c:pt idx="46">
                  <c:v>10.666666666666787</c:v>
                </c:pt>
                <c:pt idx="47">
                  <c:v>7.8571428571427848</c:v>
                </c:pt>
                <c:pt idx="48">
                  <c:v>8.6666666666666377</c:v>
                </c:pt>
                <c:pt idx="49">
                  <c:v>9.3750000000000089</c:v>
                </c:pt>
                <c:pt idx="50">
                  <c:v>41.999999999999993</c:v>
                </c:pt>
                <c:pt idx="51">
                  <c:v>17.419354838709729</c:v>
                </c:pt>
                <c:pt idx="52">
                  <c:v>6.6666666666666723</c:v>
                </c:pt>
                <c:pt idx="53">
                  <c:v>2.5000000000000715</c:v>
                </c:pt>
                <c:pt idx="54">
                  <c:v>6.000000000000079</c:v>
                </c:pt>
                <c:pt idx="55">
                  <c:v>22.142857142857082</c:v>
                </c:pt>
                <c:pt idx="56">
                  <c:v>10.000000000000009</c:v>
                </c:pt>
                <c:pt idx="57">
                  <c:v>6.4285714285713151</c:v>
                </c:pt>
                <c:pt idx="58">
                  <c:v>18.000000000000053</c:v>
                </c:pt>
                <c:pt idx="59">
                  <c:v>9.3333333333334156</c:v>
                </c:pt>
                <c:pt idx="60">
                  <c:v>5.7142857142856798</c:v>
                </c:pt>
                <c:pt idx="61">
                  <c:v>2.8571428571429389</c:v>
                </c:pt>
                <c:pt idx="62">
                  <c:v>20.666666666666611</c:v>
                </c:pt>
                <c:pt idx="64">
                  <c:v>11.87500000000008</c:v>
                </c:pt>
                <c:pt idx="66">
                  <c:v>2.8571428571429389</c:v>
                </c:pt>
                <c:pt idx="68">
                  <c:v>4.6666666666667078</c:v>
                </c:pt>
                <c:pt idx="69">
                  <c:v>8.7500000000000764</c:v>
                </c:pt>
                <c:pt idx="70">
                  <c:v>9.3333333333334156</c:v>
                </c:pt>
                <c:pt idx="71">
                  <c:v>7.1428571428571495</c:v>
                </c:pt>
              </c:numCache>
            </c:numRef>
          </c:xVal>
          <c:yVal>
            <c:numRef>
              <c:f>Spring!$G$12:$G$83</c:f>
              <c:numCache>
                <c:formatCode>General</c:formatCode>
                <c:ptCount val="72"/>
                <c:pt idx="0">
                  <c:v>106.21</c:v>
                </c:pt>
                <c:pt idx="1">
                  <c:v>51.232999999999997</c:v>
                </c:pt>
                <c:pt idx="2">
                  <c:v>59.16</c:v>
                </c:pt>
                <c:pt idx="3">
                  <c:v>48.47</c:v>
                </c:pt>
                <c:pt idx="4">
                  <c:v>0</c:v>
                </c:pt>
                <c:pt idx="5">
                  <c:v>0</c:v>
                </c:pt>
                <c:pt idx="6">
                  <c:v>78.709999999999994</c:v>
                </c:pt>
                <c:pt idx="7">
                  <c:v>45.42</c:v>
                </c:pt>
                <c:pt idx="8">
                  <c:v>74.75</c:v>
                </c:pt>
                <c:pt idx="9">
                  <c:v>0</c:v>
                </c:pt>
                <c:pt idx="10">
                  <c:v>56.59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27.23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63.56</c:v>
                </c:pt>
                <c:pt idx="51">
                  <c:v>85.89</c:v>
                </c:pt>
                <c:pt idx="52">
                  <c:v>0</c:v>
                </c:pt>
                <c:pt idx="53">
                  <c:v>0</c:v>
                </c:pt>
                <c:pt idx="54">
                  <c:v>50.13</c:v>
                </c:pt>
                <c:pt idx="55" formatCode="0.0000">
                  <c:v>44.99</c:v>
                </c:pt>
                <c:pt idx="56">
                  <c:v>35.729999999999997</c:v>
                </c:pt>
                <c:pt idx="57">
                  <c:v>31.62</c:v>
                </c:pt>
                <c:pt idx="58">
                  <c:v>25.42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68.760000000000005</c:v>
                </c:pt>
                <c:pt idx="63">
                  <c:v>0</c:v>
                </c:pt>
                <c:pt idx="64">
                  <c:v>50.92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 formatCode="0.0000">
                  <c:v>0</c:v>
                </c:pt>
                <c:pt idx="70">
                  <c:v>33.08</c:v>
                </c:pt>
                <c:pt idx="71">
                  <c:v>77.489999999999995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AC-4188-8457-8CB84F938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476335"/>
        <c:axId val="1387477295"/>
      </c:scatterChart>
      <c:valAx>
        <c:axId val="138747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77295"/>
        <c:crosses val="autoZero"/>
        <c:crossBetween val="midCat"/>
      </c:valAx>
      <c:valAx>
        <c:axId val="138747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(uL/L)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76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vs LISST Upstream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3218814739319692E-3"/>
                  <c:y val="-4.49660502957604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Spring!$F$84:$F$167</c:f>
              <c:numCache>
                <c:formatCode>0.00</c:formatCode>
                <c:ptCount val="84"/>
                <c:pt idx="0">
                  <c:v>16.000000000000043</c:v>
                </c:pt>
                <c:pt idx="1">
                  <c:v>0.49999999999994493</c:v>
                </c:pt>
                <c:pt idx="2">
                  <c:v>6.3157894736842453</c:v>
                </c:pt>
                <c:pt idx="4">
                  <c:v>10.000000000000066</c:v>
                </c:pt>
                <c:pt idx="5">
                  <c:v>6.8181818181816984</c:v>
                </c:pt>
                <c:pt idx="6">
                  <c:v>21.499999999999993</c:v>
                </c:pt>
                <c:pt idx="7">
                  <c:v>11.05263157894732</c:v>
                </c:pt>
                <c:pt idx="8">
                  <c:v>17.999999999999961</c:v>
                </c:pt>
                <c:pt idx="9">
                  <c:v>6.4999999999999778</c:v>
                </c:pt>
                <c:pt idx="10">
                  <c:v>7.999999999999952</c:v>
                </c:pt>
                <c:pt idx="11">
                  <c:v>11.999999999999789</c:v>
                </c:pt>
                <c:pt idx="12">
                  <c:v>5.9999999999998943</c:v>
                </c:pt>
                <c:pt idx="13">
                  <c:v>8.888888888888836</c:v>
                </c:pt>
                <c:pt idx="14">
                  <c:v>12.222222222222108</c:v>
                </c:pt>
                <c:pt idx="15">
                  <c:v>6.8750000000001101</c:v>
                </c:pt>
                <c:pt idx="16">
                  <c:v>4.6666666666667078</c:v>
                </c:pt>
                <c:pt idx="17">
                  <c:v>5.3333333333333011</c:v>
                </c:pt>
                <c:pt idx="18">
                  <c:v>6.000000000000079</c:v>
                </c:pt>
                <c:pt idx="19">
                  <c:v>17.857142857142676</c:v>
                </c:pt>
                <c:pt idx="20">
                  <c:v>3.9999999999999298</c:v>
                </c:pt>
                <c:pt idx="21">
                  <c:v>6.6666666666666723</c:v>
                </c:pt>
                <c:pt idx="22">
                  <c:v>5.5172413793103114</c:v>
                </c:pt>
                <c:pt idx="23">
                  <c:v>5.3333333333334858</c:v>
                </c:pt>
                <c:pt idx="24">
                  <c:v>8.0000000000000444</c:v>
                </c:pt>
                <c:pt idx="25">
                  <c:v>7.3333333333334512</c:v>
                </c:pt>
                <c:pt idx="27">
                  <c:v>11.249999999999975</c:v>
                </c:pt>
                <c:pt idx="28">
                  <c:v>5.1612903225806139</c:v>
                </c:pt>
                <c:pt idx="29">
                  <c:v>8.6666666666666377</c:v>
                </c:pt>
                <c:pt idx="30">
                  <c:v>8.5714285714286191</c:v>
                </c:pt>
                <c:pt idx="32">
                  <c:v>15.000000000000083</c:v>
                </c:pt>
                <c:pt idx="33">
                  <c:v>7.1428571428571495</c:v>
                </c:pt>
                <c:pt idx="34">
                  <c:v>4.1176470588235654</c:v>
                </c:pt>
                <c:pt idx="35">
                  <c:v>7.1428571428571495</c:v>
                </c:pt>
                <c:pt idx="37">
                  <c:v>5.5172413793103114</c:v>
                </c:pt>
                <c:pt idx="38">
                  <c:v>11.33333333333338</c:v>
                </c:pt>
                <c:pt idx="39">
                  <c:v>6.6666666666666723</c:v>
                </c:pt>
                <c:pt idx="40">
                  <c:v>5.2941176470588935</c:v>
                </c:pt>
                <c:pt idx="42">
                  <c:v>7.5000000000000417</c:v>
                </c:pt>
                <c:pt idx="44">
                  <c:v>8.1249999999999734</c:v>
                </c:pt>
                <c:pt idx="45">
                  <c:v>11.612903225806427</c:v>
                </c:pt>
                <c:pt idx="46">
                  <c:v>8.1249999999999734</c:v>
                </c:pt>
                <c:pt idx="47">
                  <c:v>6.6666666666666723</c:v>
                </c:pt>
                <c:pt idx="48">
                  <c:v>3.7499999999999338</c:v>
                </c:pt>
                <c:pt idx="49">
                  <c:v>11.249999999999975</c:v>
                </c:pt>
                <c:pt idx="50">
                  <c:v>4.6666666666665231</c:v>
                </c:pt>
                <c:pt idx="51">
                  <c:v>14.545454545454458</c:v>
                </c:pt>
                <c:pt idx="52">
                  <c:v>9.2857142857142527</c:v>
                </c:pt>
                <c:pt idx="53">
                  <c:v>6.8750000000001101</c:v>
                </c:pt>
                <c:pt idx="54">
                  <c:v>2.5000000000000715</c:v>
                </c:pt>
                <c:pt idx="55">
                  <c:v>12.666666666666751</c:v>
                </c:pt>
                <c:pt idx="56">
                  <c:v>45.000000000000007</c:v>
                </c:pt>
                <c:pt idx="57">
                  <c:v>13.99999999999994</c:v>
                </c:pt>
                <c:pt idx="58">
                  <c:v>10.000000000000009</c:v>
                </c:pt>
                <c:pt idx="59">
                  <c:v>8.1249999999999734</c:v>
                </c:pt>
                <c:pt idx="60">
                  <c:v>13.529411764705863</c:v>
                </c:pt>
                <c:pt idx="61">
                  <c:v>20.000000000000018</c:v>
                </c:pt>
                <c:pt idx="62">
                  <c:v>9.9999999999999396</c:v>
                </c:pt>
                <c:pt idx="63">
                  <c:v>0.62500000000010458</c:v>
                </c:pt>
                <c:pt idx="64">
                  <c:v>4.3750000000000382</c:v>
                </c:pt>
                <c:pt idx="65">
                  <c:v>3.3333333333333361</c:v>
                </c:pt>
                <c:pt idx="66">
                  <c:v>5.0000000000000444</c:v>
                </c:pt>
                <c:pt idx="67">
                  <c:v>10.666666666666602</c:v>
                </c:pt>
                <c:pt idx="68">
                  <c:v>24.374999999999918</c:v>
                </c:pt>
                <c:pt idx="71">
                  <c:v>5.6249999999999005</c:v>
                </c:pt>
                <c:pt idx="74">
                  <c:v>1.2903225806451981</c:v>
                </c:pt>
                <c:pt idx="76">
                  <c:v>0.71428571428583387</c:v>
                </c:pt>
                <c:pt idx="77">
                  <c:v>5.7142857142856798</c:v>
                </c:pt>
                <c:pt idx="79">
                  <c:v>2.142857142857105</c:v>
                </c:pt>
                <c:pt idx="81">
                  <c:v>0.66666666666677832</c:v>
                </c:pt>
              </c:numCache>
            </c:numRef>
          </c:xVal>
          <c:yVal>
            <c:numRef>
              <c:f>Spring!$G$84:$G$167</c:f>
              <c:numCache>
                <c:formatCode>General</c:formatCode>
                <c:ptCount val="84"/>
                <c:pt idx="0">
                  <c:v>103.31</c:v>
                </c:pt>
                <c:pt idx="1">
                  <c:v>65.48</c:v>
                </c:pt>
                <c:pt idx="2">
                  <c:v>73.680000000000007</c:v>
                </c:pt>
                <c:pt idx="3">
                  <c:v>48.9</c:v>
                </c:pt>
                <c:pt idx="4">
                  <c:v>0</c:v>
                </c:pt>
                <c:pt idx="5">
                  <c:v>0</c:v>
                </c:pt>
                <c:pt idx="6">
                  <c:v>93.48</c:v>
                </c:pt>
                <c:pt idx="7">
                  <c:v>53.79</c:v>
                </c:pt>
                <c:pt idx="8">
                  <c:v>47.58</c:v>
                </c:pt>
                <c:pt idx="9">
                  <c:v>30.72</c:v>
                </c:pt>
                <c:pt idx="10">
                  <c:v>0</c:v>
                </c:pt>
                <c:pt idx="11">
                  <c:v>0</c:v>
                </c:pt>
                <c:pt idx="12">
                  <c:v>22.36</c:v>
                </c:pt>
                <c:pt idx="13">
                  <c:v>30.83</c:v>
                </c:pt>
                <c:pt idx="14">
                  <c:v>0</c:v>
                </c:pt>
                <c:pt idx="15">
                  <c:v>0</c:v>
                </c:pt>
                <c:pt idx="16">
                  <c:v>24.91</c:v>
                </c:pt>
                <c:pt idx="17">
                  <c:v>0</c:v>
                </c:pt>
                <c:pt idx="18">
                  <c:v>0</c:v>
                </c:pt>
                <c:pt idx="19">
                  <c:v>67.13</c:v>
                </c:pt>
                <c:pt idx="20">
                  <c:v>0</c:v>
                </c:pt>
                <c:pt idx="21">
                  <c:v>51.68</c:v>
                </c:pt>
                <c:pt idx="22">
                  <c:v>0</c:v>
                </c:pt>
                <c:pt idx="23">
                  <c:v>57.56</c:v>
                </c:pt>
                <c:pt idx="24">
                  <c:v>63.54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66.59</c:v>
                </c:pt>
                <c:pt idx="30">
                  <c:v>0</c:v>
                </c:pt>
                <c:pt idx="31">
                  <c:v>46.75</c:v>
                </c:pt>
                <c:pt idx="32">
                  <c:v>27.12</c:v>
                </c:pt>
                <c:pt idx="33">
                  <c:v>14.59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56.02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43.66</c:v>
                </c:pt>
                <c:pt idx="56">
                  <c:v>85.5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64.14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39.619999999999997</c:v>
                </c:pt>
                <c:pt idx="68">
                  <c:v>87.1</c:v>
                </c:pt>
                <c:pt idx="69">
                  <c:v>0</c:v>
                </c:pt>
                <c:pt idx="70">
                  <c:v>26.28</c:v>
                </c:pt>
                <c:pt idx="71">
                  <c:v>0</c:v>
                </c:pt>
                <c:pt idx="72">
                  <c:v>0</c:v>
                </c:pt>
                <c:pt idx="73">
                  <c:v>35.26</c:v>
                </c:pt>
                <c:pt idx="74">
                  <c:v>0</c:v>
                </c:pt>
                <c:pt idx="75">
                  <c:v>72.78</c:v>
                </c:pt>
                <c:pt idx="76">
                  <c:v>25.16</c:v>
                </c:pt>
                <c:pt idx="77">
                  <c:v>15.19</c:v>
                </c:pt>
                <c:pt idx="78">
                  <c:v>99.54</c:v>
                </c:pt>
                <c:pt idx="79">
                  <c:v>0</c:v>
                </c:pt>
                <c:pt idx="80">
                  <c:v>40.119999999999997</c:v>
                </c:pt>
                <c:pt idx="81">
                  <c:v>25.61</c:v>
                </c:pt>
                <c:pt idx="82">
                  <c:v>0</c:v>
                </c:pt>
                <c:pt idx="83">
                  <c:v>30.82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BB-4EBE-83C2-3B674EAB8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476335"/>
        <c:axId val="1387477295"/>
      </c:scatterChart>
      <c:valAx>
        <c:axId val="138747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77295"/>
        <c:crosses val="autoZero"/>
        <c:crossBetween val="midCat"/>
      </c:valAx>
      <c:valAx>
        <c:axId val="138747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(uL/L)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76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SSC</a:t>
            </a:r>
            <a:r>
              <a:rPr lang="en-US" sz="1200" baseline="0"/>
              <a:t> (mg/L vs uL/L) - No zeros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02755905511811E-2"/>
                  <c:y val="-5.89012831729367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Spring!$AG$2:$AG$46</c:f>
              <c:numCache>
                <c:formatCode>0.00</c:formatCode>
                <c:ptCount val="45"/>
                <c:pt idx="0">
                  <c:v>23.157894736842042</c:v>
                </c:pt>
                <c:pt idx="1">
                  <c:v>15.000000000000014</c:v>
                </c:pt>
                <c:pt idx="2">
                  <c:v>8.9473684210526692</c:v>
                </c:pt>
                <c:pt idx="3">
                  <c:v>9.4999999999999254</c:v>
                </c:pt>
                <c:pt idx="4">
                  <c:v>23.000000000000103</c:v>
                </c:pt>
                <c:pt idx="5">
                  <c:v>15.000000000000014</c:v>
                </c:pt>
                <c:pt idx="6">
                  <c:v>9.0909090909090988</c:v>
                </c:pt>
                <c:pt idx="7">
                  <c:v>4.3750000000000382</c:v>
                </c:pt>
                <c:pt idx="8">
                  <c:v>41.999999999999993</c:v>
                </c:pt>
                <c:pt idx="9">
                  <c:v>17.419354838709729</c:v>
                </c:pt>
                <c:pt idx="10">
                  <c:v>6.000000000000079</c:v>
                </c:pt>
                <c:pt idx="11">
                  <c:v>22.142857142857082</c:v>
                </c:pt>
                <c:pt idx="12">
                  <c:v>10.000000000000009</c:v>
                </c:pt>
                <c:pt idx="13">
                  <c:v>6.4285714285713151</c:v>
                </c:pt>
                <c:pt idx="14">
                  <c:v>18.000000000000053</c:v>
                </c:pt>
                <c:pt idx="15">
                  <c:v>20.666666666666611</c:v>
                </c:pt>
                <c:pt idx="16">
                  <c:v>11.87500000000008</c:v>
                </c:pt>
                <c:pt idx="17">
                  <c:v>9.3333333333334156</c:v>
                </c:pt>
                <c:pt idx="18">
                  <c:v>7.1428571428571495</c:v>
                </c:pt>
                <c:pt idx="19">
                  <c:v>16.000000000000043</c:v>
                </c:pt>
                <c:pt idx="20">
                  <c:v>0.49999999999994493</c:v>
                </c:pt>
                <c:pt idx="21">
                  <c:v>6.3157894736842453</c:v>
                </c:pt>
                <c:pt idx="22">
                  <c:v>21.499999999999993</c:v>
                </c:pt>
                <c:pt idx="23">
                  <c:v>11.05263157894732</c:v>
                </c:pt>
                <c:pt idx="24">
                  <c:v>17.999999999999961</c:v>
                </c:pt>
                <c:pt idx="25">
                  <c:v>6.4999999999999778</c:v>
                </c:pt>
                <c:pt idx="26">
                  <c:v>5.9999999999998943</c:v>
                </c:pt>
                <c:pt idx="27">
                  <c:v>8.888888888888836</c:v>
                </c:pt>
                <c:pt idx="28">
                  <c:v>4.6666666666667078</c:v>
                </c:pt>
                <c:pt idx="29">
                  <c:v>17.857142857142676</c:v>
                </c:pt>
                <c:pt idx="30">
                  <c:v>6.6666666666666723</c:v>
                </c:pt>
                <c:pt idx="31">
                  <c:v>5.3333333333334858</c:v>
                </c:pt>
                <c:pt idx="32">
                  <c:v>8.0000000000000444</c:v>
                </c:pt>
                <c:pt idx="33">
                  <c:v>8.6666666666666377</c:v>
                </c:pt>
                <c:pt idx="34">
                  <c:v>15.000000000000083</c:v>
                </c:pt>
                <c:pt idx="35">
                  <c:v>7.1428571428571495</c:v>
                </c:pt>
                <c:pt idx="36">
                  <c:v>6.6666666666666723</c:v>
                </c:pt>
                <c:pt idx="37">
                  <c:v>12.666666666666751</c:v>
                </c:pt>
                <c:pt idx="38">
                  <c:v>45.000000000000007</c:v>
                </c:pt>
                <c:pt idx="39">
                  <c:v>20.000000000000018</c:v>
                </c:pt>
                <c:pt idx="40">
                  <c:v>10.666666666666602</c:v>
                </c:pt>
                <c:pt idx="41">
                  <c:v>24.374999999999918</c:v>
                </c:pt>
                <c:pt idx="42">
                  <c:v>0.71428571428583387</c:v>
                </c:pt>
                <c:pt idx="43">
                  <c:v>5.7142857142856798</c:v>
                </c:pt>
                <c:pt idx="44">
                  <c:v>0.66666666666677832</c:v>
                </c:pt>
              </c:numCache>
            </c:numRef>
          </c:xVal>
          <c:yVal>
            <c:numRef>
              <c:f>Spring!$AH$2:$AH$46</c:f>
              <c:numCache>
                <c:formatCode>0.00</c:formatCode>
                <c:ptCount val="45"/>
                <c:pt idx="0">
                  <c:v>106.21</c:v>
                </c:pt>
                <c:pt idx="1">
                  <c:v>51.232999999999997</c:v>
                </c:pt>
                <c:pt idx="2">
                  <c:v>59.16</c:v>
                </c:pt>
                <c:pt idx="3">
                  <c:v>48.47</c:v>
                </c:pt>
                <c:pt idx="4">
                  <c:v>78.709999999999994</c:v>
                </c:pt>
                <c:pt idx="5">
                  <c:v>45.42</c:v>
                </c:pt>
                <c:pt idx="6">
                  <c:v>74.75</c:v>
                </c:pt>
                <c:pt idx="7">
                  <c:v>56.59</c:v>
                </c:pt>
                <c:pt idx="8">
                  <c:v>63.56</c:v>
                </c:pt>
                <c:pt idx="9">
                  <c:v>85.89</c:v>
                </c:pt>
                <c:pt idx="10">
                  <c:v>50.13</c:v>
                </c:pt>
                <c:pt idx="11">
                  <c:v>44.99</c:v>
                </c:pt>
                <c:pt idx="12">
                  <c:v>35.729999999999997</c:v>
                </c:pt>
                <c:pt idx="13">
                  <c:v>31.62</c:v>
                </c:pt>
                <c:pt idx="14">
                  <c:v>25.42</c:v>
                </c:pt>
                <c:pt idx="15">
                  <c:v>68.760000000000005</c:v>
                </c:pt>
                <c:pt idx="16">
                  <c:v>50.92</c:v>
                </c:pt>
                <c:pt idx="17">
                  <c:v>33.08</c:v>
                </c:pt>
                <c:pt idx="18">
                  <c:v>77.489999999999995</c:v>
                </c:pt>
                <c:pt idx="19">
                  <c:v>103.31</c:v>
                </c:pt>
                <c:pt idx="20">
                  <c:v>65.48</c:v>
                </c:pt>
                <c:pt idx="21">
                  <c:v>73.680000000000007</c:v>
                </c:pt>
                <c:pt idx="22">
                  <c:v>93.48</c:v>
                </c:pt>
                <c:pt idx="23">
                  <c:v>53.79</c:v>
                </c:pt>
                <c:pt idx="24">
                  <c:v>47.58</c:v>
                </c:pt>
                <c:pt idx="25">
                  <c:v>30.72</c:v>
                </c:pt>
                <c:pt idx="26">
                  <c:v>22.36</c:v>
                </c:pt>
                <c:pt idx="27">
                  <c:v>30.83</c:v>
                </c:pt>
                <c:pt idx="28">
                  <c:v>24.91</c:v>
                </c:pt>
                <c:pt idx="29">
                  <c:v>67.13</c:v>
                </c:pt>
                <c:pt idx="30">
                  <c:v>51.68</c:v>
                </c:pt>
                <c:pt idx="31">
                  <c:v>57.56</c:v>
                </c:pt>
                <c:pt idx="32">
                  <c:v>63.54</c:v>
                </c:pt>
                <c:pt idx="33">
                  <c:v>66.59</c:v>
                </c:pt>
                <c:pt idx="34">
                  <c:v>27.12</c:v>
                </c:pt>
                <c:pt idx="35">
                  <c:v>14.59</c:v>
                </c:pt>
                <c:pt idx="36">
                  <c:v>56.02</c:v>
                </c:pt>
                <c:pt idx="37">
                  <c:v>43.66</c:v>
                </c:pt>
                <c:pt idx="38">
                  <c:v>85.5</c:v>
                </c:pt>
                <c:pt idx="39">
                  <c:v>64.14</c:v>
                </c:pt>
                <c:pt idx="40">
                  <c:v>39.619999999999997</c:v>
                </c:pt>
                <c:pt idx="41">
                  <c:v>87.1</c:v>
                </c:pt>
                <c:pt idx="42">
                  <c:v>25.16</c:v>
                </c:pt>
                <c:pt idx="43">
                  <c:v>15.19</c:v>
                </c:pt>
                <c:pt idx="44">
                  <c:v>25.61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5F-4867-870A-984FAC909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530095"/>
        <c:axId val="1387521935"/>
      </c:scatterChart>
      <c:valAx>
        <c:axId val="138753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21935"/>
        <c:crosses val="autoZero"/>
        <c:crossBetween val="midCat"/>
      </c:valAx>
      <c:valAx>
        <c:axId val="138752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3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SSC</a:t>
            </a:r>
            <a:r>
              <a:rPr lang="en-US" sz="1050" baseline="0"/>
              <a:t> (mg/L vs uL/L) - No zeros Downstream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02755905511811E-2"/>
                  <c:y val="-5.89012831729367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Spring!$AG$2:$AG$20</c:f>
              <c:numCache>
                <c:formatCode>0.00</c:formatCode>
                <c:ptCount val="19"/>
                <c:pt idx="0">
                  <c:v>23.157894736842042</c:v>
                </c:pt>
                <c:pt idx="1">
                  <c:v>15.000000000000014</c:v>
                </c:pt>
                <c:pt idx="2">
                  <c:v>8.9473684210526692</c:v>
                </c:pt>
                <c:pt idx="3">
                  <c:v>9.4999999999999254</c:v>
                </c:pt>
                <c:pt idx="4">
                  <c:v>23.000000000000103</c:v>
                </c:pt>
                <c:pt idx="5">
                  <c:v>15.000000000000014</c:v>
                </c:pt>
                <c:pt idx="6">
                  <c:v>9.0909090909090988</c:v>
                </c:pt>
                <c:pt idx="7">
                  <c:v>4.3750000000000382</c:v>
                </c:pt>
                <c:pt idx="8">
                  <c:v>41.999999999999993</c:v>
                </c:pt>
                <c:pt idx="9">
                  <c:v>17.419354838709729</c:v>
                </c:pt>
                <c:pt idx="10">
                  <c:v>6.000000000000079</c:v>
                </c:pt>
                <c:pt idx="11">
                  <c:v>22.142857142857082</c:v>
                </c:pt>
                <c:pt idx="12">
                  <c:v>10.000000000000009</c:v>
                </c:pt>
                <c:pt idx="13">
                  <c:v>6.4285714285713151</c:v>
                </c:pt>
                <c:pt idx="14">
                  <c:v>18.000000000000053</c:v>
                </c:pt>
                <c:pt idx="15">
                  <c:v>20.666666666666611</c:v>
                </c:pt>
                <c:pt idx="16">
                  <c:v>11.87500000000008</c:v>
                </c:pt>
                <c:pt idx="17">
                  <c:v>9.3333333333334156</c:v>
                </c:pt>
                <c:pt idx="18">
                  <c:v>7.1428571428571495</c:v>
                </c:pt>
              </c:numCache>
            </c:numRef>
          </c:xVal>
          <c:yVal>
            <c:numRef>
              <c:f>Spring!$AH$2:$AH$20</c:f>
              <c:numCache>
                <c:formatCode>0.00</c:formatCode>
                <c:ptCount val="19"/>
                <c:pt idx="0">
                  <c:v>106.21</c:v>
                </c:pt>
                <c:pt idx="1">
                  <c:v>51.232999999999997</c:v>
                </c:pt>
                <c:pt idx="2">
                  <c:v>59.16</c:v>
                </c:pt>
                <c:pt idx="3">
                  <c:v>48.47</c:v>
                </c:pt>
                <c:pt idx="4">
                  <c:v>78.709999999999994</c:v>
                </c:pt>
                <c:pt idx="5">
                  <c:v>45.42</c:v>
                </c:pt>
                <c:pt idx="6">
                  <c:v>74.75</c:v>
                </c:pt>
                <c:pt idx="7">
                  <c:v>56.59</c:v>
                </c:pt>
                <c:pt idx="8">
                  <c:v>63.56</c:v>
                </c:pt>
                <c:pt idx="9">
                  <c:v>85.89</c:v>
                </c:pt>
                <c:pt idx="10">
                  <c:v>50.13</c:v>
                </c:pt>
                <c:pt idx="11">
                  <c:v>44.99</c:v>
                </c:pt>
                <c:pt idx="12">
                  <c:v>35.729999999999997</c:v>
                </c:pt>
                <c:pt idx="13">
                  <c:v>31.62</c:v>
                </c:pt>
                <c:pt idx="14">
                  <c:v>25.42</c:v>
                </c:pt>
                <c:pt idx="15">
                  <c:v>68.760000000000005</c:v>
                </c:pt>
                <c:pt idx="16">
                  <c:v>50.92</c:v>
                </c:pt>
                <c:pt idx="17">
                  <c:v>33.08</c:v>
                </c:pt>
                <c:pt idx="18">
                  <c:v>77.489999999999995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88-494A-A24B-E7DAA1E14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530095"/>
        <c:axId val="1387521935"/>
      </c:scatterChart>
      <c:valAx>
        <c:axId val="138753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21935"/>
        <c:crosses val="autoZero"/>
        <c:crossBetween val="midCat"/>
      </c:valAx>
      <c:valAx>
        <c:axId val="138752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3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SSC</a:t>
            </a:r>
            <a:r>
              <a:rPr lang="en-US" sz="1100" baseline="0"/>
              <a:t> (mg/L vs uL/L) - No zeros Upstream</a:t>
            </a:r>
            <a:endParaRPr lang="en-US" sz="1100"/>
          </a:p>
        </c:rich>
      </c:tx>
      <c:layout>
        <c:manualLayout>
          <c:xMode val="edge"/>
          <c:yMode val="edge"/>
          <c:x val="0.1934414058093962"/>
          <c:y val="2.7298149529375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3587506516372022E-2"/>
                  <c:y val="0.324737942854026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Spring!$AG$21:$AG$46</c:f>
              <c:numCache>
                <c:formatCode>0.00</c:formatCode>
                <c:ptCount val="26"/>
                <c:pt idx="0">
                  <c:v>16.000000000000043</c:v>
                </c:pt>
                <c:pt idx="1">
                  <c:v>0.49999999999994493</c:v>
                </c:pt>
                <c:pt idx="2">
                  <c:v>6.3157894736842453</c:v>
                </c:pt>
                <c:pt idx="3">
                  <c:v>21.499999999999993</c:v>
                </c:pt>
                <c:pt idx="4">
                  <c:v>11.05263157894732</c:v>
                </c:pt>
                <c:pt idx="5">
                  <c:v>17.999999999999961</c:v>
                </c:pt>
                <c:pt idx="6">
                  <c:v>6.4999999999999778</c:v>
                </c:pt>
                <c:pt idx="7">
                  <c:v>5.9999999999998943</c:v>
                </c:pt>
                <c:pt idx="8">
                  <c:v>8.888888888888836</c:v>
                </c:pt>
                <c:pt idx="9">
                  <c:v>4.6666666666667078</c:v>
                </c:pt>
                <c:pt idx="10">
                  <c:v>17.857142857142676</c:v>
                </c:pt>
                <c:pt idx="11">
                  <c:v>6.6666666666666723</c:v>
                </c:pt>
                <c:pt idx="12">
                  <c:v>5.3333333333334858</c:v>
                </c:pt>
                <c:pt idx="13">
                  <c:v>8.0000000000000444</c:v>
                </c:pt>
                <c:pt idx="14">
                  <c:v>8.6666666666666377</c:v>
                </c:pt>
                <c:pt idx="15">
                  <c:v>15.000000000000083</c:v>
                </c:pt>
                <c:pt idx="16">
                  <c:v>7.1428571428571495</c:v>
                </c:pt>
                <c:pt idx="17">
                  <c:v>6.6666666666666723</c:v>
                </c:pt>
                <c:pt idx="18">
                  <c:v>12.666666666666751</c:v>
                </c:pt>
                <c:pt idx="19">
                  <c:v>45.000000000000007</c:v>
                </c:pt>
                <c:pt idx="20">
                  <c:v>20.000000000000018</c:v>
                </c:pt>
                <c:pt idx="21">
                  <c:v>10.666666666666602</c:v>
                </c:pt>
                <c:pt idx="22">
                  <c:v>24.374999999999918</c:v>
                </c:pt>
                <c:pt idx="23">
                  <c:v>0.71428571428583387</c:v>
                </c:pt>
                <c:pt idx="24">
                  <c:v>5.7142857142856798</c:v>
                </c:pt>
                <c:pt idx="25">
                  <c:v>0.66666666666677832</c:v>
                </c:pt>
              </c:numCache>
            </c:numRef>
          </c:xVal>
          <c:yVal>
            <c:numRef>
              <c:f>Spring!$AH$21:$AH$46</c:f>
              <c:numCache>
                <c:formatCode>0.00</c:formatCode>
                <c:ptCount val="26"/>
                <c:pt idx="0">
                  <c:v>103.31</c:v>
                </c:pt>
                <c:pt idx="1">
                  <c:v>65.48</c:v>
                </c:pt>
                <c:pt idx="2">
                  <c:v>73.680000000000007</c:v>
                </c:pt>
                <c:pt idx="3">
                  <c:v>93.48</c:v>
                </c:pt>
                <c:pt idx="4">
                  <c:v>53.79</c:v>
                </c:pt>
                <c:pt idx="5">
                  <c:v>47.58</c:v>
                </c:pt>
                <c:pt idx="6">
                  <c:v>30.72</c:v>
                </c:pt>
                <c:pt idx="7">
                  <c:v>22.36</c:v>
                </c:pt>
                <c:pt idx="8">
                  <c:v>30.83</c:v>
                </c:pt>
                <c:pt idx="9">
                  <c:v>24.91</c:v>
                </c:pt>
                <c:pt idx="10">
                  <c:v>67.13</c:v>
                </c:pt>
                <c:pt idx="11">
                  <c:v>51.68</c:v>
                </c:pt>
                <c:pt idx="12">
                  <c:v>57.56</c:v>
                </c:pt>
                <c:pt idx="13">
                  <c:v>63.54</c:v>
                </c:pt>
                <c:pt idx="14">
                  <c:v>66.59</c:v>
                </c:pt>
                <c:pt idx="15">
                  <c:v>27.12</c:v>
                </c:pt>
                <c:pt idx="16">
                  <c:v>14.59</c:v>
                </c:pt>
                <c:pt idx="17">
                  <c:v>56.02</c:v>
                </c:pt>
                <c:pt idx="18">
                  <c:v>43.66</c:v>
                </c:pt>
                <c:pt idx="19">
                  <c:v>85.5</c:v>
                </c:pt>
                <c:pt idx="20">
                  <c:v>64.14</c:v>
                </c:pt>
                <c:pt idx="21">
                  <c:v>39.619999999999997</c:v>
                </c:pt>
                <c:pt idx="22">
                  <c:v>87.1</c:v>
                </c:pt>
                <c:pt idx="23">
                  <c:v>25.16</c:v>
                </c:pt>
                <c:pt idx="24">
                  <c:v>15.19</c:v>
                </c:pt>
                <c:pt idx="25">
                  <c:v>25.61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89-480F-AC25-C76DDDB0F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530095"/>
        <c:axId val="1387521935"/>
      </c:scatterChart>
      <c:valAx>
        <c:axId val="138753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21935"/>
        <c:crosses val="autoZero"/>
        <c:crossBetween val="midCat"/>
      </c:valAx>
      <c:valAx>
        <c:axId val="138752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3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LISST vs Sonde</a:t>
            </a:r>
            <a:r>
              <a:rPr lang="en-US" baseline="0"/>
              <a:t> Turbidity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Spring!$O$1</c:f>
              <c:strCache>
                <c:ptCount val="1"/>
                <c:pt idx="0">
                  <c:v>Downstream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9133796586627984E-2"/>
                  <c:y val="-0.1297453174138611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Spring!$G$2:$G$167</c:f>
              <c:numCache>
                <c:formatCode>0.00</c:formatCode>
                <c:ptCount val="166"/>
                <c:pt idx="10" formatCode="General">
                  <c:v>106.21</c:v>
                </c:pt>
                <c:pt idx="11" formatCode="General">
                  <c:v>51.232999999999997</c:v>
                </c:pt>
                <c:pt idx="12" formatCode="General">
                  <c:v>59.16</c:v>
                </c:pt>
                <c:pt idx="13" formatCode="General">
                  <c:v>48.47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78.709999999999994</c:v>
                </c:pt>
                <c:pt idx="17" formatCode="General">
                  <c:v>45.42</c:v>
                </c:pt>
                <c:pt idx="18" formatCode="General">
                  <c:v>74.75</c:v>
                </c:pt>
                <c:pt idx="19" formatCode="General">
                  <c:v>0</c:v>
                </c:pt>
                <c:pt idx="20" formatCode="General">
                  <c:v>56.59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27.23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  <c:pt idx="52" formatCode="General">
                  <c:v>0</c:v>
                </c:pt>
                <c:pt idx="53" formatCode="General">
                  <c:v>0</c:v>
                </c:pt>
                <c:pt idx="54" formatCode="General">
                  <c:v>0</c:v>
                </c:pt>
                <c:pt idx="55" formatCode="General">
                  <c:v>0</c:v>
                </c:pt>
                <c:pt idx="56" formatCode="General">
                  <c:v>0</c:v>
                </c:pt>
                <c:pt idx="57" formatCode="General">
                  <c:v>0</c:v>
                </c:pt>
                <c:pt idx="58" formatCode="General">
                  <c:v>0</c:v>
                </c:pt>
                <c:pt idx="59" formatCode="General">
                  <c:v>0</c:v>
                </c:pt>
                <c:pt idx="60" formatCode="General">
                  <c:v>63.56</c:v>
                </c:pt>
                <c:pt idx="61" formatCode="General">
                  <c:v>85.89</c:v>
                </c:pt>
                <c:pt idx="62" formatCode="General">
                  <c:v>0</c:v>
                </c:pt>
                <c:pt idx="63" formatCode="General">
                  <c:v>0</c:v>
                </c:pt>
                <c:pt idx="64" formatCode="General">
                  <c:v>50.13</c:v>
                </c:pt>
                <c:pt idx="65" formatCode="0.0000">
                  <c:v>44.99</c:v>
                </c:pt>
                <c:pt idx="66" formatCode="General">
                  <c:v>35.729999999999997</c:v>
                </c:pt>
                <c:pt idx="67" formatCode="General">
                  <c:v>31.62</c:v>
                </c:pt>
                <c:pt idx="68" formatCode="General">
                  <c:v>25.42</c:v>
                </c:pt>
                <c:pt idx="69" formatCode="General">
                  <c:v>0</c:v>
                </c:pt>
                <c:pt idx="70" formatCode="General">
                  <c:v>0</c:v>
                </c:pt>
                <c:pt idx="71" formatCode="General">
                  <c:v>0</c:v>
                </c:pt>
                <c:pt idx="72" formatCode="General">
                  <c:v>68.760000000000005</c:v>
                </c:pt>
                <c:pt idx="73" formatCode="General">
                  <c:v>0</c:v>
                </c:pt>
                <c:pt idx="74" formatCode="General">
                  <c:v>50.92</c:v>
                </c:pt>
                <c:pt idx="75" formatCode="General">
                  <c:v>0</c:v>
                </c:pt>
                <c:pt idx="76" formatCode="General">
                  <c:v>0</c:v>
                </c:pt>
                <c:pt idx="77" formatCode="General">
                  <c:v>0</c:v>
                </c:pt>
                <c:pt idx="78" formatCode="General">
                  <c:v>0</c:v>
                </c:pt>
                <c:pt idx="79" formatCode="0.0000">
                  <c:v>0</c:v>
                </c:pt>
                <c:pt idx="80" formatCode="General">
                  <c:v>33.08</c:v>
                </c:pt>
                <c:pt idx="81" formatCode="General">
                  <c:v>77.489999999999995</c:v>
                </c:pt>
                <c:pt idx="82" formatCode="General">
                  <c:v>103.31</c:v>
                </c:pt>
                <c:pt idx="83" formatCode="General">
                  <c:v>65.48</c:v>
                </c:pt>
                <c:pt idx="84" formatCode="General">
                  <c:v>73.680000000000007</c:v>
                </c:pt>
                <c:pt idx="85" formatCode="General">
                  <c:v>48.9</c:v>
                </c:pt>
                <c:pt idx="86" formatCode="General">
                  <c:v>0</c:v>
                </c:pt>
                <c:pt idx="87" formatCode="General">
                  <c:v>0</c:v>
                </c:pt>
                <c:pt idx="88" formatCode="General">
                  <c:v>93.48</c:v>
                </c:pt>
                <c:pt idx="89" formatCode="General">
                  <c:v>53.79</c:v>
                </c:pt>
                <c:pt idx="90" formatCode="General">
                  <c:v>47.58</c:v>
                </c:pt>
                <c:pt idx="91" formatCode="General">
                  <c:v>30.72</c:v>
                </c:pt>
                <c:pt idx="92" formatCode="General">
                  <c:v>0</c:v>
                </c:pt>
                <c:pt idx="93" formatCode="General">
                  <c:v>0</c:v>
                </c:pt>
                <c:pt idx="94" formatCode="General">
                  <c:v>22.36</c:v>
                </c:pt>
                <c:pt idx="95" formatCode="General">
                  <c:v>30.83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24.91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67.13</c:v>
                </c:pt>
                <c:pt idx="102" formatCode="General">
                  <c:v>0</c:v>
                </c:pt>
                <c:pt idx="103" formatCode="General">
                  <c:v>51.68</c:v>
                </c:pt>
                <c:pt idx="104" formatCode="General">
                  <c:v>0</c:v>
                </c:pt>
                <c:pt idx="105" formatCode="General">
                  <c:v>57.56</c:v>
                </c:pt>
                <c:pt idx="106" formatCode="General">
                  <c:v>63.54</c:v>
                </c:pt>
                <c:pt idx="107" formatCode="General">
                  <c:v>0</c:v>
                </c:pt>
                <c:pt idx="108" formatCode="General">
                  <c:v>0</c:v>
                </c:pt>
                <c:pt idx="109" formatCode="General">
                  <c:v>0</c:v>
                </c:pt>
                <c:pt idx="110" formatCode="General">
                  <c:v>0</c:v>
                </c:pt>
                <c:pt idx="111" formatCode="General">
                  <c:v>66.59</c:v>
                </c:pt>
                <c:pt idx="112" formatCode="General">
                  <c:v>0</c:v>
                </c:pt>
                <c:pt idx="113" formatCode="General">
                  <c:v>46.75</c:v>
                </c:pt>
                <c:pt idx="114" formatCode="General">
                  <c:v>27.12</c:v>
                </c:pt>
                <c:pt idx="115" formatCode="General">
                  <c:v>14.59</c:v>
                </c:pt>
                <c:pt idx="116" formatCode="General">
                  <c:v>0</c:v>
                </c:pt>
                <c:pt idx="117" formatCode="General">
                  <c:v>0</c:v>
                </c:pt>
                <c:pt idx="118" formatCode="General">
                  <c:v>0</c:v>
                </c:pt>
                <c:pt idx="119" formatCode="General">
                  <c:v>0</c:v>
                </c:pt>
                <c:pt idx="120" formatCode="General">
                  <c:v>0</c:v>
                </c:pt>
                <c:pt idx="121" formatCode="General">
                  <c:v>0</c:v>
                </c:pt>
                <c:pt idx="122" formatCode="General">
                  <c:v>0</c:v>
                </c:pt>
                <c:pt idx="123" formatCode="General">
                  <c:v>0</c:v>
                </c:pt>
                <c:pt idx="124" formatCode="General">
                  <c:v>0</c:v>
                </c:pt>
                <c:pt idx="125" formatCode="General">
                  <c:v>0</c:v>
                </c:pt>
                <c:pt idx="126" formatCode="General">
                  <c:v>0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56.02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 formatCode="General">
                  <c:v>0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43.66</c:v>
                </c:pt>
                <c:pt idx="138" formatCode="General">
                  <c:v>85.5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64.14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39.619999999999997</c:v>
                </c:pt>
                <c:pt idx="150" formatCode="General">
                  <c:v>87.1</c:v>
                </c:pt>
                <c:pt idx="151" formatCode="General">
                  <c:v>0</c:v>
                </c:pt>
                <c:pt idx="152" formatCode="General">
                  <c:v>26.28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35.26</c:v>
                </c:pt>
                <c:pt idx="156" formatCode="General">
                  <c:v>0</c:v>
                </c:pt>
                <c:pt idx="157" formatCode="General">
                  <c:v>72.78</c:v>
                </c:pt>
                <c:pt idx="158" formatCode="General">
                  <c:v>25.16</c:v>
                </c:pt>
                <c:pt idx="159" formatCode="General">
                  <c:v>15.19</c:v>
                </c:pt>
                <c:pt idx="160" formatCode="General">
                  <c:v>99.54</c:v>
                </c:pt>
                <c:pt idx="161" formatCode="General">
                  <c:v>0</c:v>
                </c:pt>
                <c:pt idx="162" formatCode="General">
                  <c:v>40.119999999999997</c:v>
                </c:pt>
                <c:pt idx="163" formatCode="General">
                  <c:v>25.61</c:v>
                </c:pt>
                <c:pt idx="164" formatCode="General">
                  <c:v>0</c:v>
                </c:pt>
                <c:pt idx="165" formatCode="General">
                  <c:v>30.82</c:v>
                </c:pt>
              </c:numCache>
            </c:numRef>
          </c:xVal>
          <c:yVal>
            <c:numRef>
              <c:f>Spring!$O$2:$O$167</c:f>
              <c:numCache>
                <c:formatCode>0.000</c:formatCode>
                <c:ptCount val="166"/>
                <c:pt idx="0">
                  <c:v>6.3695391092076497</c:v>
                </c:pt>
                <c:pt idx="1">
                  <c:v>6.3686278197342103</c:v>
                </c:pt>
                <c:pt idx="2">
                  <c:v>6.3677165302607701</c:v>
                </c:pt>
                <c:pt idx="3">
                  <c:v>6.3668052407873201</c:v>
                </c:pt>
                <c:pt idx="4">
                  <c:v>6.3640713723669897</c:v>
                </c:pt>
                <c:pt idx="5">
                  <c:v>6.3631600828935397</c:v>
                </c:pt>
                <c:pt idx="6">
                  <c:v>6.3613375039466602</c:v>
                </c:pt>
                <c:pt idx="7">
                  <c:v>6.3604262144732102</c:v>
                </c:pt>
                <c:pt idx="8">
                  <c:v>6.35951492499977</c:v>
                </c:pt>
                <c:pt idx="9">
                  <c:v>5.28249032</c:v>
                </c:pt>
                <c:pt idx="12">
                  <c:v>12.815805599999999</c:v>
                </c:pt>
                <c:pt idx="13">
                  <c:v>12.0457119999999</c:v>
                </c:pt>
                <c:pt idx="14">
                  <c:v>10.67219704</c:v>
                </c:pt>
                <c:pt idx="15">
                  <c:v>12.4510858</c:v>
                </c:pt>
                <c:pt idx="16">
                  <c:v>21.1627592</c:v>
                </c:pt>
                <c:pt idx="17">
                  <c:v>14.5804768</c:v>
                </c:pt>
                <c:pt idx="18">
                  <c:v>12.4211408</c:v>
                </c:pt>
                <c:pt idx="19">
                  <c:v>10.916756999999899</c:v>
                </c:pt>
                <c:pt idx="20">
                  <c:v>12.41495316</c:v>
                </c:pt>
                <c:pt idx="21">
                  <c:v>10.38733716</c:v>
                </c:pt>
                <c:pt idx="22">
                  <c:v>9.4103997199999991</c:v>
                </c:pt>
                <c:pt idx="23">
                  <c:v>8.6639274400000001</c:v>
                </c:pt>
                <c:pt idx="24">
                  <c:v>8.1745655151999994</c:v>
                </c:pt>
                <c:pt idx="25">
                  <c:v>8.8986113000000007</c:v>
                </c:pt>
                <c:pt idx="26">
                  <c:v>8.95110431999999</c:v>
                </c:pt>
                <c:pt idx="27">
                  <c:v>9.3171799199999992</c:v>
                </c:pt>
                <c:pt idx="28">
                  <c:v>9.2401945999999899</c:v>
                </c:pt>
                <c:pt idx="29">
                  <c:v>6.6271815599999897</c:v>
                </c:pt>
                <c:pt idx="30">
                  <c:v>6.83403183999999</c:v>
                </c:pt>
                <c:pt idx="31">
                  <c:v>8.1550506400000007</c:v>
                </c:pt>
                <c:pt idx="32">
                  <c:v>13.7088416</c:v>
                </c:pt>
                <c:pt idx="33">
                  <c:v>10.1428473999999</c:v>
                </c:pt>
                <c:pt idx="34">
                  <c:v>8.9488770800000008</c:v>
                </c:pt>
                <c:pt idx="35">
                  <c:v>8.6484638799999995</c:v>
                </c:pt>
                <c:pt idx="36">
                  <c:v>9.1187322399999999</c:v>
                </c:pt>
                <c:pt idx="37">
                  <c:v>8.1289062039999997</c:v>
                </c:pt>
                <c:pt idx="38">
                  <c:v>7.2309412399999999</c:v>
                </c:pt>
                <c:pt idx="39">
                  <c:v>6.1800801999999999</c:v>
                </c:pt>
                <c:pt idx="40">
                  <c:v>7.1972571599999897</c:v>
                </c:pt>
                <c:pt idx="41">
                  <c:v>7.6360871199999902</c:v>
                </c:pt>
                <c:pt idx="42">
                  <c:v>6.68355736</c:v>
                </c:pt>
                <c:pt idx="43">
                  <c:v>6.0356489199999999</c:v>
                </c:pt>
                <c:pt idx="44">
                  <c:v>7.2851257199999999</c:v>
                </c:pt>
                <c:pt idx="45">
                  <c:v>8.6648960400000004</c:v>
                </c:pt>
                <c:pt idx="46">
                  <c:v>10.076955359999999</c:v>
                </c:pt>
                <c:pt idx="47">
                  <c:v>7.5388328024</c:v>
                </c:pt>
                <c:pt idx="48">
                  <c:v>8.1453577599999996</c:v>
                </c:pt>
                <c:pt idx="49">
                  <c:v>7.4115104000000001</c:v>
                </c:pt>
                <c:pt idx="50">
                  <c:v>6.8345387903999999</c:v>
                </c:pt>
                <c:pt idx="51">
                  <c:v>7.9445271199999903</c:v>
                </c:pt>
                <c:pt idx="52">
                  <c:v>7.4290512799999897</c:v>
                </c:pt>
                <c:pt idx="53">
                  <c:v>5.25875556</c:v>
                </c:pt>
                <c:pt idx="54">
                  <c:v>6.4666904799999898</c:v>
                </c:pt>
                <c:pt idx="55">
                  <c:v>14.551988908</c:v>
                </c:pt>
                <c:pt idx="56">
                  <c:v>8.8853135287999994</c:v>
                </c:pt>
                <c:pt idx="57">
                  <c:v>11.209641884</c:v>
                </c:pt>
                <c:pt idx="58">
                  <c:v>10.423064119999999</c:v>
                </c:pt>
                <c:pt idx="59">
                  <c:v>8.3597602844000001</c:v>
                </c:pt>
                <c:pt idx="60">
                  <c:v>43.856735999999998</c:v>
                </c:pt>
                <c:pt idx="61">
                  <c:v>16.958527199999999</c:v>
                </c:pt>
                <c:pt idx="62">
                  <c:v>12.384886399999999</c:v>
                </c:pt>
                <c:pt idx="63">
                  <c:v>11.245605614480001</c:v>
                </c:pt>
                <c:pt idx="64">
                  <c:v>13.655055599999899</c:v>
                </c:pt>
                <c:pt idx="65">
                  <c:v>22.0529236</c:v>
                </c:pt>
                <c:pt idx="66">
                  <c:v>12.440960799999999</c:v>
                </c:pt>
                <c:pt idx="67">
                  <c:v>9.0430761999999998</c:v>
                </c:pt>
                <c:pt idx="68">
                  <c:v>11.007816999999999</c:v>
                </c:pt>
                <c:pt idx="69">
                  <c:v>9.7772273199999997</c:v>
                </c:pt>
                <c:pt idx="70">
                  <c:v>8.0378636399999994</c:v>
                </c:pt>
                <c:pt idx="71">
                  <c:v>10.11803948328</c:v>
                </c:pt>
                <c:pt idx="72">
                  <c:v>20.03069</c:v>
                </c:pt>
                <c:pt idx="73">
                  <c:v>14.313794400000001</c:v>
                </c:pt>
                <c:pt idx="74">
                  <c:v>10.664316599999999</c:v>
                </c:pt>
                <c:pt idx="75">
                  <c:v>8.5506115000000005</c:v>
                </c:pt>
                <c:pt idx="76">
                  <c:v>9.0879493359999994</c:v>
                </c:pt>
                <c:pt idx="77">
                  <c:v>8.8480133999999993</c:v>
                </c:pt>
                <c:pt idx="78">
                  <c:v>10.664316599999999</c:v>
                </c:pt>
                <c:pt idx="79">
                  <c:v>15.2589617119999</c:v>
                </c:pt>
                <c:pt idx="80">
                  <c:v>9.9651312127999994</c:v>
                </c:pt>
                <c:pt idx="81">
                  <c:v>8.4859850784000006</c:v>
                </c:pt>
                <c:pt idx="84">
                  <c:v>12.815805599999999</c:v>
                </c:pt>
                <c:pt idx="85">
                  <c:v>12.0457119999999</c:v>
                </c:pt>
                <c:pt idx="86">
                  <c:v>10.67219704</c:v>
                </c:pt>
                <c:pt idx="87">
                  <c:v>12.4510858</c:v>
                </c:pt>
                <c:pt idx="88">
                  <c:v>21.1627592</c:v>
                </c:pt>
                <c:pt idx="89">
                  <c:v>14.5804768</c:v>
                </c:pt>
                <c:pt idx="90">
                  <c:v>12.4211408</c:v>
                </c:pt>
                <c:pt idx="91">
                  <c:v>10.916756999999899</c:v>
                </c:pt>
                <c:pt idx="92">
                  <c:v>12.41495316</c:v>
                </c:pt>
                <c:pt idx="93">
                  <c:v>14.767932800000001</c:v>
                </c:pt>
                <c:pt idx="94">
                  <c:v>11.1057975</c:v>
                </c:pt>
                <c:pt idx="95">
                  <c:v>9.7756285599999995</c:v>
                </c:pt>
                <c:pt idx="96">
                  <c:v>10.018984959999999</c:v>
                </c:pt>
                <c:pt idx="97">
                  <c:v>9.4103997199999991</c:v>
                </c:pt>
                <c:pt idx="98">
                  <c:v>8.6639274400000001</c:v>
                </c:pt>
                <c:pt idx="99">
                  <c:v>8.8986113000000007</c:v>
                </c:pt>
                <c:pt idx="100">
                  <c:v>8.95110431999999</c:v>
                </c:pt>
                <c:pt idx="101">
                  <c:v>10.23910416</c:v>
                </c:pt>
                <c:pt idx="102">
                  <c:v>7.9644718799999996</c:v>
                </c:pt>
                <c:pt idx="103">
                  <c:v>7.6684761000000004</c:v>
                </c:pt>
                <c:pt idx="104">
                  <c:v>7.1552944799999896</c:v>
                </c:pt>
                <c:pt idx="105">
                  <c:v>11.663247200000001</c:v>
                </c:pt>
                <c:pt idx="106">
                  <c:v>8.1688235799999998</c:v>
                </c:pt>
                <c:pt idx="107">
                  <c:v>7.2320616399999897</c:v>
                </c:pt>
                <c:pt idx="108">
                  <c:v>7.1852926031999997</c:v>
                </c:pt>
                <c:pt idx="109">
                  <c:v>9.3171799199999992</c:v>
                </c:pt>
                <c:pt idx="110">
                  <c:v>9.2401945999999899</c:v>
                </c:pt>
                <c:pt idx="111">
                  <c:v>6.6271815599999897</c:v>
                </c:pt>
                <c:pt idx="112">
                  <c:v>6.83403183999999</c:v>
                </c:pt>
                <c:pt idx="113">
                  <c:v>8.1550506400000007</c:v>
                </c:pt>
                <c:pt idx="114">
                  <c:v>13.7088416</c:v>
                </c:pt>
                <c:pt idx="115">
                  <c:v>10.1428473999999</c:v>
                </c:pt>
                <c:pt idx="116">
                  <c:v>8.9488770800000008</c:v>
                </c:pt>
                <c:pt idx="117">
                  <c:v>9.1187322399999999</c:v>
                </c:pt>
                <c:pt idx="118">
                  <c:v>8.1289062039999997</c:v>
                </c:pt>
                <c:pt idx="119">
                  <c:v>6.5828858800000001</c:v>
                </c:pt>
                <c:pt idx="120">
                  <c:v>7.6360871199999902</c:v>
                </c:pt>
                <c:pt idx="121">
                  <c:v>6.68355736</c:v>
                </c:pt>
                <c:pt idx="122">
                  <c:v>6.0356489199999999</c:v>
                </c:pt>
                <c:pt idx="123">
                  <c:v>7.2851257199999999</c:v>
                </c:pt>
                <c:pt idx="124">
                  <c:v>8.6648960400000004</c:v>
                </c:pt>
                <c:pt idx="125">
                  <c:v>10.076955359999999</c:v>
                </c:pt>
                <c:pt idx="126">
                  <c:v>7.5388328024</c:v>
                </c:pt>
                <c:pt idx="127">
                  <c:v>8.1453577599999996</c:v>
                </c:pt>
                <c:pt idx="128">
                  <c:v>7.4115104000000001</c:v>
                </c:pt>
                <c:pt idx="129">
                  <c:v>6.8345387903999999</c:v>
                </c:pt>
                <c:pt idx="130">
                  <c:v>7.9445271199999903</c:v>
                </c:pt>
                <c:pt idx="131">
                  <c:v>7.4290512799999897</c:v>
                </c:pt>
                <c:pt idx="132">
                  <c:v>6.4666904799999898</c:v>
                </c:pt>
                <c:pt idx="133">
                  <c:v>14.551988908</c:v>
                </c:pt>
                <c:pt idx="134">
                  <c:v>8.8853135287999994</c:v>
                </c:pt>
                <c:pt idx="135">
                  <c:v>11.209641884</c:v>
                </c:pt>
                <c:pt idx="136">
                  <c:v>10.423064119999999</c:v>
                </c:pt>
                <c:pt idx="137">
                  <c:v>8.3597602844000001</c:v>
                </c:pt>
                <c:pt idx="138">
                  <c:v>43.856735999999998</c:v>
                </c:pt>
                <c:pt idx="139">
                  <c:v>16.958527199999999</c:v>
                </c:pt>
                <c:pt idx="140">
                  <c:v>12.384886399999999</c:v>
                </c:pt>
                <c:pt idx="141">
                  <c:v>11.245605614480001</c:v>
                </c:pt>
                <c:pt idx="142">
                  <c:v>13.655055599999899</c:v>
                </c:pt>
                <c:pt idx="143">
                  <c:v>22.0529236</c:v>
                </c:pt>
                <c:pt idx="144">
                  <c:v>12.440960799999999</c:v>
                </c:pt>
                <c:pt idx="145">
                  <c:v>9.0430761999999998</c:v>
                </c:pt>
                <c:pt idx="146">
                  <c:v>11.007816999999999</c:v>
                </c:pt>
                <c:pt idx="147">
                  <c:v>9.7772273199999997</c:v>
                </c:pt>
                <c:pt idx="148">
                  <c:v>8.0378636399999994</c:v>
                </c:pt>
                <c:pt idx="149">
                  <c:v>10.11803948328</c:v>
                </c:pt>
                <c:pt idx="150">
                  <c:v>20.03069</c:v>
                </c:pt>
                <c:pt idx="151">
                  <c:v>14.313794400000001</c:v>
                </c:pt>
                <c:pt idx="152">
                  <c:v>10.664316599999999</c:v>
                </c:pt>
                <c:pt idx="153">
                  <c:v>8.5506115000000005</c:v>
                </c:pt>
                <c:pt idx="154">
                  <c:v>9.0879493359999994</c:v>
                </c:pt>
                <c:pt idx="155">
                  <c:v>8.8480133999999993</c:v>
                </c:pt>
                <c:pt idx="156">
                  <c:v>9.2369909200000002</c:v>
                </c:pt>
                <c:pt idx="157">
                  <c:v>15.2589617119999</c:v>
                </c:pt>
                <c:pt idx="158">
                  <c:v>11.863201948</c:v>
                </c:pt>
                <c:pt idx="159">
                  <c:v>9.9651312127999994</c:v>
                </c:pt>
                <c:pt idx="160">
                  <c:v>8.4859850784000006</c:v>
                </c:pt>
                <c:pt idx="161">
                  <c:v>8.9133909280000001</c:v>
                </c:pt>
                <c:pt idx="162">
                  <c:v>7.5681198240000001</c:v>
                </c:pt>
                <c:pt idx="163">
                  <c:v>7.6637165200000004</c:v>
                </c:pt>
                <c:pt idx="164">
                  <c:v>10.3719666</c:v>
                </c:pt>
                <c:pt idx="165">
                  <c:v>10.963208972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A4-402D-A77B-881C05821AB8}"/>
            </c:ext>
          </c:extLst>
        </c:ser>
        <c:ser>
          <c:idx val="1"/>
          <c:order val="1"/>
          <c:tx>
            <c:strRef>
              <c:f>Spring!$Q$1</c:f>
              <c:strCache>
                <c:ptCount val="1"/>
                <c:pt idx="0">
                  <c:v>Upstream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5755609726745618E-2"/>
                  <c:y val="-0.2088412166458323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Spring!$G$2:$G$167</c:f>
              <c:numCache>
                <c:formatCode>0.00</c:formatCode>
                <c:ptCount val="166"/>
                <c:pt idx="10" formatCode="General">
                  <c:v>106.21</c:v>
                </c:pt>
                <c:pt idx="11" formatCode="General">
                  <c:v>51.232999999999997</c:v>
                </c:pt>
                <c:pt idx="12" formatCode="General">
                  <c:v>59.16</c:v>
                </c:pt>
                <c:pt idx="13" formatCode="General">
                  <c:v>48.47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78.709999999999994</c:v>
                </c:pt>
                <c:pt idx="17" formatCode="General">
                  <c:v>45.42</c:v>
                </c:pt>
                <c:pt idx="18" formatCode="General">
                  <c:v>74.75</c:v>
                </c:pt>
                <c:pt idx="19" formatCode="General">
                  <c:v>0</c:v>
                </c:pt>
                <c:pt idx="20" formatCode="General">
                  <c:v>56.59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27.23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  <c:pt idx="52" formatCode="General">
                  <c:v>0</c:v>
                </c:pt>
                <c:pt idx="53" formatCode="General">
                  <c:v>0</c:v>
                </c:pt>
                <c:pt idx="54" formatCode="General">
                  <c:v>0</c:v>
                </c:pt>
                <c:pt idx="55" formatCode="General">
                  <c:v>0</c:v>
                </c:pt>
                <c:pt idx="56" formatCode="General">
                  <c:v>0</c:v>
                </c:pt>
                <c:pt idx="57" formatCode="General">
                  <c:v>0</c:v>
                </c:pt>
                <c:pt idx="58" formatCode="General">
                  <c:v>0</c:v>
                </c:pt>
                <c:pt idx="59" formatCode="General">
                  <c:v>0</c:v>
                </c:pt>
                <c:pt idx="60" formatCode="General">
                  <c:v>63.56</c:v>
                </c:pt>
                <c:pt idx="61" formatCode="General">
                  <c:v>85.89</c:v>
                </c:pt>
                <c:pt idx="62" formatCode="General">
                  <c:v>0</c:v>
                </c:pt>
                <c:pt idx="63" formatCode="General">
                  <c:v>0</c:v>
                </c:pt>
                <c:pt idx="64" formatCode="General">
                  <c:v>50.13</c:v>
                </c:pt>
                <c:pt idx="65" formatCode="0.0000">
                  <c:v>44.99</c:v>
                </c:pt>
                <c:pt idx="66" formatCode="General">
                  <c:v>35.729999999999997</c:v>
                </c:pt>
                <c:pt idx="67" formatCode="General">
                  <c:v>31.62</c:v>
                </c:pt>
                <c:pt idx="68" formatCode="General">
                  <c:v>25.42</c:v>
                </c:pt>
                <c:pt idx="69" formatCode="General">
                  <c:v>0</c:v>
                </c:pt>
                <c:pt idx="70" formatCode="General">
                  <c:v>0</c:v>
                </c:pt>
                <c:pt idx="71" formatCode="General">
                  <c:v>0</c:v>
                </c:pt>
                <c:pt idx="72" formatCode="General">
                  <c:v>68.760000000000005</c:v>
                </c:pt>
                <c:pt idx="73" formatCode="General">
                  <c:v>0</c:v>
                </c:pt>
                <c:pt idx="74" formatCode="General">
                  <c:v>50.92</c:v>
                </c:pt>
                <c:pt idx="75" formatCode="General">
                  <c:v>0</c:v>
                </c:pt>
                <c:pt idx="76" formatCode="General">
                  <c:v>0</c:v>
                </c:pt>
                <c:pt idx="77" formatCode="General">
                  <c:v>0</c:v>
                </c:pt>
                <c:pt idx="78" formatCode="General">
                  <c:v>0</c:v>
                </c:pt>
                <c:pt idx="79" formatCode="0.0000">
                  <c:v>0</c:v>
                </c:pt>
                <c:pt idx="80" formatCode="General">
                  <c:v>33.08</c:v>
                </c:pt>
                <c:pt idx="81" formatCode="General">
                  <c:v>77.489999999999995</c:v>
                </c:pt>
                <c:pt idx="82" formatCode="General">
                  <c:v>103.31</c:v>
                </c:pt>
                <c:pt idx="83" formatCode="General">
                  <c:v>65.48</c:v>
                </c:pt>
                <c:pt idx="84" formatCode="General">
                  <c:v>73.680000000000007</c:v>
                </c:pt>
                <c:pt idx="85" formatCode="General">
                  <c:v>48.9</c:v>
                </c:pt>
                <c:pt idx="86" formatCode="General">
                  <c:v>0</c:v>
                </c:pt>
                <c:pt idx="87" formatCode="General">
                  <c:v>0</c:v>
                </c:pt>
                <c:pt idx="88" formatCode="General">
                  <c:v>93.48</c:v>
                </c:pt>
                <c:pt idx="89" formatCode="General">
                  <c:v>53.79</c:v>
                </c:pt>
                <c:pt idx="90" formatCode="General">
                  <c:v>47.58</c:v>
                </c:pt>
                <c:pt idx="91" formatCode="General">
                  <c:v>30.72</c:v>
                </c:pt>
                <c:pt idx="92" formatCode="General">
                  <c:v>0</c:v>
                </c:pt>
                <c:pt idx="93" formatCode="General">
                  <c:v>0</c:v>
                </c:pt>
                <c:pt idx="94" formatCode="General">
                  <c:v>22.36</c:v>
                </c:pt>
                <c:pt idx="95" formatCode="General">
                  <c:v>30.83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24.91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67.13</c:v>
                </c:pt>
                <c:pt idx="102" formatCode="General">
                  <c:v>0</c:v>
                </c:pt>
                <c:pt idx="103" formatCode="General">
                  <c:v>51.68</c:v>
                </c:pt>
                <c:pt idx="104" formatCode="General">
                  <c:v>0</c:v>
                </c:pt>
                <c:pt idx="105" formatCode="General">
                  <c:v>57.56</c:v>
                </c:pt>
                <c:pt idx="106" formatCode="General">
                  <c:v>63.54</c:v>
                </c:pt>
                <c:pt idx="107" formatCode="General">
                  <c:v>0</c:v>
                </c:pt>
                <c:pt idx="108" formatCode="General">
                  <c:v>0</c:v>
                </c:pt>
                <c:pt idx="109" formatCode="General">
                  <c:v>0</c:v>
                </c:pt>
                <c:pt idx="110" formatCode="General">
                  <c:v>0</c:v>
                </c:pt>
                <c:pt idx="111" formatCode="General">
                  <c:v>66.59</c:v>
                </c:pt>
                <c:pt idx="112" formatCode="General">
                  <c:v>0</c:v>
                </c:pt>
                <c:pt idx="113" formatCode="General">
                  <c:v>46.75</c:v>
                </c:pt>
                <c:pt idx="114" formatCode="General">
                  <c:v>27.12</c:v>
                </c:pt>
                <c:pt idx="115" formatCode="General">
                  <c:v>14.59</c:v>
                </c:pt>
                <c:pt idx="116" formatCode="General">
                  <c:v>0</c:v>
                </c:pt>
                <c:pt idx="117" formatCode="General">
                  <c:v>0</c:v>
                </c:pt>
                <c:pt idx="118" formatCode="General">
                  <c:v>0</c:v>
                </c:pt>
                <c:pt idx="119" formatCode="General">
                  <c:v>0</c:v>
                </c:pt>
                <c:pt idx="120" formatCode="General">
                  <c:v>0</c:v>
                </c:pt>
                <c:pt idx="121" formatCode="General">
                  <c:v>0</c:v>
                </c:pt>
                <c:pt idx="122" formatCode="General">
                  <c:v>0</c:v>
                </c:pt>
                <c:pt idx="123" formatCode="General">
                  <c:v>0</c:v>
                </c:pt>
                <c:pt idx="124" formatCode="General">
                  <c:v>0</c:v>
                </c:pt>
                <c:pt idx="125" formatCode="General">
                  <c:v>0</c:v>
                </c:pt>
                <c:pt idx="126" formatCode="General">
                  <c:v>0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56.02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 formatCode="General">
                  <c:v>0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43.66</c:v>
                </c:pt>
                <c:pt idx="138" formatCode="General">
                  <c:v>85.5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64.14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39.619999999999997</c:v>
                </c:pt>
                <c:pt idx="150" formatCode="General">
                  <c:v>87.1</c:v>
                </c:pt>
                <c:pt idx="151" formatCode="General">
                  <c:v>0</c:v>
                </c:pt>
                <c:pt idx="152" formatCode="General">
                  <c:v>26.28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35.26</c:v>
                </c:pt>
                <c:pt idx="156" formatCode="General">
                  <c:v>0</c:v>
                </c:pt>
                <c:pt idx="157" formatCode="General">
                  <c:v>72.78</c:v>
                </c:pt>
                <c:pt idx="158" formatCode="General">
                  <c:v>25.16</c:v>
                </c:pt>
                <c:pt idx="159" formatCode="General">
                  <c:v>15.19</c:v>
                </c:pt>
                <c:pt idx="160" formatCode="General">
                  <c:v>99.54</c:v>
                </c:pt>
                <c:pt idx="161" formatCode="General">
                  <c:v>0</c:v>
                </c:pt>
                <c:pt idx="162" formatCode="General">
                  <c:v>40.119999999999997</c:v>
                </c:pt>
                <c:pt idx="163" formatCode="General">
                  <c:v>25.61</c:v>
                </c:pt>
                <c:pt idx="164" formatCode="General">
                  <c:v>0</c:v>
                </c:pt>
                <c:pt idx="165" formatCode="General">
                  <c:v>30.82</c:v>
                </c:pt>
              </c:numCache>
            </c:numRef>
          </c:xVal>
          <c:yVal>
            <c:numRef>
              <c:f>Spring!$Q$2:$Q$167</c:f>
              <c:numCache>
                <c:formatCode>0.000</c:formatCode>
                <c:ptCount val="166"/>
                <c:pt idx="0">
                  <c:v>3.9399494811242901</c:v>
                </c:pt>
                <c:pt idx="1">
                  <c:v>3.9404717424825901</c:v>
                </c:pt>
                <c:pt idx="2">
                  <c:v>3.9409940038408902</c:v>
                </c:pt>
                <c:pt idx="3">
                  <c:v>3.9415162651991902</c:v>
                </c:pt>
                <c:pt idx="4">
                  <c:v>3.9430830492740898</c:v>
                </c:pt>
                <c:pt idx="5">
                  <c:v>3.9436053106323898</c:v>
                </c:pt>
                <c:pt idx="6">
                  <c:v>3.9446498333489801</c:v>
                </c:pt>
                <c:pt idx="7">
                  <c:v>3.9451720947072801</c:v>
                </c:pt>
                <c:pt idx="8">
                  <c:v>3.9456943560655802</c:v>
                </c:pt>
                <c:pt idx="9">
                  <c:v>4.8290856666666597</c:v>
                </c:pt>
                <c:pt idx="11">
                  <c:v>17.909116588666599</c:v>
                </c:pt>
                <c:pt idx="12">
                  <c:v>12.5026276</c:v>
                </c:pt>
                <c:pt idx="13">
                  <c:v>12.258317999999999</c:v>
                </c:pt>
                <c:pt idx="14">
                  <c:v>12.736497399999999</c:v>
                </c:pt>
                <c:pt idx="15">
                  <c:v>11.8006866866666</c:v>
                </c:pt>
                <c:pt idx="16">
                  <c:v>25.906272033333298</c:v>
                </c:pt>
                <c:pt idx="17">
                  <c:v>15.555403466666601</c:v>
                </c:pt>
                <c:pt idx="18">
                  <c:v>12.1499004</c:v>
                </c:pt>
                <c:pt idx="19">
                  <c:v>11.5306084666666</c:v>
                </c:pt>
                <c:pt idx="20">
                  <c:v>10.979372994666599</c:v>
                </c:pt>
                <c:pt idx="21">
                  <c:v>10.915366333333299</c:v>
                </c:pt>
                <c:pt idx="22">
                  <c:v>11.4034091866666</c:v>
                </c:pt>
                <c:pt idx="23">
                  <c:v>10.587694328</c:v>
                </c:pt>
                <c:pt idx="24">
                  <c:v>8.1144903866666596</c:v>
                </c:pt>
                <c:pt idx="25">
                  <c:v>8.4315058493333304</c:v>
                </c:pt>
                <c:pt idx="26">
                  <c:v>10.6954302066666</c:v>
                </c:pt>
                <c:pt idx="27">
                  <c:v>11.7693315333333</c:v>
                </c:pt>
                <c:pt idx="28">
                  <c:v>7.3864227533333304</c:v>
                </c:pt>
                <c:pt idx="29">
                  <c:v>8.16305281333333</c:v>
                </c:pt>
                <c:pt idx="31">
                  <c:v>7.72098306</c:v>
                </c:pt>
                <c:pt idx="32">
                  <c:v>12.273739984000001</c:v>
                </c:pt>
                <c:pt idx="33">
                  <c:v>9.9380790066666602</c:v>
                </c:pt>
                <c:pt idx="34">
                  <c:v>8.2618505333333303</c:v>
                </c:pt>
                <c:pt idx="35">
                  <c:v>9.0178020266666596</c:v>
                </c:pt>
                <c:pt idx="36">
                  <c:v>9.0383009999999899</c:v>
                </c:pt>
                <c:pt idx="37">
                  <c:v>9.2480751333333302</c:v>
                </c:pt>
                <c:pt idx="38">
                  <c:v>7.38463257333333</c:v>
                </c:pt>
                <c:pt idx="39">
                  <c:v>5.6839421333333302</c:v>
                </c:pt>
                <c:pt idx="41">
                  <c:v>7.6434516266666597</c:v>
                </c:pt>
                <c:pt idx="42">
                  <c:v>6.1651286666666598</c:v>
                </c:pt>
                <c:pt idx="43">
                  <c:v>5.42235642666666</c:v>
                </c:pt>
                <c:pt idx="44">
                  <c:v>6.7731638133333298</c:v>
                </c:pt>
                <c:pt idx="45">
                  <c:v>9.6546325599999996</c:v>
                </c:pt>
                <c:pt idx="46">
                  <c:v>8.6037493866666601</c:v>
                </c:pt>
                <c:pt idx="47">
                  <c:v>7.5119917466666601</c:v>
                </c:pt>
                <c:pt idx="48">
                  <c:v>9.6479184666666598</c:v>
                </c:pt>
                <c:pt idx="49">
                  <c:v>5.7798811900000002</c:v>
                </c:pt>
                <c:pt idx="50">
                  <c:v>8.0249351333333294</c:v>
                </c:pt>
                <c:pt idx="51">
                  <c:v>6.3661506000000001</c:v>
                </c:pt>
                <c:pt idx="52">
                  <c:v>5.5522387866666598</c:v>
                </c:pt>
                <c:pt idx="53">
                  <c:v>5.6392486266666602</c:v>
                </c:pt>
                <c:pt idx="54">
                  <c:v>5.2737517986666598</c:v>
                </c:pt>
                <c:pt idx="55">
                  <c:v>12.890712933333299</c:v>
                </c:pt>
                <c:pt idx="56">
                  <c:v>9.0212937866666607</c:v>
                </c:pt>
                <c:pt idx="57">
                  <c:v>9.7976981146666606</c:v>
                </c:pt>
                <c:pt idx="58">
                  <c:v>7.9770290266666599</c:v>
                </c:pt>
                <c:pt idx="59">
                  <c:v>8.7500032893333302</c:v>
                </c:pt>
                <c:pt idx="60">
                  <c:v>38.639293733333297</c:v>
                </c:pt>
                <c:pt idx="61">
                  <c:v>21.475960133333299</c:v>
                </c:pt>
                <c:pt idx="62">
                  <c:v>12.734633816800001</c:v>
                </c:pt>
                <c:pt idx="63">
                  <c:v>8.6821808133333302</c:v>
                </c:pt>
                <c:pt idx="64">
                  <c:v>16.170986133333301</c:v>
                </c:pt>
                <c:pt idx="66">
                  <c:v>12.641193039999999</c:v>
                </c:pt>
                <c:pt idx="67">
                  <c:v>10.0303982666666</c:v>
                </c:pt>
                <c:pt idx="69">
                  <c:v>9.1829196</c:v>
                </c:pt>
                <c:pt idx="70">
                  <c:v>10.3782316933333</c:v>
                </c:pt>
                <c:pt idx="71">
                  <c:v>9.8354738279999996</c:v>
                </c:pt>
                <c:pt idx="72">
                  <c:v>22.228124099999999</c:v>
                </c:pt>
                <c:pt idx="73">
                  <c:v>14.96945008</c:v>
                </c:pt>
                <c:pt idx="74">
                  <c:v>12.378681706666599</c:v>
                </c:pt>
                <c:pt idx="75">
                  <c:v>10.541740973333299</c:v>
                </c:pt>
                <c:pt idx="76">
                  <c:v>8.0138589866666603</c:v>
                </c:pt>
                <c:pt idx="77">
                  <c:v>8.3940114666666599</c:v>
                </c:pt>
                <c:pt idx="78">
                  <c:v>12.378681706666599</c:v>
                </c:pt>
                <c:pt idx="79">
                  <c:v>16.9080908</c:v>
                </c:pt>
                <c:pt idx="80">
                  <c:v>9.3933083066666594</c:v>
                </c:pt>
                <c:pt idx="81">
                  <c:v>7.5067932800000001</c:v>
                </c:pt>
                <c:pt idx="83">
                  <c:v>17.909116588666599</c:v>
                </c:pt>
                <c:pt idx="84">
                  <c:v>12.5026276</c:v>
                </c:pt>
                <c:pt idx="85">
                  <c:v>12.258317999999999</c:v>
                </c:pt>
                <c:pt idx="86">
                  <c:v>12.736497399999999</c:v>
                </c:pt>
                <c:pt idx="87">
                  <c:v>11.8006866866666</c:v>
                </c:pt>
                <c:pt idx="88">
                  <c:v>25.906272033333298</c:v>
                </c:pt>
                <c:pt idx="89">
                  <c:v>15.555403466666601</c:v>
                </c:pt>
                <c:pt idx="90">
                  <c:v>12.1499004</c:v>
                </c:pt>
                <c:pt idx="91">
                  <c:v>11.5306084666666</c:v>
                </c:pt>
                <c:pt idx="92">
                  <c:v>10.979372994666599</c:v>
                </c:pt>
                <c:pt idx="93">
                  <c:v>15.365095666666599</c:v>
                </c:pt>
                <c:pt idx="94">
                  <c:v>11.7061532666666</c:v>
                </c:pt>
                <c:pt idx="95">
                  <c:v>10.3695922</c:v>
                </c:pt>
                <c:pt idx="96">
                  <c:v>10.998456733333301</c:v>
                </c:pt>
                <c:pt idx="97">
                  <c:v>11.4034091866666</c:v>
                </c:pt>
                <c:pt idx="98">
                  <c:v>10.587694328</c:v>
                </c:pt>
                <c:pt idx="99">
                  <c:v>8.4315058493333304</c:v>
                </c:pt>
                <c:pt idx="100">
                  <c:v>10.6954302066666</c:v>
                </c:pt>
                <c:pt idx="101">
                  <c:v>11.028182213333301</c:v>
                </c:pt>
                <c:pt idx="102">
                  <c:v>8.2315103599999997</c:v>
                </c:pt>
                <c:pt idx="103">
                  <c:v>7.7667874933333296</c:v>
                </c:pt>
                <c:pt idx="104">
                  <c:v>7.4946411733333296</c:v>
                </c:pt>
                <c:pt idx="105">
                  <c:v>9.6661808800000006</c:v>
                </c:pt>
                <c:pt idx="106">
                  <c:v>9.1230036933333292</c:v>
                </c:pt>
                <c:pt idx="107">
                  <c:v>7.9987784666666597</c:v>
                </c:pt>
                <c:pt idx="108">
                  <c:v>7.7637820933333304</c:v>
                </c:pt>
                <c:pt idx="109">
                  <c:v>11.7693315333333</c:v>
                </c:pt>
                <c:pt idx="110">
                  <c:v>7.3864227533333304</c:v>
                </c:pt>
                <c:pt idx="111">
                  <c:v>8.16305281333333</c:v>
                </c:pt>
                <c:pt idx="113">
                  <c:v>7.72098306</c:v>
                </c:pt>
                <c:pt idx="114">
                  <c:v>12.273739984000001</c:v>
                </c:pt>
                <c:pt idx="115">
                  <c:v>9.9380790066666602</c:v>
                </c:pt>
                <c:pt idx="116">
                  <c:v>8.2618505333333303</c:v>
                </c:pt>
                <c:pt idx="117">
                  <c:v>9.0383009999999899</c:v>
                </c:pt>
                <c:pt idx="118">
                  <c:v>9.2480751333333302</c:v>
                </c:pt>
                <c:pt idx="120">
                  <c:v>7.6434516266666597</c:v>
                </c:pt>
                <c:pt idx="121">
                  <c:v>6.1651286666666598</c:v>
                </c:pt>
                <c:pt idx="122">
                  <c:v>5.42235642666666</c:v>
                </c:pt>
                <c:pt idx="123">
                  <c:v>6.7731638133333298</c:v>
                </c:pt>
                <c:pt idx="124">
                  <c:v>9.6546325599999996</c:v>
                </c:pt>
                <c:pt idx="125">
                  <c:v>8.6037493866666601</c:v>
                </c:pt>
                <c:pt idx="126">
                  <c:v>7.5119917466666601</c:v>
                </c:pt>
                <c:pt idx="127">
                  <c:v>9.6479184666666598</c:v>
                </c:pt>
                <c:pt idx="128">
                  <c:v>5.7798811900000002</c:v>
                </c:pt>
                <c:pt idx="129">
                  <c:v>8.0249351333333294</c:v>
                </c:pt>
                <c:pt idx="130">
                  <c:v>6.3661506000000001</c:v>
                </c:pt>
                <c:pt idx="131">
                  <c:v>5.5522387866666598</c:v>
                </c:pt>
                <c:pt idx="132">
                  <c:v>5.2737517986666598</c:v>
                </c:pt>
                <c:pt idx="133">
                  <c:v>12.890712933333299</c:v>
                </c:pt>
                <c:pt idx="134">
                  <c:v>9.0212937866666607</c:v>
                </c:pt>
                <c:pt idx="135">
                  <c:v>9.7976981146666606</c:v>
                </c:pt>
                <c:pt idx="136">
                  <c:v>7.9770290266666599</c:v>
                </c:pt>
                <c:pt idx="137">
                  <c:v>8.7500032893333302</c:v>
                </c:pt>
                <c:pt idx="138">
                  <c:v>38.639293733333297</c:v>
                </c:pt>
                <c:pt idx="139">
                  <c:v>21.475960133333299</c:v>
                </c:pt>
                <c:pt idx="140">
                  <c:v>12.734633816800001</c:v>
                </c:pt>
                <c:pt idx="141">
                  <c:v>8.6821808133333302</c:v>
                </c:pt>
                <c:pt idx="142">
                  <c:v>16.170986133333301</c:v>
                </c:pt>
                <c:pt idx="144">
                  <c:v>12.641193039999999</c:v>
                </c:pt>
                <c:pt idx="145">
                  <c:v>10.0303982666666</c:v>
                </c:pt>
                <c:pt idx="147">
                  <c:v>9.1829196</c:v>
                </c:pt>
                <c:pt idx="148">
                  <c:v>10.3782316933333</c:v>
                </c:pt>
                <c:pt idx="149">
                  <c:v>9.8354738279999996</c:v>
                </c:pt>
                <c:pt idx="150">
                  <c:v>22.228124099999999</c:v>
                </c:pt>
                <c:pt idx="151">
                  <c:v>14.96945008</c:v>
                </c:pt>
                <c:pt idx="152">
                  <c:v>12.378681706666599</c:v>
                </c:pt>
                <c:pt idx="153">
                  <c:v>10.541740973333299</c:v>
                </c:pt>
                <c:pt idx="154">
                  <c:v>8.0138589866666603</c:v>
                </c:pt>
                <c:pt idx="155">
                  <c:v>8.3940114666666599</c:v>
                </c:pt>
                <c:pt idx="156">
                  <c:v>9.5848903199999906</c:v>
                </c:pt>
                <c:pt idx="157">
                  <c:v>16.9080908</c:v>
                </c:pt>
                <c:pt idx="158">
                  <c:v>13.3637106666666</c:v>
                </c:pt>
                <c:pt idx="159">
                  <c:v>9.3933083066666594</c:v>
                </c:pt>
                <c:pt idx="160">
                  <c:v>7.5067932800000001</c:v>
                </c:pt>
                <c:pt idx="161">
                  <c:v>5.4897123906666598</c:v>
                </c:pt>
                <c:pt idx="162">
                  <c:v>8.2732197266666603</c:v>
                </c:pt>
                <c:pt idx="163">
                  <c:v>6.5764189999999996</c:v>
                </c:pt>
                <c:pt idx="164">
                  <c:v>7.3791796666666603</c:v>
                </c:pt>
                <c:pt idx="165">
                  <c:v>9.8172653466666606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A4-402D-A77B-881C05821AB8}"/>
            </c:ext>
          </c:extLst>
        </c:ser>
        <c:ser>
          <c:idx val="2"/>
          <c:order val="2"/>
          <c:tx>
            <c:strRef>
              <c:f>Spring!$M$1</c:f>
              <c:strCache>
                <c:ptCount val="1"/>
                <c:pt idx="0">
                  <c:v>Respective Reach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0601569885807334E-2"/>
                  <c:y val="-0.2932297535345349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Spring!$G$2:$G$167</c:f>
              <c:numCache>
                <c:formatCode>0.00</c:formatCode>
                <c:ptCount val="166"/>
                <c:pt idx="10" formatCode="General">
                  <c:v>106.21</c:v>
                </c:pt>
                <c:pt idx="11" formatCode="General">
                  <c:v>51.232999999999997</c:v>
                </c:pt>
                <c:pt idx="12" formatCode="General">
                  <c:v>59.16</c:v>
                </c:pt>
                <c:pt idx="13" formatCode="General">
                  <c:v>48.47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78.709999999999994</c:v>
                </c:pt>
                <c:pt idx="17" formatCode="General">
                  <c:v>45.42</c:v>
                </c:pt>
                <c:pt idx="18" formatCode="General">
                  <c:v>74.75</c:v>
                </c:pt>
                <c:pt idx="19" formatCode="General">
                  <c:v>0</c:v>
                </c:pt>
                <c:pt idx="20" formatCode="General">
                  <c:v>56.59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27.23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  <c:pt idx="52" formatCode="General">
                  <c:v>0</c:v>
                </c:pt>
                <c:pt idx="53" formatCode="General">
                  <c:v>0</c:v>
                </c:pt>
                <c:pt idx="54" formatCode="General">
                  <c:v>0</c:v>
                </c:pt>
                <c:pt idx="55" formatCode="General">
                  <c:v>0</c:v>
                </c:pt>
                <c:pt idx="56" formatCode="General">
                  <c:v>0</c:v>
                </c:pt>
                <c:pt idx="57" formatCode="General">
                  <c:v>0</c:v>
                </c:pt>
                <c:pt idx="58" formatCode="General">
                  <c:v>0</c:v>
                </c:pt>
                <c:pt idx="59" formatCode="General">
                  <c:v>0</c:v>
                </c:pt>
                <c:pt idx="60" formatCode="General">
                  <c:v>63.56</c:v>
                </c:pt>
                <c:pt idx="61" formatCode="General">
                  <c:v>85.89</c:v>
                </c:pt>
                <c:pt idx="62" formatCode="General">
                  <c:v>0</c:v>
                </c:pt>
                <c:pt idx="63" formatCode="General">
                  <c:v>0</c:v>
                </c:pt>
                <c:pt idx="64" formatCode="General">
                  <c:v>50.13</c:v>
                </c:pt>
                <c:pt idx="65" formatCode="0.0000">
                  <c:v>44.99</c:v>
                </c:pt>
                <c:pt idx="66" formatCode="General">
                  <c:v>35.729999999999997</c:v>
                </c:pt>
                <c:pt idx="67" formatCode="General">
                  <c:v>31.62</c:v>
                </c:pt>
                <c:pt idx="68" formatCode="General">
                  <c:v>25.42</c:v>
                </c:pt>
                <c:pt idx="69" formatCode="General">
                  <c:v>0</c:v>
                </c:pt>
                <c:pt idx="70" formatCode="General">
                  <c:v>0</c:v>
                </c:pt>
                <c:pt idx="71" formatCode="General">
                  <c:v>0</c:v>
                </c:pt>
                <c:pt idx="72" formatCode="General">
                  <c:v>68.760000000000005</c:v>
                </c:pt>
                <c:pt idx="73" formatCode="General">
                  <c:v>0</c:v>
                </c:pt>
                <c:pt idx="74" formatCode="General">
                  <c:v>50.92</c:v>
                </c:pt>
                <c:pt idx="75" formatCode="General">
                  <c:v>0</c:v>
                </c:pt>
                <c:pt idx="76" formatCode="General">
                  <c:v>0</c:v>
                </c:pt>
                <c:pt idx="77" formatCode="General">
                  <c:v>0</c:v>
                </c:pt>
                <c:pt idx="78" formatCode="General">
                  <c:v>0</c:v>
                </c:pt>
                <c:pt idx="79" formatCode="0.0000">
                  <c:v>0</c:v>
                </c:pt>
                <c:pt idx="80" formatCode="General">
                  <c:v>33.08</c:v>
                </c:pt>
                <c:pt idx="81" formatCode="General">
                  <c:v>77.489999999999995</c:v>
                </c:pt>
                <c:pt idx="82" formatCode="General">
                  <c:v>103.31</c:v>
                </c:pt>
                <c:pt idx="83" formatCode="General">
                  <c:v>65.48</c:v>
                </c:pt>
                <c:pt idx="84" formatCode="General">
                  <c:v>73.680000000000007</c:v>
                </c:pt>
                <c:pt idx="85" formatCode="General">
                  <c:v>48.9</c:v>
                </c:pt>
                <c:pt idx="86" formatCode="General">
                  <c:v>0</c:v>
                </c:pt>
                <c:pt idx="87" formatCode="General">
                  <c:v>0</c:v>
                </c:pt>
                <c:pt idx="88" formatCode="General">
                  <c:v>93.48</c:v>
                </c:pt>
                <c:pt idx="89" formatCode="General">
                  <c:v>53.79</c:v>
                </c:pt>
                <c:pt idx="90" formatCode="General">
                  <c:v>47.58</c:v>
                </c:pt>
                <c:pt idx="91" formatCode="General">
                  <c:v>30.72</c:v>
                </c:pt>
                <c:pt idx="92" formatCode="General">
                  <c:v>0</c:v>
                </c:pt>
                <c:pt idx="93" formatCode="General">
                  <c:v>0</c:v>
                </c:pt>
                <c:pt idx="94" formatCode="General">
                  <c:v>22.36</c:v>
                </c:pt>
                <c:pt idx="95" formatCode="General">
                  <c:v>30.83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24.91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67.13</c:v>
                </c:pt>
                <c:pt idx="102" formatCode="General">
                  <c:v>0</c:v>
                </c:pt>
                <c:pt idx="103" formatCode="General">
                  <c:v>51.68</c:v>
                </c:pt>
                <c:pt idx="104" formatCode="General">
                  <c:v>0</c:v>
                </c:pt>
                <c:pt idx="105" formatCode="General">
                  <c:v>57.56</c:v>
                </c:pt>
                <c:pt idx="106" formatCode="General">
                  <c:v>63.54</c:v>
                </c:pt>
                <c:pt idx="107" formatCode="General">
                  <c:v>0</c:v>
                </c:pt>
                <c:pt idx="108" formatCode="General">
                  <c:v>0</c:v>
                </c:pt>
                <c:pt idx="109" formatCode="General">
                  <c:v>0</c:v>
                </c:pt>
                <c:pt idx="110" formatCode="General">
                  <c:v>0</c:v>
                </c:pt>
                <c:pt idx="111" formatCode="General">
                  <c:v>66.59</c:v>
                </c:pt>
                <c:pt idx="112" formatCode="General">
                  <c:v>0</c:v>
                </c:pt>
                <c:pt idx="113" formatCode="General">
                  <c:v>46.75</c:v>
                </c:pt>
                <c:pt idx="114" formatCode="General">
                  <c:v>27.12</c:v>
                </c:pt>
                <c:pt idx="115" formatCode="General">
                  <c:v>14.59</c:v>
                </c:pt>
                <c:pt idx="116" formatCode="General">
                  <c:v>0</c:v>
                </c:pt>
                <c:pt idx="117" formatCode="General">
                  <c:v>0</c:v>
                </c:pt>
                <c:pt idx="118" formatCode="General">
                  <c:v>0</c:v>
                </c:pt>
                <c:pt idx="119" formatCode="General">
                  <c:v>0</c:v>
                </c:pt>
                <c:pt idx="120" formatCode="General">
                  <c:v>0</c:v>
                </c:pt>
                <c:pt idx="121" formatCode="General">
                  <c:v>0</c:v>
                </c:pt>
                <c:pt idx="122" formatCode="General">
                  <c:v>0</c:v>
                </c:pt>
                <c:pt idx="123" formatCode="General">
                  <c:v>0</c:v>
                </c:pt>
                <c:pt idx="124" formatCode="General">
                  <c:v>0</c:v>
                </c:pt>
                <c:pt idx="125" formatCode="General">
                  <c:v>0</c:v>
                </c:pt>
                <c:pt idx="126" formatCode="General">
                  <c:v>0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56.02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 formatCode="General">
                  <c:v>0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43.66</c:v>
                </c:pt>
                <c:pt idx="138" formatCode="General">
                  <c:v>85.5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64.14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39.619999999999997</c:v>
                </c:pt>
                <c:pt idx="150" formatCode="General">
                  <c:v>87.1</c:v>
                </c:pt>
                <c:pt idx="151" formatCode="General">
                  <c:v>0</c:v>
                </c:pt>
                <c:pt idx="152" formatCode="General">
                  <c:v>26.28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35.26</c:v>
                </c:pt>
                <c:pt idx="156" formatCode="General">
                  <c:v>0</c:v>
                </c:pt>
                <c:pt idx="157" formatCode="General">
                  <c:v>72.78</c:v>
                </c:pt>
                <c:pt idx="158" formatCode="General">
                  <c:v>25.16</c:v>
                </c:pt>
                <c:pt idx="159" formatCode="General">
                  <c:v>15.19</c:v>
                </c:pt>
                <c:pt idx="160" formatCode="General">
                  <c:v>99.54</c:v>
                </c:pt>
                <c:pt idx="161" formatCode="General">
                  <c:v>0</c:v>
                </c:pt>
                <c:pt idx="162" formatCode="General">
                  <c:v>40.119999999999997</c:v>
                </c:pt>
                <c:pt idx="163" formatCode="General">
                  <c:v>25.61</c:v>
                </c:pt>
                <c:pt idx="164" formatCode="General">
                  <c:v>0</c:v>
                </c:pt>
                <c:pt idx="165" formatCode="General">
                  <c:v>30.82</c:v>
                </c:pt>
              </c:numCache>
            </c:numRef>
          </c:xVal>
          <c:yVal>
            <c:numRef>
              <c:f>Spring!$M$2:$M$167</c:f>
              <c:numCache>
                <c:formatCode>0.000</c:formatCode>
                <c:ptCount val="166"/>
                <c:pt idx="0">
                  <c:v>6.3695391092076497</c:v>
                </c:pt>
                <c:pt idx="1">
                  <c:v>6.3686278197342103</c:v>
                </c:pt>
                <c:pt idx="2">
                  <c:v>6.3677165302607701</c:v>
                </c:pt>
                <c:pt idx="3">
                  <c:v>6.3668052407873201</c:v>
                </c:pt>
                <c:pt idx="4">
                  <c:v>6.3640713723669897</c:v>
                </c:pt>
                <c:pt idx="5">
                  <c:v>6.3631600828935397</c:v>
                </c:pt>
                <c:pt idx="6">
                  <c:v>6.3613375039466602</c:v>
                </c:pt>
                <c:pt idx="7">
                  <c:v>6.3604262144732102</c:v>
                </c:pt>
                <c:pt idx="8">
                  <c:v>6.35951492499977</c:v>
                </c:pt>
                <c:pt idx="9">
                  <c:v>5.28249032</c:v>
                </c:pt>
                <c:pt idx="12">
                  <c:v>12.815805599999999</c:v>
                </c:pt>
                <c:pt idx="13">
                  <c:v>12.0457119999999</c:v>
                </c:pt>
                <c:pt idx="14">
                  <c:v>10.67219704</c:v>
                </c:pt>
                <c:pt idx="15">
                  <c:v>12.4510858</c:v>
                </c:pt>
                <c:pt idx="16">
                  <c:v>21.1627592</c:v>
                </c:pt>
                <c:pt idx="17">
                  <c:v>14.5804768</c:v>
                </c:pt>
                <c:pt idx="18">
                  <c:v>12.4211408</c:v>
                </c:pt>
                <c:pt idx="19">
                  <c:v>10.916756999999899</c:v>
                </c:pt>
                <c:pt idx="20">
                  <c:v>12.41495316</c:v>
                </c:pt>
                <c:pt idx="21">
                  <c:v>10.38733716</c:v>
                </c:pt>
                <c:pt idx="22">
                  <c:v>9.4103997199999991</c:v>
                </c:pt>
                <c:pt idx="23">
                  <c:v>8.6639274400000001</c:v>
                </c:pt>
                <c:pt idx="24">
                  <c:v>8.1745655151999994</c:v>
                </c:pt>
                <c:pt idx="25">
                  <c:v>8.8986113000000007</c:v>
                </c:pt>
                <c:pt idx="26">
                  <c:v>8.95110431999999</c:v>
                </c:pt>
                <c:pt idx="27">
                  <c:v>9.3171799199999992</c:v>
                </c:pt>
                <c:pt idx="28">
                  <c:v>9.2401945999999899</c:v>
                </c:pt>
                <c:pt idx="29">
                  <c:v>6.6271815599999897</c:v>
                </c:pt>
                <c:pt idx="30">
                  <c:v>6.83403183999999</c:v>
                </c:pt>
                <c:pt idx="31">
                  <c:v>8.1550506400000007</c:v>
                </c:pt>
                <c:pt idx="32">
                  <c:v>13.7088416</c:v>
                </c:pt>
                <c:pt idx="33">
                  <c:v>10.1428473999999</c:v>
                </c:pt>
                <c:pt idx="34">
                  <c:v>8.9488770800000008</c:v>
                </c:pt>
                <c:pt idx="35">
                  <c:v>8.6484638799999995</c:v>
                </c:pt>
                <c:pt idx="36">
                  <c:v>9.1187322399999999</c:v>
                </c:pt>
                <c:pt idx="37">
                  <c:v>8.1289062039999997</c:v>
                </c:pt>
                <c:pt idx="38">
                  <c:v>7.2309412399999999</c:v>
                </c:pt>
                <c:pt idx="39">
                  <c:v>6.1800801999999999</c:v>
                </c:pt>
                <c:pt idx="40">
                  <c:v>7.1972571599999897</c:v>
                </c:pt>
                <c:pt idx="41">
                  <c:v>7.6360871199999902</c:v>
                </c:pt>
                <c:pt idx="42">
                  <c:v>6.68355736</c:v>
                </c:pt>
                <c:pt idx="43">
                  <c:v>6.0356489199999999</c:v>
                </c:pt>
                <c:pt idx="44">
                  <c:v>7.2851257199999999</c:v>
                </c:pt>
                <c:pt idx="45">
                  <c:v>8.6648960400000004</c:v>
                </c:pt>
                <c:pt idx="46">
                  <c:v>10.076955359999999</c:v>
                </c:pt>
                <c:pt idx="47">
                  <c:v>7.5388328024</c:v>
                </c:pt>
                <c:pt idx="48">
                  <c:v>8.1453577599999996</c:v>
                </c:pt>
                <c:pt idx="49">
                  <c:v>7.4115104000000001</c:v>
                </c:pt>
                <c:pt idx="50">
                  <c:v>6.8345387903999999</c:v>
                </c:pt>
                <c:pt idx="51">
                  <c:v>7.9445271199999903</c:v>
                </c:pt>
                <c:pt idx="52">
                  <c:v>7.4290512799999897</c:v>
                </c:pt>
                <c:pt idx="53">
                  <c:v>5.25875556</c:v>
                </c:pt>
                <c:pt idx="54">
                  <c:v>6.4666904799999898</c:v>
                </c:pt>
                <c:pt idx="55">
                  <c:v>14.551988908</c:v>
                </c:pt>
                <c:pt idx="56">
                  <c:v>8.8853135287999994</c:v>
                </c:pt>
                <c:pt idx="57">
                  <c:v>11.209641884</c:v>
                </c:pt>
                <c:pt idx="58">
                  <c:v>10.423064119999999</c:v>
                </c:pt>
                <c:pt idx="59">
                  <c:v>8.3597602844000001</c:v>
                </c:pt>
                <c:pt idx="60">
                  <c:v>43.856735999999998</c:v>
                </c:pt>
                <c:pt idx="61">
                  <c:v>16.958527199999999</c:v>
                </c:pt>
                <c:pt idx="62">
                  <c:v>12.384886399999999</c:v>
                </c:pt>
                <c:pt idx="63">
                  <c:v>11.245605614480001</c:v>
                </c:pt>
                <c:pt idx="64">
                  <c:v>13.655055599999899</c:v>
                </c:pt>
                <c:pt idx="65">
                  <c:v>22.0529236</c:v>
                </c:pt>
                <c:pt idx="66">
                  <c:v>12.440960799999999</c:v>
                </c:pt>
                <c:pt idx="67">
                  <c:v>9.0430761999999998</c:v>
                </c:pt>
                <c:pt idx="68">
                  <c:v>11.007816999999999</c:v>
                </c:pt>
                <c:pt idx="69">
                  <c:v>9.7772273199999997</c:v>
                </c:pt>
                <c:pt idx="70">
                  <c:v>8.0378636399999994</c:v>
                </c:pt>
                <c:pt idx="71">
                  <c:v>10.11803948328</c:v>
                </c:pt>
                <c:pt idx="72">
                  <c:v>20.03069</c:v>
                </c:pt>
                <c:pt idx="73">
                  <c:v>14.313794400000001</c:v>
                </c:pt>
                <c:pt idx="74">
                  <c:v>10.664316599999999</c:v>
                </c:pt>
                <c:pt idx="75">
                  <c:v>8.5506115000000005</c:v>
                </c:pt>
                <c:pt idx="76">
                  <c:v>9.0879493359999994</c:v>
                </c:pt>
                <c:pt idx="77">
                  <c:v>8.8480133999999993</c:v>
                </c:pt>
                <c:pt idx="78">
                  <c:v>10.664316599999999</c:v>
                </c:pt>
                <c:pt idx="79">
                  <c:v>15.2589617119999</c:v>
                </c:pt>
                <c:pt idx="80">
                  <c:v>9.9651312127999994</c:v>
                </c:pt>
                <c:pt idx="81">
                  <c:v>8.4859850784000006</c:v>
                </c:pt>
                <c:pt idx="83">
                  <c:v>17.909116588666599</c:v>
                </c:pt>
                <c:pt idx="84">
                  <c:v>12.5026276</c:v>
                </c:pt>
                <c:pt idx="85">
                  <c:v>12.258317999999999</c:v>
                </c:pt>
                <c:pt idx="86">
                  <c:v>12.736497399999999</c:v>
                </c:pt>
                <c:pt idx="87">
                  <c:v>11.8006866866666</c:v>
                </c:pt>
                <c:pt idx="88">
                  <c:v>25.906272033333298</c:v>
                </c:pt>
                <c:pt idx="89">
                  <c:v>15.555403466666601</c:v>
                </c:pt>
                <c:pt idx="90">
                  <c:v>12.1499004</c:v>
                </c:pt>
                <c:pt idx="91">
                  <c:v>11.5306084666666</c:v>
                </c:pt>
                <c:pt idx="92">
                  <c:v>10.979372994666599</c:v>
                </c:pt>
                <c:pt idx="93">
                  <c:v>15.365095666666599</c:v>
                </c:pt>
                <c:pt idx="94">
                  <c:v>11.7061532666666</c:v>
                </c:pt>
                <c:pt idx="95">
                  <c:v>10.3695922</c:v>
                </c:pt>
                <c:pt idx="96">
                  <c:v>10.998456733333301</c:v>
                </c:pt>
                <c:pt idx="97">
                  <c:v>11.4034091866666</c:v>
                </c:pt>
                <c:pt idx="98">
                  <c:v>10.587694328</c:v>
                </c:pt>
                <c:pt idx="99">
                  <c:v>8.4315058493333304</c:v>
                </c:pt>
                <c:pt idx="100">
                  <c:v>10.6954302066666</c:v>
                </c:pt>
                <c:pt idx="101">
                  <c:v>11.028182213333301</c:v>
                </c:pt>
                <c:pt idx="102">
                  <c:v>8.2315103599999997</c:v>
                </c:pt>
                <c:pt idx="103">
                  <c:v>7.7667874933333296</c:v>
                </c:pt>
                <c:pt idx="104">
                  <c:v>7.4946411733333296</c:v>
                </c:pt>
                <c:pt idx="105">
                  <c:v>9.6661808800000006</c:v>
                </c:pt>
                <c:pt idx="106">
                  <c:v>9.1230036933333292</c:v>
                </c:pt>
                <c:pt idx="107">
                  <c:v>7.9987784666666597</c:v>
                </c:pt>
                <c:pt idx="108">
                  <c:v>7.7637820933333304</c:v>
                </c:pt>
                <c:pt idx="109">
                  <c:v>11.7693315333333</c:v>
                </c:pt>
                <c:pt idx="110">
                  <c:v>7.3864227533333304</c:v>
                </c:pt>
                <c:pt idx="111">
                  <c:v>8.16305281333333</c:v>
                </c:pt>
                <c:pt idx="113">
                  <c:v>7.72098306</c:v>
                </c:pt>
                <c:pt idx="114">
                  <c:v>12.273739984000001</c:v>
                </c:pt>
                <c:pt idx="115">
                  <c:v>9.9380790066666602</c:v>
                </c:pt>
                <c:pt idx="116">
                  <c:v>8.2618505333333303</c:v>
                </c:pt>
                <c:pt idx="117">
                  <c:v>9.0383009999999899</c:v>
                </c:pt>
                <c:pt idx="118">
                  <c:v>9.2480751333333302</c:v>
                </c:pt>
                <c:pt idx="120">
                  <c:v>7.6434516266666597</c:v>
                </c:pt>
                <c:pt idx="121">
                  <c:v>6.1651286666666598</c:v>
                </c:pt>
                <c:pt idx="122">
                  <c:v>5.42235642666666</c:v>
                </c:pt>
                <c:pt idx="123">
                  <c:v>6.7731638133333298</c:v>
                </c:pt>
                <c:pt idx="124">
                  <c:v>9.6546325599999996</c:v>
                </c:pt>
                <c:pt idx="125">
                  <c:v>8.6037493866666601</c:v>
                </c:pt>
                <c:pt idx="126">
                  <c:v>7.5119917466666601</c:v>
                </c:pt>
                <c:pt idx="127">
                  <c:v>9.6479184666666598</c:v>
                </c:pt>
                <c:pt idx="128">
                  <c:v>5.7798811900000002</c:v>
                </c:pt>
                <c:pt idx="129">
                  <c:v>8.0249351333333294</c:v>
                </c:pt>
                <c:pt idx="130">
                  <c:v>6.3661506000000001</c:v>
                </c:pt>
                <c:pt idx="131">
                  <c:v>5.5522387866666598</c:v>
                </c:pt>
                <c:pt idx="132">
                  <c:v>5.2737517986666598</c:v>
                </c:pt>
                <c:pt idx="133">
                  <c:v>12.890712933333299</c:v>
                </c:pt>
                <c:pt idx="134">
                  <c:v>9.0212937866666607</c:v>
                </c:pt>
                <c:pt idx="135">
                  <c:v>9.7976981146666606</c:v>
                </c:pt>
                <c:pt idx="136">
                  <c:v>7.9770290266666599</c:v>
                </c:pt>
                <c:pt idx="137">
                  <c:v>8.7500032893333302</c:v>
                </c:pt>
                <c:pt idx="138">
                  <c:v>38.639293733333297</c:v>
                </c:pt>
                <c:pt idx="139">
                  <c:v>21.475960133333299</c:v>
                </c:pt>
                <c:pt idx="140">
                  <c:v>12.734633816800001</c:v>
                </c:pt>
                <c:pt idx="141">
                  <c:v>8.6821808133333302</c:v>
                </c:pt>
                <c:pt idx="142">
                  <c:v>16.170986133333301</c:v>
                </c:pt>
                <c:pt idx="144">
                  <c:v>12.641193039999999</c:v>
                </c:pt>
                <c:pt idx="145">
                  <c:v>10.0303982666666</c:v>
                </c:pt>
                <c:pt idx="147">
                  <c:v>9.1829196</c:v>
                </c:pt>
                <c:pt idx="148">
                  <c:v>10.3782316933333</c:v>
                </c:pt>
                <c:pt idx="149">
                  <c:v>9.8354738279999996</c:v>
                </c:pt>
                <c:pt idx="150">
                  <c:v>22.228124099999999</c:v>
                </c:pt>
                <c:pt idx="151">
                  <c:v>14.96945008</c:v>
                </c:pt>
                <c:pt idx="152">
                  <c:v>12.378681706666599</c:v>
                </c:pt>
                <c:pt idx="153">
                  <c:v>10.541740973333299</c:v>
                </c:pt>
                <c:pt idx="154">
                  <c:v>8.0138589866666603</c:v>
                </c:pt>
                <c:pt idx="155">
                  <c:v>8.3940114666666599</c:v>
                </c:pt>
                <c:pt idx="156">
                  <c:v>9.5848903199999906</c:v>
                </c:pt>
                <c:pt idx="157">
                  <c:v>16.9080908</c:v>
                </c:pt>
                <c:pt idx="158">
                  <c:v>13.3637106666666</c:v>
                </c:pt>
                <c:pt idx="159">
                  <c:v>9.3933083066666594</c:v>
                </c:pt>
                <c:pt idx="160">
                  <c:v>7.5067932800000001</c:v>
                </c:pt>
                <c:pt idx="161">
                  <c:v>5.4897123906666598</c:v>
                </c:pt>
                <c:pt idx="162">
                  <c:v>8.2732197266666603</c:v>
                </c:pt>
                <c:pt idx="163">
                  <c:v>6.5764189999999996</c:v>
                </c:pt>
                <c:pt idx="164">
                  <c:v>7.3791796666666603</c:v>
                </c:pt>
                <c:pt idx="165">
                  <c:v>9.8172653466666606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A4-402D-A77B-881C05821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22767"/>
        <c:axId val="734720847"/>
      </c:scatterChart>
      <c:valAx>
        <c:axId val="73472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</a:t>
                </a:r>
                <a:r>
                  <a:rPr lang="en-US" baseline="0"/>
                  <a:t> concentration (uL/L)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0847"/>
        <c:crosses val="autoZero"/>
        <c:crossBetween val="midCat"/>
      </c:valAx>
      <c:valAx>
        <c:axId val="7347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Sonde Turbidity</a:t>
                </a:r>
                <a:r>
                  <a:rPr lang="en-US" baseline="0"/>
                  <a:t> (NTU)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2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vs Sonde</a:t>
            </a:r>
            <a:r>
              <a:rPr lang="en-US" baseline="0"/>
              <a:t> Turbidity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Spring!$O$1</c:f>
              <c:strCache>
                <c:ptCount val="1"/>
                <c:pt idx="0">
                  <c:v>Downstream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1481207342379586"/>
                  <c:y val="-2.1690902077275365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Spring!$F$2:$F$167</c:f>
              <c:numCache>
                <c:formatCode>0.00</c:formatCode>
                <c:ptCount val="166"/>
                <c:pt idx="0">
                  <c:v>12.380952380952339</c:v>
                </c:pt>
                <c:pt idx="1">
                  <c:v>9.4736842105262955</c:v>
                </c:pt>
                <c:pt idx="2">
                  <c:v>5.0000000000000044</c:v>
                </c:pt>
                <c:pt idx="3">
                  <c:v>3.999999999999976</c:v>
                </c:pt>
                <c:pt idx="4">
                  <c:v>10.476190476190512</c:v>
                </c:pt>
                <c:pt idx="5">
                  <c:v>9.3333333333332309</c:v>
                </c:pt>
                <c:pt idx="6">
                  <c:v>9.6551724137929966</c:v>
                </c:pt>
                <c:pt idx="7">
                  <c:v>3.9999999999999298</c:v>
                </c:pt>
                <c:pt idx="8">
                  <c:v>1.4999999999999736</c:v>
                </c:pt>
                <c:pt idx="9">
                  <c:v>5.5000000000000879</c:v>
                </c:pt>
                <c:pt idx="10">
                  <c:v>23.157894736842042</c:v>
                </c:pt>
                <c:pt idx="11">
                  <c:v>15.000000000000014</c:v>
                </c:pt>
                <c:pt idx="12">
                  <c:v>8.9473684210526692</c:v>
                </c:pt>
                <c:pt idx="13">
                  <c:v>9.4999999999999254</c:v>
                </c:pt>
                <c:pt idx="14">
                  <c:v>4.2857142857143424</c:v>
                </c:pt>
                <c:pt idx="16">
                  <c:v>23.000000000000103</c:v>
                </c:pt>
                <c:pt idx="17">
                  <c:v>15.000000000000014</c:v>
                </c:pt>
                <c:pt idx="18">
                  <c:v>9.0909090909090988</c:v>
                </c:pt>
                <c:pt idx="19">
                  <c:v>7.5000000000000071</c:v>
                </c:pt>
                <c:pt idx="20">
                  <c:v>4.3750000000000382</c:v>
                </c:pt>
                <c:pt idx="22">
                  <c:v>5.6249999999999005</c:v>
                </c:pt>
                <c:pt idx="23">
                  <c:v>6.6666666666666723</c:v>
                </c:pt>
                <c:pt idx="27">
                  <c:v>10.344827586206906</c:v>
                </c:pt>
                <c:pt idx="28">
                  <c:v>5.3333333333333011</c:v>
                </c:pt>
                <c:pt idx="29">
                  <c:v>6.4285714285715132</c:v>
                </c:pt>
                <c:pt idx="30">
                  <c:v>6.4285714285713151</c:v>
                </c:pt>
                <c:pt idx="31">
                  <c:v>14.193548387096822</c:v>
                </c:pt>
                <c:pt idx="32">
                  <c:v>14.736842105263287</c:v>
                </c:pt>
                <c:pt idx="33">
                  <c:v>18.947368421052882</c:v>
                </c:pt>
                <c:pt idx="34">
                  <c:v>26.086956521739157</c:v>
                </c:pt>
                <c:pt idx="35">
                  <c:v>7.2727272727274812</c:v>
                </c:pt>
                <c:pt idx="37">
                  <c:v>5.3333333333333011</c:v>
                </c:pt>
                <c:pt idx="38">
                  <c:v>5.0000000000000444</c:v>
                </c:pt>
                <c:pt idx="40">
                  <c:v>22.012578616352222</c:v>
                </c:pt>
                <c:pt idx="41">
                  <c:v>12.142857142857194</c:v>
                </c:pt>
                <c:pt idx="42">
                  <c:v>10.666666666666602</c:v>
                </c:pt>
                <c:pt idx="43">
                  <c:v>5.2941176470588935</c:v>
                </c:pt>
                <c:pt idx="44">
                  <c:v>4.1176470588235654</c:v>
                </c:pt>
                <c:pt idx="45">
                  <c:v>8.1250000000001457</c:v>
                </c:pt>
                <c:pt idx="46">
                  <c:v>6.8750000000001101</c:v>
                </c:pt>
                <c:pt idx="47">
                  <c:v>4.8275862068965933</c:v>
                </c:pt>
                <c:pt idx="48">
                  <c:v>2.3529411764706558</c:v>
                </c:pt>
                <c:pt idx="49">
                  <c:v>5.3333333333333011</c:v>
                </c:pt>
                <c:pt idx="50">
                  <c:v>5.2941176470587292</c:v>
                </c:pt>
                <c:pt idx="51">
                  <c:v>3.2258064516129061</c:v>
                </c:pt>
                <c:pt idx="52">
                  <c:v>0</c:v>
                </c:pt>
                <c:pt idx="53">
                  <c:v>3.3333333333333361</c:v>
                </c:pt>
                <c:pt idx="54">
                  <c:v>5.3333333333333011</c:v>
                </c:pt>
                <c:pt idx="55">
                  <c:v>12.666666666666567</c:v>
                </c:pt>
                <c:pt idx="56">
                  <c:v>10.666666666666787</c:v>
                </c:pt>
                <c:pt idx="57">
                  <c:v>7.8571428571427848</c:v>
                </c:pt>
                <c:pt idx="58">
                  <c:v>8.6666666666666377</c:v>
                </c:pt>
                <c:pt idx="59">
                  <c:v>9.3750000000000089</c:v>
                </c:pt>
                <c:pt idx="60">
                  <c:v>41.999999999999993</c:v>
                </c:pt>
                <c:pt idx="61">
                  <c:v>17.419354838709729</c:v>
                </c:pt>
                <c:pt idx="62">
                  <c:v>6.6666666666666723</c:v>
                </c:pt>
                <c:pt idx="63">
                  <c:v>2.5000000000000715</c:v>
                </c:pt>
                <c:pt idx="64">
                  <c:v>6.000000000000079</c:v>
                </c:pt>
                <c:pt idx="65">
                  <c:v>22.142857142857082</c:v>
                </c:pt>
                <c:pt idx="66">
                  <c:v>10.000000000000009</c:v>
                </c:pt>
                <c:pt idx="67">
                  <c:v>6.4285714285713151</c:v>
                </c:pt>
                <c:pt idx="68">
                  <c:v>18.000000000000053</c:v>
                </c:pt>
                <c:pt idx="69">
                  <c:v>9.3333333333334156</c:v>
                </c:pt>
                <c:pt idx="70">
                  <c:v>5.7142857142856798</c:v>
                </c:pt>
                <c:pt idx="71">
                  <c:v>2.8571428571429389</c:v>
                </c:pt>
                <c:pt idx="72">
                  <c:v>20.666666666666611</c:v>
                </c:pt>
                <c:pt idx="74">
                  <c:v>11.87500000000008</c:v>
                </c:pt>
                <c:pt idx="76">
                  <c:v>2.8571428571429389</c:v>
                </c:pt>
                <c:pt idx="78">
                  <c:v>4.6666666666667078</c:v>
                </c:pt>
                <c:pt idx="79">
                  <c:v>8.7500000000000764</c:v>
                </c:pt>
                <c:pt idx="80">
                  <c:v>9.3333333333334156</c:v>
                </c:pt>
                <c:pt idx="81">
                  <c:v>7.1428571428571495</c:v>
                </c:pt>
                <c:pt idx="82">
                  <c:v>16.000000000000043</c:v>
                </c:pt>
                <c:pt idx="83">
                  <c:v>0.49999999999994493</c:v>
                </c:pt>
                <c:pt idx="84">
                  <c:v>6.3157894736842453</c:v>
                </c:pt>
                <c:pt idx="86">
                  <c:v>10.000000000000066</c:v>
                </c:pt>
                <c:pt idx="87">
                  <c:v>6.8181818181816984</c:v>
                </c:pt>
                <c:pt idx="88">
                  <c:v>21.499999999999993</c:v>
                </c:pt>
                <c:pt idx="89">
                  <c:v>11.05263157894732</c:v>
                </c:pt>
                <c:pt idx="90">
                  <c:v>17.999999999999961</c:v>
                </c:pt>
                <c:pt idx="91">
                  <c:v>6.4999999999999778</c:v>
                </c:pt>
                <c:pt idx="92">
                  <c:v>7.999999999999952</c:v>
                </c:pt>
                <c:pt idx="93">
                  <c:v>11.999999999999789</c:v>
                </c:pt>
                <c:pt idx="94">
                  <c:v>5.9999999999998943</c:v>
                </c:pt>
                <c:pt idx="95">
                  <c:v>8.888888888888836</c:v>
                </c:pt>
                <c:pt idx="96">
                  <c:v>12.222222222222108</c:v>
                </c:pt>
                <c:pt idx="97">
                  <c:v>6.8750000000001101</c:v>
                </c:pt>
                <c:pt idx="98">
                  <c:v>4.6666666666667078</c:v>
                </c:pt>
                <c:pt idx="99">
                  <c:v>5.3333333333333011</c:v>
                </c:pt>
                <c:pt idx="100">
                  <c:v>6.000000000000079</c:v>
                </c:pt>
                <c:pt idx="101">
                  <c:v>17.857142857142676</c:v>
                </c:pt>
                <c:pt idx="102">
                  <c:v>3.9999999999999298</c:v>
                </c:pt>
                <c:pt idx="103">
                  <c:v>6.6666666666666723</c:v>
                </c:pt>
                <c:pt idx="104">
                  <c:v>5.5172413793103114</c:v>
                </c:pt>
                <c:pt idx="105">
                  <c:v>5.3333333333334858</c:v>
                </c:pt>
                <c:pt idx="106">
                  <c:v>8.0000000000000444</c:v>
                </c:pt>
                <c:pt idx="107">
                  <c:v>7.3333333333334512</c:v>
                </c:pt>
                <c:pt idx="109">
                  <c:v>11.249999999999975</c:v>
                </c:pt>
                <c:pt idx="110">
                  <c:v>5.1612903225806139</c:v>
                </c:pt>
                <c:pt idx="111">
                  <c:v>8.6666666666666377</c:v>
                </c:pt>
                <c:pt idx="112">
                  <c:v>8.5714285714286191</c:v>
                </c:pt>
                <c:pt idx="114">
                  <c:v>15.000000000000083</c:v>
                </c:pt>
                <c:pt idx="115">
                  <c:v>7.1428571428571495</c:v>
                </c:pt>
                <c:pt idx="116">
                  <c:v>4.1176470588235654</c:v>
                </c:pt>
                <c:pt idx="117">
                  <c:v>7.1428571428571495</c:v>
                </c:pt>
                <c:pt idx="119">
                  <c:v>5.5172413793103114</c:v>
                </c:pt>
                <c:pt idx="120">
                  <c:v>11.33333333333338</c:v>
                </c:pt>
                <c:pt idx="121">
                  <c:v>6.6666666666666723</c:v>
                </c:pt>
                <c:pt idx="122">
                  <c:v>5.2941176470588935</c:v>
                </c:pt>
                <c:pt idx="124">
                  <c:v>7.5000000000000417</c:v>
                </c:pt>
                <c:pt idx="126">
                  <c:v>8.1249999999999734</c:v>
                </c:pt>
                <c:pt idx="127">
                  <c:v>11.612903225806427</c:v>
                </c:pt>
                <c:pt idx="128">
                  <c:v>8.1249999999999734</c:v>
                </c:pt>
                <c:pt idx="129">
                  <c:v>6.6666666666666723</c:v>
                </c:pt>
                <c:pt idx="130">
                  <c:v>3.7499999999999338</c:v>
                </c:pt>
                <c:pt idx="131">
                  <c:v>11.249999999999975</c:v>
                </c:pt>
                <c:pt idx="132">
                  <c:v>4.6666666666665231</c:v>
                </c:pt>
                <c:pt idx="133">
                  <c:v>14.545454545454458</c:v>
                </c:pt>
                <c:pt idx="134">
                  <c:v>9.2857142857142527</c:v>
                </c:pt>
                <c:pt idx="135">
                  <c:v>6.8750000000001101</c:v>
                </c:pt>
                <c:pt idx="136">
                  <c:v>2.5000000000000715</c:v>
                </c:pt>
                <c:pt idx="137">
                  <c:v>12.666666666666751</c:v>
                </c:pt>
                <c:pt idx="138">
                  <c:v>45.000000000000007</c:v>
                </c:pt>
                <c:pt idx="139">
                  <c:v>13.99999999999994</c:v>
                </c:pt>
                <c:pt idx="140">
                  <c:v>10.000000000000009</c:v>
                </c:pt>
                <c:pt idx="141">
                  <c:v>8.1249999999999734</c:v>
                </c:pt>
                <c:pt idx="142">
                  <c:v>13.529411764705863</c:v>
                </c:pt>
                <c:pt idx="143">
                  <c:v>20.000000000000018</c:v>
                </c:pt>
                <c:pt idx="144">
                  <c:v>9.9999999999999396</c:v>
                </c:pt>
                <c:pt idx="145">
                  <c:v>0.62500000000010458</c:v>
                </c:pt>
                <c:pt idx="146">
                  <c:v>4.3750000000000382</c:v>
                </c:pt>
                <c:pt idx="147">
                  <c:v>3.3333333333333361</c:v>
                </c:pt>
                <c:pt idx="148">
                  <c:v>5.0000000000000444</c:v>
                </c:pt>
                <c:pt idx="149">
                  <c:v>10.666666666666602</c:v>
                </c:pt>
                <c:pt idx="150">
                  <c:v>24.374999999999918</c:v>
                </c:pt>
                <c:pt idx="153">
                  <c:v>5.6249999999999005</c:v>
                </c:pt>
                <c:pt idx="156">
                  <c:v>1.2903225806451981</c:v>
                </c:pt>
                <c:pt idx="158">
                  <c:v>0.71428571428583387</c:v>
                </c:pt>
                <c:pt idx="159">
                  <c:v>5.7142857142856798</c:v>
                </c:pt>
                <c:pt idx="161">
                  <c:v>2.142857142857105</c:v>
                </c:pt>
                <c:pt idx="163">
                  <c:v>0.66666666666677832</c:v>
                </c:pt>
              </c:numCache>
            </c:numRef>
          </c:xVal>
          <c:yVal>
            <c:numRef>
              <c:f>Spring!$O$2:$O$167</c:f>
              <c:numCache>
                <c:formatCode>0.000</c:formatCode>
                <c:ptCount val="166"/>
                <c:pt idx="0">
                  <c:v>6.3695391092076497</c:v>
                </c:pt>
                <c:pt idx="1">
                  <c:v>6.3686278197342103</c:v>
                </c:pt>
                <c:pt idx="2">
                  <c:v>6.3677165302607701</c:v>
                </c:pt>
                <c:pt idx="3">
                  <c:v>6.3668052407873201</c:v>
                </c:pt>
                <c:pt idx="4">
                  <c:v>6.3640713723669897</c:v>
                </c:pt>
                <c:pt idx="5">
                  <c:v>6.3631600828935397</c:v>
                </c:pt>
                <c:pt idx="6">
                  <c:v>6.3613375039466602</c:v>
                </c:pt>
                <c:pt idx="7">
                  <c:v>6.3604262144732102</c:v>
                </c:pt>
                <c:pt idx="8">
                  <c:v>6.35951492499977</c:v>
                </c:pt>
                <c:pt idx="9">
                  <c:v>5.28249032</c:v>
                </c:pt>
                <c:pt idx="12">
                  <c:v>12.815805599999999</c:v>
                </c:pt>
                <c:pt idx="13">
                  <c:v>12.0457119999999</c:v>
                </c:pt>
                <c:pt idx="14">
                  <c:v>10.67219704</c:v>
                </c:pt>
                <c:pt idx="15">
                  <c:v>12.4510858</c:v>
                </c:pt>
                <c:pt idx="16">
                  <c:v>21.1627592</c:v>
                </c:pt>
                <c:pt idx="17">
                  <c:v>14.5804768</c:v>
                </c:pt>
                <c:pt idx="18">
                  <c:v>12.4211408</c:v>
                </c:pt>
                <c:pt idx="19">
                  <c:v>10.916756999999899</c:v>
                </c:pt>
                <c:pt idx="20">
                  <c:v>12.41495316</c:v>
                </c:pt>
                <c:pt idx="21">
                  <c:v>10.38733716</c:v>
                </c:pt>
                <c:pt idx="22">
                  <c:v>9.4103997199999991</c:v>
                </c:pt>
                <c:pt idx="23">
                  <c:v>8.6639274400000001</c:v>
                </c:pt>
                <c:pt idx="24">
                  <c:v>8.1745655151999994</c:v>
                </c:pt>
                <c:pt idx="25">
                  <c:v>8.8986113000000007</c:v>
                </c:pt>
                <c:pt idx="26">
                  <c:v>8.95110431999999</c:v>
                </c:pt>
                <c:pt idx="27">
                  <c:v>9.3171799199999992</c:v>
                </c:pt>
                <c:pt idx="28">
                  <c:v>9.2401945999999899</c:v>
                </c:pt>
                <c:pt idx="29">
                  <c:v>6.6271815599999897</c:v>
                </c:pt>
                <c:pt idx="30">
                  <c:v>6.83403183999999</c:v>
                </c:pt>
                <c:pt idx="31">
                  <c:v>8.1550506400000007</c:v>
                </c:pt>
                <c:pt idx="32">
                  <c:v>13.7088416</c:v>
                </c:pt>
                <c:pt idx="33">
                  <c:v>10.1428473999999</c:v>
                </c:pt>
                <c:pt idx="34">
                  <c:v>8.9488770800000008</c:v>
                </c:pt>
                <c:pt idx="35">
                  <c:v>8.6484638799999995</c:v>
                </c:pt>
                <c:pt idx="36">
                  <c:v>9.1187322399999999</c:v>
                </c:pt>
                <c:pt idx="37">
                  <c:v>8.1289062039999997</c:v>
                </c:pt>
                <c:pt idx="38">
                  <c:v>7.2309412399999999</c:v>
                </c:pt>
                <c:pt idx="39">
                  <c:v>6.1800801999999999</c:v>
                </c:pt>
                <c:pt idx="40">
                  <c:v>7.1972571599999897</c:v>
                </c:pt>
                <c:pt idx="41">
                  <c:v>7.6360871199999902</c:v>
                </c:pt>
                <c:pt idx="42">
                  <c:v>6.68355736</c:v>
                </c:pt>
                <c:pt idx="43">
                  <c:v>6.0356489199999999</c:v>
                </c:pt>
                <c:pt idx="44">
                  <c:v>7.2851257199999999</c:v>
                </c:pt>
                <c:pt idx="45">
                  <c:v>8.6648960400000004</c:v>
                </c:pt>
                <c:pt idx="46">
                  <c:v>10.076955359999999</c:v>
                </c:pt>
                <c:pt idx="47">
                  <c:v>7.5388328024</c:v>
                </c:pt>
                <c:pt idx="48">
                  <c:v>8.1453577599999996</c:v>
                </c:pt>
                <c:pt idx="49">
                  <c:v>7.4115104000000001</c:v>
                </c:pt>
                <c:pt idx="50">
                  <c:v>6.8345387903999999</c:v>
                </c:pt>
                <c:pt idx="51">
                  <c:v>7.9445271199999903</c:v>
                </c:pt>
                <c:pt idx="52">
                  <c:v>7.4290512799999897</c:v>
                </c:pt>
                <c:pt idx="53">
                  <c:v>5.25875556</c:v>
                </c:pt>
                <c:pt idx="54">
                  <c:v>6.4666904799999898</c:v>
                </c:pt>
                <c:pt idx="55">
                  <c:v>14.551988908</c:v>
                </c:pt>
                <c:pt idx="56">
                  <c:v>8.8853135287999994</c:v>
                </c:pt>
                <c:pt idx="57">
                  <c:v>11.209641884</c:v>
                </c:pt>
                <c:pt idx="58">
                  <c:v>10.423064119999999</c:v>
                </c:pt>
                <c:pt idx="59">
                  <c:v>8.3597602844000001</c:v>
                </c:pt>
                <c:pt idx="60">
                  <c:v>43.856735999999998</c:v>
                </c:pt>
                <c:pt idx="61">
                  <c:v>16.958527199999999</c:v>
                </c:pt>
                <c:pt idx="62">
                  <c:v>12.384886399999999</c:v>
                </c:pt>
                <c:pt idx="63">
                  <c:v>11.245605614480001</c:v>
                </c:pt>
                <c:pt idx="64">
                  <c:v>13.655055599999899</c:v>
                </c:pt>
                <c:pt idx="65">
                  <c:v>22.0529236</c:v>
                </c:pt>
                <c:pt idx="66">
                  <c:v>12.440960799999999</c:v>
                </c:pt>
                <c:pt idx="67">
                  <c:v>9.0430761999999998</c:v>
                </c:pt>
                <c:pt idx="68">
                  <c:v>11.007816999999999</c:v>
                </c:pt>
                <c:pt idx="69">
                  <c:v>9.7772273199999997</c:v>
                </c:pt>
                <c:pt idx="70">
                  <c:v>8.0378636399999994</c:v>
                </c:pt>
                <c:pt idx="71">
                  <c:v>10.11803948328</c:v>
                </c:pt>
                <c:pt idx="72">
                  <c:v>20.03069</c:v>
                </c:pt>
                <c:pt idx="73">
                  <c:v>14.313794400000001</c:v>
                </c:pt>
                <c:pt idx="74">
                  <c:v>10.664316599999999</c:v>
                </c:pt>
                <c:pt idx="75">
                  <c:v>8.5506115000000005</c:v>
                </c:pt>
                <c:pt idx="76">
                  <c:v>9.0879493359999994</c:v>
                </c:pt>
                <c:pt idx="77">
                  <c:v>8.8480133999999993</c:v>
                </c:pt>
                <c:pt idx="78">
                  <c:v>10.664316599999999</c:v>
                </c:pt>
                <c:pt idx="79">
                  <c:v>15.2589617119999</c:v>
                </c:pt>
                <c:pt idx="80">
                  <c:v>9.9651312127999994</c:v>
                </c:pt>
                <c:pt idx="81">
                  <c:v>8.4859850784000006</c:v>
                </c:pt>
                <c:pt idx="84">
                  <c:v>12.815805599999999</c:v>
                </c:pt>
                <c:pt idx="85">
                  <c:v>12.0457119999999</c:v>
                </c:pt>
                <c:pt idx="86">
                  <c:v>10.67219704</c:v>
                </c:pt>
                <c:pt idx="87">
                  <c:v>12.4510858</c:v>
                </c:pt>
                <c:pt idx="88">
                  <c:v>21.1627592</c:v>
                </c:pt>
                <c:pt idx="89">
                  <c:v>14.5804768</c:v>
                </c:pt>
                <c:pt idx="90">
                  <c:v>12.4211408</c:v>
                </c:pt>
                <c:pt idx="91">
                  <c:v>10.916756999999899</c:v>
                </c:pt>
                <c:pt idx="92">
                  <c:v>12.41495316</c:v>
                </c:pt>
                <c:pt idx="93">
                  <c:v>14.767932800000001</c:v>
                </c:pt>
                <c:pt idx="94">
                  <c:v>11.1057975</c:v>
                </c:pt>
                <c:pt idx="95">
                  <c:v>9.7756285599999995</c:v>
                </c:pt>
                <c:pt idx="96">
                  <c:v>10.018984959999999</c:v>
                </c:pt>
                <c:pt idx="97">
                  <c:v>9.4103997199999991</c:v>
                </c:pt>
                <c:pt idx="98">
                  <c:v>8.6639274400000001</c:v>
                </c:pt>
                <c:pt idx="99">
                  <c:v>8.8986113000000007</c:v>
                </c:pt>
                <c:pt idx="100">
                  <c:v>8.95110431999999</c:v>
                </c:pt>
                <c:pt idx="101">
                  <c:v>10.23910416</c:v>
                </c:pt>
                <c:pt idx="102">
                  <c:v>7.9644718799999996</c:v>
                </c:pt>
                <c:pt idx="103">
                  <c:v>7.6684761000000004</c:v>
                </c:pt>
                <c:pt idx="104">
                  <c:v>7.1552944799999896</c:v>
                </c:pt>
                <c:pt idx="105">
                  <c:v>11.663247200000001</c:v>
                </c:pt>
                <c:pt idx="106">
                  <c:v>8.1688235799999998</c:v>
                </c:pt>
                <c:pt idx="107">
                  <c:v>7.2320616399999897</c:v>
                </c:pt>
                <c:pt idx="108">
                  <c:v>7.1852926031999997</c:v>
                </c:pt>
                <c:pt idx="109">
                  <c:v>9.3171799199999992</c:v>
                </c:pt>
                <c:pt idx="110">
                  <c:v>9.2401945999999899</c:v>
                </c:pt>
                <c:pt idx="111">
                  <c:v>6.6271815599999897</c:v>
                </c:pt>
                <c:pt idx="112">
                  <c:v>6.83403183999999</c:v>
                </c:pt>
                <c:pt idx="113">
                  <c:v>8.1550506400000007</c:v>
                </c:pt>
                <c:pt idx="114">
                  <c:v>13.7088416</c:v>
                </c:pt>
                <c:pt idx="115">
                  <c:v>10.1428473999999</c:v>
                </c:pt>
                <c:pt idx="116">
                  <c:v>8.9488770800000008</c:v>
                </c:pt>
                <c:pt idx="117">
                  <c:v>9.1187322399999999</c:v>
                </c:pt>
                <c:pt idx="118">
                  <c:v>8.1289062039999997</c:v>
                </c:pt>
                <c:pt idx="119">
                  <c:v>6.5828858800000001</c:v>
                </c:pt>
                <c:pt idx="120">
                  <c:v>7.6360871199999902</c:v>
                </c:pt>
                <c:pt idx="121">
                  <c:v>6.68355736</c:v>
                </c:pt>
                <c:pt idx="122">
                  <c:v>6.0356489199999999</c:v>
                </c:pt>
                <c:pt idx="123">
                  <c:v>7.2851257199999999</c:v>
                </c:pt>
                <c:pt idx="124">
                  <c:v>8.6648960400000004</c:v>
                </c:pt>
                <c:pt idx="125">
                  <c:v>10.076955359999999</c:v>
                </c:pt>
                <c:pt idx="126">
                  <c:v>7.5388328024</c:v>
                </c:pt>
                <c:pt idx="127">
                  <c:v>8.1453577599999996</c:v>
                </c:pt>
                <c:pt idx="128">
                  <c:v>7.4115104000000001</c:v>
                </c:pt>
                <c:pt idx="129">
                  <c:v>6.8345387903999999</c:v>
                </c:pt>
                <c:pt idx="130">
                  <c:v>7.9445271199999903</c:v>
                </c:pt>
                <c:pt idx="131">
                  <c:v>7.4290512799999897</c:v>
                </c:pt>
                <c:pt idx="132">
                  <c:v>6.4666904799999898</c:v>
                </c:pt>
                <c:pt idx="133">
                  <c:v>14.551988908</c:v>
                </c:pt>
                <c:pt idx="134">
                  <c:v>8.8853135287999994</c:v>
                </c:pt>
                <c:pt idx="135">
                  <c:v>11.209641884</c:v>
                </c:pt>
                <c:pt idx="136">
                  <c:v>10.423064119999999</c:v>
                </c:pt>
                <c:pt idx="137">
                  <c:v>8.3597602844000001</c:v>
                </c:pt>
                <c:pt idx="138">
                  <c:v>43.856735999999998</c:v>
                </c:pt>
                <c:pt idx="139">
                  <c:v>16.958527199999999</c:v>
                </c:pt>
                <c:pt idx="140">
                  <c:v>12.384886399999999</c:v>
                </c:pt>
                <c:pt idx="141">
                  <c:v>11.245605614480001</c:v>
                </c:pt>
                <c:pt idx="142">
                  <c:v>13.655055599999899</c:v>
                </c:pt>
                <c:pt idx="143">
                  <c:v>22.0529236</c:v>
                </c:pt>
                <c:pt idx="144">
                  <c:v>12.440960799999999</c:v>
                </c:pt>
                <c:pt idx="145">
                  <c:v>9.0430761999999998</c:v>
                </c:pt>
                <c:pt idx="146">
                  <c:v>11.007816999999999</c:v>
                </c:pt>
                <c:pt idx="147">
                  <c:v>9.7772273199999997</c:v>
                </c:pt>
                <c:pt idx="148">
                  <c:v>8.0378636399999994</c:v>
                </c:pt>
                <c:pt idx="149">
                  <c:v>10.11803948328</c:v>
                </c:pt>
                <c:pt idx="150">
                  <c:v>20.03069</c:v>
                </c:pt>
                <c:pt idx="151">
                  <c:v>14.313794400000001</c:v>
                </c:pt>
                <c:pt idx="152">
                  <c:v>10.664316599999999</c:v>
                </c:pt>
                <c:pt idx="153">
                  <c:v>8.5506115000000005</c:v>
                </c:pt>
                <c:pt idx="154">
                  <c:v>9.0879493359999994</c:v>
                </c:pt>
                <c:pt idx="155">
                  <c:v>8.8480133999999993</c:v>
                </c:pt>
                <c:pt idx="156">
                  <c:v>9.2369909200000002</c:v>
                </c:pt>
                <c:pt idx="157">
                  <c:v>15.2589617119999</c:v>
                </c:pt>
                <c:pt idx="158">
                  <c:v>11.863201948</c:v>
                </c:pt>
                <c:pt idx="159">
                  <c:v>9.9651312127999994</c:v>
                </c:pt>
                <c:pt idx="160">
                  <c:v>8.4859850784000006</c:v>
                </c:pt>
                <c:pt idx="161">
                  <c:v>8.9133909280000001</c:v>
                </c:pt>
                <c:pt idx="162">
                  <c:v>7.5681198240000001</c:v>
                </c:pt>
                <c:pt idx="163">
                  <c:v>7.6637165200000004</c:v>
                </c:pt>
                <c:pt idx="164">
                  <c:v>10.3719666</c:v>
                </c:pt>
                <c:pt idx="165">
                  <c:v>10.963208972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AC-45F1-872A-D52A5244EF04}"/>
            </c:ext>
          </c:extLst>
        </c:ser>
        <c:ser>
          <c:idx val="1"/>
          <c:order val="1"/>
          <c:tx>
            <c:strRef>
              <c:f>Spring!$Q$1</c:f>
              <c:strCache>
                <c:ptCount val="1"/>
                <c:pt idx="0">
                  <c:v>Upstream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314536622732359"/>
                  <c:y val="-0.1291727135642613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Spring!$F$2:$F$167</c:f>
              <c:numCache>
                <c:formatCode>0.00</c:formatCode>
                <c:ptCount val="166"/>
                <c:pt idx="0">
                  <c:v>12.380952380952339</c:v>
                </c:pt>
                <c:pt idx="1">
                  <c:v>9.4736842105262955</c:v>
                </c:pt>
                <c:pt idx="2">
                  <c:v>5.0000000000000044</c:v>
                </c:pt>
                <c:pt idx="3">
                  <c:v>3.999999999999976</c:v>
                </c:pt>
                <c:pt idx="4">
                  <c:v>10.476190476190512</c:v>
                </c:pt>
                <c:pt idx="5">
                  <c:v>9.3333333333332309</c:v>
                </c:pt>
                <c:pt idx="6">
                  <c:v>9.6551724137929966</c:v>
                </c:pt>
                <c:pt idx="7">
                  <c:v>3.9999999999999298</c:v>
                </c:pt>
                <c:pt idx="8">
                  <c:v>1.4999999999999736</c:v>
                </c:pt>
                <c:pt idx="9">
                  <c:v>5.5000000000000879</c:v>
                </c:pt>
                <c:pt idx="10">
                  <c:v>23.157894736842042</c:v>
                </c:pt>
                <c:pt idx="11">
                  <c:v>15.000000000000014</c:v>
                </c:pt>
                <c:pt idx="12">
                  <c:v>8.9473684210526692</c:v>
                </c:pt>
                <c:pt idx="13">
                  <c:v>9.4999999999999254</c:v>
                </c:pt>
                <c:pt idx="14">
                  <c:v>4.2857142857143424</c:v>
                </c:pt>
                <c:pt idx="16">
                  <c:v>23.000000000000103</c:v>
                </c:pt>
                <c:pt idx="17">
                  <c:v>15.000000000000014</c:v>
                </c:pt>
                <c:pt idx="18">
                  <c:v>9.0909090909090988</c:v>
                </c:pt>
                <c:pt idx="19">
                  <c:v>7.5000000000000071</c:v>
                </c:pt>
                <c:pt idx="20">
                  <c:v>4.3750000000000382</c:v>
                </c:pt>
                <c:pt idx="22">
                  <c:v>5.6249999999999005</c:v>
                </c:pt>
                <c:pt idx="23">
                  <c:v>6.6666666666666723</c:v>
                </c:pt>
                <c:pt idx="27">
                  <c:v>10.344827586206906</c:v>
                </c:pt>
                <c:pt idx="28">
                  <c:v>5.3333333333333011</c:v>
                </c:pt>
                <c:pt idx="29">
                  <c:v>6.4285714285715132</c:v>
                </c:pt>
                <c:pt idx="30">
                  <c:v>6.4285714285713151</c:v>
                </c:pt>
                <c:pt idx="31">
                  <c:v>14.193548387096822</c:v>
                </c:pt>
                <c:pt idx="32">
                  <c:v>14.736842105263287</c:v>
                </c:pt>
                <c:pt idx="33">
                  <c:v>18.947368421052882</c:v>
                </c:pt>
                <c:pt idx="34">
                  <c:v>26.086956521739157</c:v>
                </c:pt>
                <c:pt idx="35">
                  <c:v>7.2727272727274812</c:v>
                </c:pt>
                <c:pt idx="37">
                  <c:v>5.3333333333333011</c:v>
                </c:pt>
                <c:pt idx="38">
                  <c:v>5.0000000000000444</c:v>
                </c:pt>
                <c:pt idx="40">
                  <c:v>22.012578616352222</c:v>
                </c:pt>
                <c:pt idx="41">
                  <c:v>12.142857142857194</c:v>
                </c:pt>
                <c:pt idx="42">
                  <c:v>10.666666666666602</c:v>
                </c:pt>
                <c:pt idx="43">
                  <c:v>5.2941176470588935</c:v>
                </c:pt>
                <c:pt idx="44">
                  <c:v>4.1176470588235654</c:v>
                </c:pt>
                <c:pt idx="45">
                  <c:v>8.1250000000001457</c:v>
                </c:pt>
                <c:pt idx="46">
                  <c:v>6.8750000000001101</c:v>
                </c:pt>
                <c:pt idx="47">
                  <c:v>4.8275862068965933</c:v>
                </c:pt>
                <c:pt idx="48">
                  <c:v>2.3529411764706558</c:v>
                </c:pt>
                <c:pt idx="49">
                  <c:v>5.3333333333333011</c:v>
                </c:pt>
                <c:pt idx="50">
                  <c:v>5.2941176470587292</c:v>
                </c:pt>
                <c:pt idx="51">
                  <c:v>3.2258064516129061</c:v>
                </c:pt>
                <c:pt idx="52">
                  <c:v>0</c:v>
                </c:pt>
                <c:pt idx="53">
                  <c:v>3.3333333333333361</c:v>
                </c:pt>
                <c:pt idx="54">
                  <c:v>5.3333333333333011</c:v>
                </c:pt>
                <c:pt idx="55">
                  <c:v>12.666666666666567</c:v>
                </c:pt>
                <c:pt idx="56">
                  <c:v>10.666666666666787</c:v>
                </c:pt>
                <c:pt idx="57">
                  <c:v>7.8571428571427848</c:v>
                </c:pt>
                <c:pt idx="58">
                  <c:v>8.6666666666666377</c:v>
                </c:pt>
                <c:pt idx="59">
                  <c:v>9.3750000000000089</c:v>
                </c:pt>
                <c:pt idx="60">
                  <c:v>41.999999999999993</c:v>
                </c:pt>
                <c:pt idx="61">
                  <c:v>17.419354838709729</c:v>
                </c:pt>
                <c:pt idx="62">
                  <c:v>6.6666666666666723</c:v>
                </c:pt>
                <c:pt idx="63">
                  <c:v>2.5000000000000715</c:v>
                </c:pt>
                <c:pt idx="64">
                  <c:v>6.000000000000079</c:v>
                </c:pt>
                <c:pt idx="65">
                  <c:v>22.142857142857082</c:v>
                </c:pt>
                <c:pt idx="66">
                  <c:v>10.000000000000009</c:v>
                </c:pt>
                <c:pt idx="67">
                  <c:v>6.4285714285713151</c:v>
                </c:pt>
                <c:pt idx="68">
                  <c:v>18.000000000000053</c:v>
                </c:pt>
                <c:pt idx="69">
                  <c:v>9.3333333333334156</c:v>
                </c:pt>
                <c:pt idx="70">
                  <c:v>5.7142857142856798</c:v>
                </c:pt>
                <c:pt idx="71">
                  <c:v>2.8571428571429389</c:v>
                </c:pt>
                <c:pt idx="72">
                  <c:v>20.666666666666611</c:v>
                </c:pt>
                <c:pt idx="74">
                  <c:v>11.87500000000008</c:v>
                </c:pt>
                <c:pt idx="76">
                  <c:v>2.8571428571429389</c:v>
                </c:pt>
                <c:pt idx="78">
                  <c:v>4.6666666666667078</c:v>
                </c:pt>
                <c:pt idx="79">
                  <c:v>8.7500000000000764</c:v>
                </c:pt>
                <c:pt idx="80">
                  <c:v>9.3333333333334156</c:v>
                </c:pt>
                <c:pt idx="81">
                  <c:v>7.1428571428571495</c:v>
                </c:pt>
                <c:pt idx="82">
                  <c:v>16.000000000000043</c:v>
                </c:pt>
                <c:pt idx="83">
                  <c:v>0.49999999999994493</c:v>
                </c:pt>
                <c:pt idx="84">
                  <c:v>6.3157894736842453</c:v>
                </c:pt>
                <c:pt idx="86">
                  <c:v>10.000000000000066</c:v>
                </c:pt>
                <c:pt idx="87">
                  <c:v>6.8181818181816984</c:v>
                </c:pt>
                <c:pt idx="88">
                  <c:v>21.499999999999993</c:v>
                </c:pt>
                <c:pt idx="89">
                  <c:v>11.05263157894732</c:v>
                </c:pt>
                <c:pt idx="90">
                  <c:v>17.999999999999961</c:v>
                </c:pt>
                <c:pt idx="91">
                  <c:v>6.4999999999999778</c:v>
                </c:pt>
                <c:pt idx="92">
                  <c:v>7.999999999999952</c:v>
                </c:pt>
                <c:pt idx="93">
                  <c:v>11.999999999999789</c:v>
                </c:pt>
                <c:pt idx="94">
                  <c:v>5.9999999999998943</c:v>
                </c:pt>
                <c:pt idx="95">
                  <c:v>8.888888888888836</c:v>
                </c:pt>
                <c:pt idx="96">
                  <c:v>12.222222222222108</c:v>
                </c:pt>
                <c:pt idx="97">
                  <c:v>6.8750000000001101</c:v>
                </c:pt>
                <c:pt idx="98">
                  <c:v>4.6666666666667078</c:v>
                </c:pt>
                <c:pt idx="99">
                  <c:v>5.3333333333333011</c:v>
                </c:pt>
                <c:pt idx="100">
                  <c:v>6.000000000000079</c:v>
                </c:pt>
                <c:pt idx="101">
                  <c:v>17.857142857142676</c:v>
                </c:pt>
                <c:pt idx="102">
                  <c:v>3.9999999999999298</c:v>
                </c:pt>
                <c:pt idx="103">
                  <c:v>6.6666666666666723</c:v>
                </c:pt>
                <c:pt idx="104">
                  <c:v>5.5172413793103114</c:v>
                </c:pt>
                <c:pt idx="105">
                  <c:v>5.3333333333334858</c:v>
                </c:pt>
                <c:pt idx="106">
                  <c:v>8.0000000000000444</c:v>
                </c:pt>
                <c:pt idx="107">
                  <c:v>7.3333333333334512</c:v>
                </c:pt>
                <c:pt idx="109">
                  <c:v>11.249999999999975</c:v>
                </c:pt>
                <c:pt idx="110">
                  <c:v>5.1612903225806139</c:v>
                </c:pt>
                <c:pt idx="111">
                  <c:v>8.6666666666666377</c:v>
                </c:pt>
                <c:pt idx="112">
                  <c:v>8.5714285714286191</c:v>
                </c:pt>
                <c:pt idx="114">
                  <c:v>15.000000000000083</c:v>
                </c:pt>
                <c:pt idx="115">
                  <c:v>7.1428571428571495</c:v>
                </c:pt>
                <c:pt idx="116">
                  <c:v>4.1176470588235654</c:v>
                </c:pt>
                <c:pt idx="117">
                  <c:v>7.1428571428571495</c:v>
                </c:pt>
                <c:pt idx="119">
                  <c:v>5.5172413793103114</c:v>
                </c:pt>
                <c:pt idx="120">
                  <c:v>11.33333333333338</c:v>
                </c:pt>
                <c:pt idx="121">
                  <c:v>6.6666666666666723</c:v>
                </c:pt>
                <c:pt idx="122">
                  <c:v>5.2941176470588935</c:v>
                </c:pt>
                <c:pt idx="124">
                  <c:v>7.5000000000000417</c:v>
                </c:pt>
                <c:pt idx="126">
                  <c:v>8.1249999999999734</c:v>
                </c:pt>
                <c:pt idx="127">
                  <c:v>11.612903225806427</c:v>
                </c:pt>
                <c:pt idx="128">
                  <c:v>8.1249999999999734</c:v>
                </c:pt>
                <c:pt idx="129">
                  <c:v>6.6666666666666723</c:v>
                </c:pt>
                <c:pt idx="130">
                  <c:v>3.7499999999999338</c:v>
                </c:pt>
                <c:pt idx="131">
                  <c:v>11.249999999999975</c:v>
                </c:pt>
                <c:pt idx="132">
                  <c:v>4.6666666666665231</c:v>
                </c:pt>
                <c:pt idx="133">
                  <c:v>14.545454545454458</c:v>
                </c:pt>
                <c:pt idx="134">
                  <c:v>9.2857142857142527</c:v>
                </c:pt>
                <c:pt idx="135">
                  <c:v>6.8750000000001101</c:v>
                </c:pt>
                <c:pt idx="136">
                  <c:v>2.5000000000000715</c:v>
                </c:pt>
                <c:pt idx="137">
                  <c:v>12.666666666666751</c:v>
                </c:pt>
                <c:pt idx="138">
                  <c:v>45.000000000000007</c:v>
                </c:pt>
                <c:pt idx="139">
                  <c:v>13.99999999999994</c:v>
                </c:pt>
                <c:pt idx="140">
                  <c:v>10.000000000000009</c:v>
                </c:pt>
                <c:pt idx="141">
                  <c:v>8.1249999999999734</c:v>
                </c:pt>
                <c:pt idx="142">
                  <c:v>13.529411764705863</c:v>
                </c:pt>
                <c:pt idx="143">
                  <c:v>20.000000000000018</c:v>
                </c:pt>
                <c:pt idx="144">
                  <c:v>9.9999999999999396</c:v>
                </c:pt>
                <c:pt idx="145">
                  <c:v>0.62500000000010458</c:v>
                </c:pt>
                <c:pt idx="146">
                  <c:v>4.3750000000000382</c:v>
                </c:pt>
                <c:pt idx="147">
                  <c:v>3.3333333333333361</c:v>
                </c:pt>
                <c:pt idx="148">
                  <c:v>5.0000000000000444</c:v>
                </c:pt>
                <c:pt idx="149">
                  <c:v>10.666666666666602</c:v>
                </c:pt>
                <c:pt idx="150">
                  <c:v>24.374999999999918</c:v>
                </c:pt>
                <c:pt idx="153">
                  <c:v>5.6249999999999005</c:v>
                </c:pt>
                <c:pt idx="156">
                  <c:v>1.2903225806451981</c:v>
                </c:pt>
                <c:pt idx="158">
                  <c:v>0.71428571428583387</c:v>
                </c:pt>
                <c:pt idx="159">
                  <c:v>5.7142857142856798</c:v>
                </c:pt>
                <c:pt idx="161">
                  <c:v>2.142857142857105</c:v>
                </c:pt>
                <c:pt idx="163">
                  <c:v>0.66666666666677832</c:v>
                </c:pt>
              </c:numCache>
            </c:numRef>
          </c:xVal>
          <c:yVal>
            <c:numRef>
              <c:f>Spring!$Q$2:$Q$167</c:f>
              <c:numCache>
                <c:formatCode>0.000</c:formatCode>
                <c:ptCount val="166"/>
                <c:pt idx="0">
                  <c:v>3.9399494811242901</c:v>
                </c:pt>
                <c:pt idx="1">
                  <c:v>3.9404717424825901</c:v>
                </c:pt>
                <c:pt idx="2">
                  <c:v>3.9409940038408902</c:v>
                </c:pt>
                <c:pt idx="3">
                  <c:v>3.9415162651991902</c:v>
                </c:pt>
                <c:pt idx="4">
                  <c:v>3.9430830492740898</c:v>
                </c:pt>
                <c:pt idx="5">
                  <c:v>3.9436053106323898</c:v>
                </c:pt>
                <c:pt idx="6">
                  <c:v>3.9446498333489801</c:v>
                </c:pt>
                <c:pt idx="7">
                  <c:v>3.9451720947072801</c:v>
                </c:pt>
                <c:pt idx="8">
                  <c:v>3.9456943560655802</c:v>
                </c:pt>
                <c:pt idx="9">
                  <c:v>4.8290856666666597</c:v>
                </c:pt>
                <c:pt idx="11">
                  <c:v>17.909116588666599</c:v>
                </c:pt>
                <c:pt idx="12">
                  <c:v>12.5026276</c:v>
                </c:pt>
                <c:pt idx="13">
                  <c:v>12.258317999999999</c:v>
                </c:pt>
                <c:pt idx="14">
                  <c:v>12.736497399999999</c:v>
                </c:pt>
                <c:pt idx="15">
                  <c:v>11.8006866866666</c:v>
                </c:pt>
                <c:pt idx="16">
                  <c:v>25.906272033333298</c:v>
                </c:pt>
                <c:pt idx="17">
                  <c:v>15.555403466666601</c:v>
                </c:pt>
                <c:pt idx="18">
                  <c:v>12.1499004</c:v>
                </c:pt>
                <c:pt idx="19">
                  <c:v>11.5306084666666</c:v>
                </c:pt>
                <c:pt idx="20">
                  <c:v>10.979372994666599</c:v>
                </c:pt>
                <c:pt idx="21">
                  <c:v>10.915366333333299</c:v>
                </c:pt>
                <c:pt idx="22">
                  <c:v>11.4034091866666</c:v>
                </c:pt>
                <c:pt idx="23">
                  <c:v>10.587694328</c:v>
                </c:pt>
                <c:pt idx="24">
                  <c:v>8.1144903866666596</c:v>
                </c:pt>
                <c:pt idx="25">
                  <c:v>8.4315058493333304</c:v>
                </c:pt>
                <c:pt idx="26">
                  <c:v>10.6954302066666</c:v>
                </c:pt>
                <c:pt idx="27">
                  <c:v>11.7693315333333</c:v>
                </c:pt>
                <c:pt idx="28">
                  <c:v>7.3864227533333304</c:v>
                </c:pt>
                <c:pt idx="29">
                  <c:v>8.16305281333333</c:v>
                </c:pt>
                <c:pt idx="31">
                  <c:v>7.72098306</c:v>
                </c:pt>
                <c:pt idx="32">
                  <c:v>12.273739984000001</c:v>
                </c:pt>
                <c:pt idx="33">
                  <c:v>9.9380790066666602</c:v>
                </c:pt>
                <c:pt idx="34">
                  <c:v>8.2618505333333303</c:v>
                </c:pt>
                <c:pt idx="35">
                  <c:v>9.0178020266666596</c:v>
                </c:pt>
                <c:pt idx="36">
                  <c:v>9.0383009999999899</c:v>
                </c:pt>
                <c:pt idx="37">
                  <c:v>9.2480751333333302</c:v>
                </c:pt>
                <c:pt idx="38">
                  <c:v>7.38463257333333</c:v>
                </c:pt>
                <c:pt idx="39">
                  <c:v>5.6839421333333302</c:v>
                </c:pt>
                <c:pt idx="41">
                  <c:v>7.6434516266666597</c:v>
                </c:pt>
                <c:pt idx="42">
                  <c:v>6.1651286666666598</c:v>
                </c:pt>
                <c:pt idx="43">
                  <c:v>5.42235642666666</c:v>
                </c:pt>
                <c:pt idx="44">
                  <c:v>6.7731638133333298</c:v>
                </c:pt>
                <c:pt idx="45">
                  <c:v>9.6546325599999996</c:v>
                </c:pt>
                <c:pt idx="46">
                  <c:v>8.6037493866666601</c:v>
                </c:pt>
                <c:pt idx="47">
                  <c:v>7.5119917466666601</c:v>
                </c:pt>
                <c:pt idx="48">
                  <c:v>9.6479184666666598</c:v>
                </c:pt>
                <c:pt idx="49">
                  <c:v>5.7798811900000002</c:v>
                </c:pt>
                <c:pt idx="50">
                  <c:v>8.0249351333333294</c:v>
                </c:pt>
                <c:pt idx="51">
                  <c:v>6.3661506000000001</c:v>
                </c:pt>
                <c:pt idx="52">
                  <c:v>5.5522387866666598</c:v>
                </c:pt>
                <c:pt idx="53">
                  <c:v>5.6392486266666602</c:v>
                </c:pt>
                <c:pt idx="54">
                  <c:v>5.2737517986666598</c:v>
                </c:pt>
                <c:pt idx="55">
                  <c:v>12.890712933333299</c:v>
                </c:pt>
                <c:pt idx="56">
                  <c:v>9.0212937866666607</c:v>
                </c:pt>
                <c:pt idx="57">
                  <c:v>9.7976981146666606</c:v>
                </c:pt>
                <c:pt idx="58">
                  <c:v>7.9770290266666599</c:v>
                </c:pt>
                <c:pt idx="59">
                  <c:v>8.7500032893333302</c:v>
                </c:pt>
                <c:pt idx="60">
                  <c:v>38.639293733333297</c:v>
                </c:pt>
                <c:pt idx="61">
                  <c:v>21.475960133333299</c:v>
                </c:pt>
                <c:pt idx="62">
                  <c:v>12.734633816800001</c:v>
                </c:pt>
                <c:pt idx="63">
                  <c:v>8.6821808133333302</c:v>
                </c:pt>
                <c:pt idx="64">
                  <c:v>16.170986133333301</c:v>
                </c:pt>
                <c:pt idx="66">
                  <c:v>12.641193039999999</c:v>
                </c:pt>
                <c:pt idx="67">
                  <c:v>10.0303982666666</c:v>
                </c:pt>
                <c:pt idx="69">
                  <c:v>9.1829196</c:v>
                </c:pt>
                <c:pt idx="70">
                  <c:v>10.3782316933333</c:v>
                </c:pt>
                <c:pt idx="71">
                  <c:v>9.8354738279999996</c:v>
                </c:pt>
                <c:pt idx="72">
                  <c:v>22.228124099999999</c:v>
                </c:pt>
                <c:pt idx="73">
                  <c:v>14.96945008</c:v>
                </c:pt>
                <c:pt idx="74">
                  <c:v>12.378681706666599</c:v>
                </c:pt>
                <c:pt idx="75">
                  <c:v>10.541740973333299</c:v>
                </c:pt>
                <c:pt idx="76">
                  <c:v>8.0138589866666603</c:v>
                </c:pt>
                <c:pt idx="77">
                  <c:v>8.3940114666666599</c:v>
                </c:pt>
                <c:pt idx="78">
                  <c:v>12.378681706666599</c:v>
                </c:pt>
                <c:pt idx="79">
                  <c:v>16.9080908</c:v>
                </c:pt>
                <c:pt idx="80">
                  <c:v>9.3933083066666594</c:v>
                </c:pt>
                <c:pt idx="81">
                  <c:v>7.5067932800000001</c:v>
                </c:pt>
                <c:pt idx="83">
                  <c:v>17.909116588666599</c:v>
                </c:pt>
                <c:pt idx="84">
                  <c:v>12.5026276</c:v>
                </c:pt>
                <c:pt idx="85">
                  <c:v>12.258317999999999</c:v>
                </c:pt>
                <c:pt idx="86">
                  <c:v>12.736497399999999</c:v>
                </c:pt>
                <c:pt idx="87">
                  <c:v>11.8006866866666</c:v>
                </c:pt>
                <c:pt idx="88">
                  <c:v>25.906272033333298</c:v>
                </c:pt>
                <c:pt idx="89">
                  <c:v>15.555403466666601</c:v>
                </c:pt>
                <c:pt idx="90">
                  <c:v>12.1499004</c:v>
                </c:pt>
                <c:pt idx="91">
                  <c:v>11.5306084666666</c:v>
                </c:pt>
                <c:pt idx="92">
                  <c:v>10.979372994666599</c:v>
                </c:pt>
                <c:pt idx="93">
                  <c:v>15.365095666666599</c:v>
                </c:pt>
                <c:pt idx="94">
                  <c:v>11.7061532666666</c:v>
                </c:pt>
                <c:pt idx="95">
                  <c:v>10.3695922</c:v>
                </c:pt>
                <c:pt idx="96">
                  <c:v>10.998456733333301</c:v>
                </c:pt>
                <c:pt idx="97">
                  <c:v>11.4034091866666</c:v>
                </c:pt>
                <c:pt idx="98">
                  <c:v>10.587694328</c:v>
                </c:pt>
                <c:pt idx="99">
                  <c:v>8.4315058493333304</c:v>
                </c:pt>
                <c:pt idx="100">
                  <c:v>10.6954302066666</c:v>
                </c:pt>
                <c:pt idx="101">
                  <c:v>11.028182213333301</c:v>
                </c:pt>
                <c:pt idx="102">
                  <c:v>8.2315103599999997</c:v>
                </c:pt>
                <c:pt idx="103">
                  <c:v>7.7667874933333296</c:v>
                </c:pt>
                <c:pt idx="104">
                  <c:v>7.4946411733333296</c:v>
                </c:pt>
                <c:pt idx="105">
                  <c:v>9.6661808800000006</c:v>
                </c:pt>
                <c:pt idx="106">
                  <c:v>9.1230036933333292</c:v>
                </c:pt>
                <c:pt idx="107">
                  <c:v>7.9987784666666597</c:v>
                </c:pt>
                <c:pt idx="108">
                  <c:v>7.7637820933333304</c:v>
                </c:pt>
                <c:pt idx="109">
                  <c:v>11.7693315333333</c:v>
                </c:pt>
                <c:pt idx="110">
                  <c:v>7.3864227533333304</c:v>
                </c:pt>
                <c:pt idx="111">
                  <c:v>8.16305281333333</c:v>
                </c:pt>
                <c:pt idx="113">
                  <c:v>7.72098306</c:v>
                </c:pt>
                <c:pt idx="114">
                  <c:v>12.273739984000001</c:v>
                </c:pt>
                <c:pt idx="115">
                  <c:v>9.9380790066666602</c:v>
                </c:pt>
                <c:pt idx="116">
                  <c:v>8.2618505333333303</c:v>
                </c:pt>
                <c:pt idx="117">
                  <c:v>9.0383009999999899</c:v>
                </c:pt>
                <c:pt idx="118">
                  <c:v>9.2480751333333302</c:v>
                </c:pt>
                <c:pt idx="120">
                  <c:v>7.6434516266666597</c:v>
                </c:pt>
                <c:pt idx="121">
                  <c:v>6.1651286666666598</c:v>
                </c:pt>
                <c:pt idx="122">
                  <c:v>5.42235642666666</c:v>
                </c:pt>
                <c:pt idx="123">
                  <c:v>6.7731638133333298</c:v>
                </c:pt>
                <c:pt idx="124">
                  <c:v>9.6546325599999996</c:v>
                </c:pt>
                <c:pt idx="125">
                  <c:v>8.6037493866666601</c:v>
                </c:pt>
                <c:pt idx="126">
                  <c:v>7.5119917466666601</c:v>
                </c:pt>
                <c:pt idx="127">
                  <c:v>9.6479184666666598</c:v>
                </c:pt>
                <c:pt idx="128">
                  <c:v>5.7798811900000002</c:v>
                </c:pt>
                <c:pt idx="129">
                  <c:v>8.0249351333333294</c:v>
                </c:pt>
                <c:pt idx="130">
                  <c:v>6.3661506000000001</c:v>
                </c:pt>
                <c:pt idx="131">
                  <c:v>5.5522387866666598</c:v>
                </c:pt>
                <c:pt idx="132">
                  <c:v>5.2737517986666598</c:v>
                </c:pt>
                <c:pt idx="133">
                  <c:v>12.890712933333299</c:v>
                </c:pt>
                <c:pt idx="134">
                  <c:v>9.0212937866666607</c:v>
                </c:pt>
                <c:pt idx="135">
                  <c:v>9.7976981146666606</c:v>
                </c:pt>
                <c:pt idx="136">
                  <c:v>7.9770290266666599</c:v>
                </c:pt>
                <c:pt idx="137">
                  <c:v>8.7500032893333302</c:v>
                </c:pt>
                <c:pt idx="138">
                  <c:v>38.639293733333297</c:v>
                </c:pt>
                <c:pt idx="139">
                  <c:v>21.475960133333299</c:v>
                </c:pt>
                <c:pt idx="140">
                  <c:v>12.734633816800001</c:v>
                </c:pt>
                <c:pt idx="141">
                  <c:v>8.6821808133333302</c:v>
                </c:pt>
                <c:pt idx="142">
                  <c:v>16.170986133333301</c:v>
                </c:pt>
                <c:pt idx="144">
                  <c:v>12.641193039999999</c:v>
                </c:pt>
                <c:pt idx="145">
                  <c:v>10.0303982666666</c:v>
                </c:pt>
                <c:pt idx="147">
                  <c:v>9.1829196</c:v>
                </c:pt>
                <c:pt idx="148">
                  <c:v>10.3782316933333</c:v>
                </c:pt>
                <c:pt idx="149">
                  <c:v>9.8354738279999996</c:v>
                </c:pt>
                <c:pt idx="150">
                  <c:v>22.228124099999999</c:v>
                </c:pt>
                <c:pt idx="151">
                  <c:v>14.96945008</c:v>
                </c:pt>
                <c:pt idx="152">
                  <c:v>12.378681706666599</c:v>
                </c:pt>
                <c:pt idx="153">
                  <c:v>10.541740973333299</c:v>
                </c:pt>
                <c:pt idx="154">
                  <c:v>8.0138589866666603</c:v>
                </c:pt>
                <c:pt idx="155">
                  <c:v>8.3940114666666599</c:v>
                </c:pt>
                <c:pt idx="156">
                  <c:v>9.5848903199999906</c:v>
                </c:pt>
                <c:pt idx="157">
                  <c:v>16.9080908</c:v>
                </c:pt>
                <c:pt idx="158">
                  <c:v>13.3637106666666</c:v>
                </c:pt>
                <c:pt idx="159">
                  <c:v>9.3933083066666594</c:v>
                </c:pt>
                <c:pt idx="160">
                  <c:v>7.5067932800000001</c:v>
                </c:pt>
                <c:pt idx="161">
                  <c:v>5.4897123906666598</c:v>
                </c:pt>
                <c:pt idx="162">
                  <c:v>8.2732197266666603</c:v>
                </c:pt>
                <c:pt idx="163">
                  <c:v>6.5764189999999996</c:v>
                </c:pt>
                <c:pt idx="164">
                  <c:v>7.3791796666666603</c:v>
                </c:pt>
                <c:pt idx="165">
                  <c:v>9.8172653466666606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AC-45F1-872A-D52A5244EF04}"/>
            </c:ext>
          </c:extLst>
        </c:ser>
        <c:ser>
          <c:idx val="2"/>
          <c:order val="2"/>
          <c:tx>
            <c:strRef>
              <c:f>Spring!$M$1</c:f>
              <c:strCache>
                <c:ptCount val="1"/>
                <c:pt idx="0">
                  <c:v>Respective Reach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0434687231490035"/>
                  <c:y val="-5.4244080829649106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Spring!$F$2:$F$167</c:f>
              <c:numCache>
                <c:formatCode>0.00</c:formatCode>
                <c:ptCount val="166"/>
                <c:pt idx="0">
                  <c:v>12.380952380952339</c:v>
                </c:pt>
                <c:pt idx="1">
                  <c:v>9.4736842105262955</c:v>
                </c:pt>
                <c:pt idx="2">
                  <c:v>5.0000000000000044</c:v>
                </c:pt>
                <c:pt idx="3">
                  <c:v>3.999999999999976</c:v>
                </c:pt>
                <c:pt idx="4">
                  <c:v>10.476190476190512</c:v>
                </c:pt>
                <c:pt idx="5">
                  <c:v>9.3333333333332309</c:v>
                </c:pt>
                <c:pt idx="6">
                  <c:v>9.6551724137929966</c:v>
                </c:pt>
                <c:pt idx="7">
                  <c:v>3.9999999999999298</c:v>
                </c:pt>
                <c:pt idx="8">
                  <c:v>1.4999999999999736</c:v>
                </c:pt>
                <c:pt idx="9">
                  <c:v>5.5000000000000879</c:v>
                </c:pt>
                <c:pt idx="10">
                  <c:v>23.157894736842042</c:v>
                </c:pt>
                <c:pt idx="11">
                  <c:v>15.000000000000014</c:v>
                </c:pt>
                <c:pt idx="12">
                  <c:v>8.9473684210526692</c:v>
                </c:pt>
                <c:pt idx="13">
                  <c:v>9.4999999999999254</c:v>
                </c:pt>
                <c:pt idx="14">
                  <c:v>4.2857142857143424</c:v>
                </c:pt>
                <c:pt idx="16">
                  <c:v>23.000000000000103</c:v>
                </c:pt>
                <c:pt idx="17">
                  <c:v>15.000000000000014</c:v>
                </c:pt>
                <c:pt idx="18">
                  <c:v>9.0909090909090988</c:v>
                </c:pt>
                <c:pt idx="19">
                  <c:v>7.5000000000000071</c:v>
                </c:pt>
                <c:pt idx="20">
                  <c:v>4.3750000000000382</c:v>
                </c:pt>
                <c:pt idx="22">
                  <c:v>5.6249999999999005</c:v>
                </c:pt>
                <c:pt idx="23">
                  <c:v>6.6666666666666723</c:v>
                </c:pt>
                <c:pt idx="27">
                  <c:v>10.344827586206906</c:v>
                </c:pt>
                <c:pt idx="28">
                  <c:v>5.3333333333333011</c:v>
                </c:pt>
                <c:pt idx="29">
                  <c:v>6.4285714285715132</c:v>
                </c:pt>
                <c:pt idx="30">
                  <c:v>6.4285714285713151</c:v>
                </c:pt>
                <c:pt idx="31">
                  <c:v>14.193548387096822</c:v>
                </c:pt>
                <c:pt idx="32">
                  <c:v>14.736842105263287</c:v>
                </c:pt>
                <c:pt idx="33">
                  <c:v>18.947368421052882</c:v>
                </c:pt>
                <c:pt idx="34">
                  <c:v>26.086956521739157</c:v>
                </c:pt>
                <c:pt idx="35">
                  <c:v>7.2727272727274812</c:v>
                </c:pt>
                <c:pt idx="37">
                  <c:v>5.3333333333333011</c:v>
                </c:pt>
                <c:pt idx="38">
                  <c:v>5.0000000000000444</c:v>
                </c:pt>
                <c:pt idx="40">
                  <c:v>22.012578616352222</c:v>
                </c:pt>
                <c:pt idx="41">
                  <c:v>12.142857142857194</c:v>
                </c:pt>
                <c:pt idx="42">
                  <c:v>10.666666666666602</c:v>
                </c:pt>
                <c:pt idx="43">
                  <c:v>5.2941176470588935</c:v>
                </c:pt>
                <c:pt idx="44">
                  <c:v>4.1176470588235654</c:v>
                </c:pt>
                <c:pt idx="45">
                  <c:v>8.1250000000001457</c:v>
                </c:pt>
                <c:pt idx="46">
                  <c:v>6.8750000000001101</c:v>
                </c:pt>
                <c:pt idx="47">
                  <c:v>4.8275862068965933</c:v>
                </c:pt>
                <c:pt idx="48">
                  <c:v>2.3529411764706558</c:v>
                </c:pt>
                <c:pt idx="49">
                  <c:v>5.3333333333333011</c:v>
                </c:pt>
                <c:pt idx="50">
                  <c:v>5.2941176470587292</c:v>
                </c:pt>
                <c:pt idx="51">
                  <c:v>3.2258064516129061</c:v>
                </c:pt>
                <c:pt idx="52">
                  <c:v>0</c:v>
                </c:pt>
                <c:pt idx="53">
                  <c:v>3.3333333333333361</c:v>
                </c:pt>
                <c:pt idx="54">
                  <c:v>5.3333333333333011</c:v>
                </c:pt>
                <c:pt idx="55">
                  <c:v>12.666666666666567</c:v>
                </c:pt>
                <c:pt idx="56">
                  <c:v>10.666666666666787</c:v>
                </c:pt>
                <c:pt idx="57">
                  <c:v>7.8571428571427848</c:v>
                </c:pt>
                <c:pt idx="58">
                  <c:v>8.6666666666666377</c:v>
                </c:pt>
                <c:pt idx="59">
                  <c:v>9.3750000000000089</c:v>
                </c:pt>
                <c:pt idx="60">
                  <c:v>41.999999999999993</c:v>
                </c:pt>
                <c:pt idx="61">
                  <c:v>17.419354838709729</c:v>
                </c:pt>
                <c:pt idx="62">
                  <c:v>6.6666666666666723</c:v>
                </c:pt>
                <c:pt idx="63">
                  <c:v>2.5000000000000715</c:v>
                </c:pt>
                <c:pt idx="64">
                  <c:v>6.000000000000079</c:v>
                </c:pt>
                <c:pt idx="65">
                  <c:v>22.142857142857082</c:v>
                </c:pt>
                <c:pt idx="66">
                  <c:v>10.000000000000009</c:v>
                </c:pt>
                <c:pt idx="67">
                  <c:v>6.4285714285713151</c:v>
                </c:pt>
                <c:pt idx="68">
                  <c:v>18.000000000000053</c:v>
                </c:pt>
                <c:pt idx="69">
                  <c:v>9.3333333333334156</c:v>
                </c:pt>
                <c:pt idx="70">
                  <c:v>5.7142857142856798</c:v>
                </c:pt>
                <c:pt idx="71">
                  <c:v>2.8571428571429389</c:v>
                </c:pt>
                <c:pt idx="72">
                  <c:v>20.666666666666611</c:v>
                </c:pt>
                <c:pt idx="74">
                  <c:v>11.87500000000008</c:v>
                </c:pt>
                <c:pt idx="76">
                  <c:v>2.8571428571429389</c:v>
                </c:pt>
                <c:pt idx="78">
                  <c:v>4.6666666666667078</c:v>
                </c:pt>
                <c:pt idx="79">
                  <c:v>8.7500000000000764</c:v>
                </c:pt>
                <c:pt idx="80">
                  <c:v>9.3333333333334156</c:v>
                </c:pt>
                <c:pt idx="81">
                  <c:v>7.1428571428571495</c:v>
                </c:pt>
                <c:pt idx="82">
                  <c:v>16.000000000000043</c:v>
                </c:pt>
                <c:pt idx="83">
                  <c:v>0.49999999999994493</c:v>
                </c:pt>
                <c:pt idx="84">
                  <c:v>6.3157894736842453</c:v>
                </c:pt>
                <c:pt idx="86">
                  <c:v>10.000000000000066</c:v>
                </c:pt>
                <c:pt idx="87">
                  <c:v>6.8181818181816984</c:v>
                </c:pt>
                <c:pt idx="88">
                  <c:v>21.499999999999993</c:v>
                </c:pt>
                <c:pt idx="89">
                  <c:v>11.05263157894732</c:v>
                </c:pt>
                <c:pt idx="90">
                  <c:v>17.999999999999961</c:v>
                </c:pt>
                <c:pt idx="91">
                  <c:v>6.4999999999999778</c:v>
                </c:pt>
                <c:pt idx="92">
                  <c:v>7.999999999999952</c:v>
                </c:pt>
                <c:pt idx="93">
                  <c:v>11.999999999999789</c:v>
                </c:pt>
                <c:pt idx="94">
                  <c:v>5.9999999999998943</c:v>
                </c:pt>
                <c:pt idx="95">
                  <c:v>8.888888888888836</c:v>
                </c:pt>
                <c:pt idx="96">
                  <c:v>12.222222222222108</c:v>
                </c:pt>
                <c:pt idx="97">
                  <c:v>6.8750000000001101</c:v>
                </c:pt>
                <c:pt idx="98">
                  <c:v>4.6666666666667078</c:v>
                </c:pt>
                <c:pt idx="99">
                  <c:v>5.3333333333333011</c:v>
                </c:pt>
                <c:pt idx="100">
                  <c:v>6.000000000000079</c:v>
                </c:pt>
                <c:pt idx="101">
                  <c:v>17.857142857142676</c:v>
                </c:pt>
                <c:pt idx="102">
                  <c:v>3.9999999999999298</c:v>
                </c:pt>
                <c:pt idx="103">
                  <c:v>6.6666666666666723</c:v>
                </c:pt>
                <c:pt idx="104">
                  <c:v>5.5172413793103114</c:v>
                </c:pt>
                <c:pt idx="105">
                  <c:v>5.3333333333334858</c:v>
                </c:pt>
                <c:pt idx="106">
                  <c:v>8.0000000000000444</c:v>
                </c:pt>
                <c:pt idx="107">
                  <c:v>7.3333333333334512</c:v>
                </c:pt>
                <c:pt idx="109">
                  <c:v>11.249999999999975</c:v>
                </c:pt>
                <c:pt idx="110">
                  <c:v>5.1612903225806139</c:v>
                </c:pt>
                <c:pt idx="111">
                  <c:v>8.6666666666666377</c:v>
                </c:pt>
                <c:pt idx="112">
                  <c:v>8.5714285714286191</c:v>
                </c:pt>
                <c:pt idx="114">
                  <c:v>15.000000000000083</c:v>
                </c:pt>
                <c:pt idx="115">
                  <c:v>7.1428571428571495</c:v>
                </c:pt>
                <c:pt idx="116">
                  <c:v>4.1176470588235654</c:v>
                </c:pt>
                <c:pt idx="117">
                  <c:v>7.1428571428571495</c:v>
                </c:pt>
                <c:pt idx="119">
                  <c:v>5.5172413793103114</c:v>
                </c:pt>
                <c:pt idx="120">
                  <c:v>11.33333333333338</c:v>
                </c:pt>
                <c:pt idx="121">
                  <c:v>6.6666666666666723</c:v>
                </c:pt>
                <c:pt idx="122">
                  <c:v>5.2941176470588935</c:v>
                </c:pt>
                <c:pt idx="124">
                  <c:v>7.5000000000000417</c:v>
                </c:pt>
                <c:pt idx="126">
                  <c:v>8.1249999999999734</c:v>
                </c:pt>
                <c:pt idx="127">
                  <c:v>11.612903225806427</c:v>
                </c:pt>
                <c:pt idx="128">
                  <c:v>8.1249999999999734</c:v>
                </c:pt>
                <c:pt idx="129">
                  <c:v>6.6666666666666723</c:v>
                </c:pt>
                <c:pt idx="130">
                  <c:v>3.7499999999999338</c:v>
                </c:pt>
                <c:pt idx="131">
                  <c:v>11.249999999999975</c:v>
                </c:pt>
                <c:pt idx="132">
                  <c:v>4.6666666666665231</c:v>
                </c:pt>
                <c:pt idx="133">
                  <c:v>14.545454545454458</c:v>
                </c:pt>
                <c:pt idx="134">
                  <c:v>9.2857142857142527</c:v>
                </c:pt>
                <c:pt idx="135">
                  <c:v>6.8750000000001101</c:v>
                </c:pt>
                <c:pt idx="136">
                  <c:v>2.5000000000000715</c:v>
                </c:pt>
                <c:pt idx="137">
                  <c:v>12.666666666666751</c:v>
                </c:pt>
                <c:pt idx="138">
                  <c:v>45.000000000000007</c:v>
                </c:pt>
                <c:pt idx="139">
                  <c:v>13.99999999999994</c:v>
                </c:pt>
                <c:pt idx="140">
                  <c:v>10.000000000000009</c:v>
                </c:pt>
                <c:pt idx="141">
                  <c:v>8.1249999999999734</c:v>
                </c:pt>
                <c:pt idx="142">
                  <c:v>13.529411764705863</c:v>
                </c:pt>
                <c:pt idx="143">
                  <c:v>20.000000000000018</c:v>
                </c:pt>
                <c:pt idx="144">
                  <c:v>9.9999999999999396</c:v>
                </c:pt>
                <c:pt idx="145">
                  <c:v>0.62500000000010458</c:v>
                </c:pt>
                <c:pt idx="146">
                  <c:v>4.3750000000000382</c:v>
                </c:pt>
                <c:pt idx="147">
                  <c:v>3.3333333333333361</c:v>
                </c:pt>
                <c:pt idx="148">
                  <c:v>5.0000000000000444</c:v>
                </c:pt>
                <c:pt idx="149">
                  <c:v>10.666666666666602</c:v>
                </c:pt>
                <c:pt idx="150">
                  <c:v>24.374999999999918</c:v>
                </c:pt>
                <c:pt idx="153">
                  <c:v>5.6249999999999005</c:v>
                </c:pt>
                <c:pt idx="156">
                  <c:v>1.2903225806451981</c:v>
                </c:pt>
                <c:pt idx="158">
                  <c:v>0.71428571428583387</c:v>
                </c:pt>
                <c:pt idx="159">
                  <c:v>5.7142857142856798</c:v>
                </c:pt>
                <c:pt idx="161">
                  <c:v>2.142857142857105</c:v>
                </c:pt>
                <c:pt idx="163">
                  <c:v>0.66666666666677832</c:v>
                </c:pt>
              </c:numCache>
            </c:numRef>
          </c:xVal>
          <c:yVal>
            <c:numRef>
              <c:f>Spring!$M$2:$M$167</c:f>
              <c:numCache>
                <c:formatCode>0.000</c:formatCode>
                <c:ptCount val="166"/>
                <c:pt idx="0">
                  <c:v>6.3695391092076497</c:v>
                </c:pt>
                <c:pt idx="1">
                  <c:v>6.3686278197342103</c:v>
                </c:pt>
                <c:pt idx="2">
                  <c:v>6.3677165302607701</c:v>
                </c:pt>
                <c:pt idx="3">
                  <c:v>6.3668052407873201</c:v>
                </c:pt>
                <c:pt idx="4">
                  <c:v>6.3640713723669897</c:v>
                </c:pt>
                <c:pt idx="5">
                  <c:v>6.3631600828935397</c:v>
                </c:pt>
                <c:pt idx="6">
                  <c:v>6.3613375039466602</c:v>
                </c:pt>
                <c:pt idx="7">
                  <c:v>6.3604262144732102</c:v>
                </c:pt>
                <c:pt idx="8">
                  <c:v>6.35951492499977</c:v>
                </c:pt>
                <c:pt idx="9">
                  <c:v>5.28249032</c:v>
                </c:pt>
                <c:pt idx="12">
                  <c:v>12.815805599999999</c:v>
                </c:pt>
                <c:pt idx="13">
                  <c:v>12.0457119999999</c:v>
                </c:pt>
                <c:pt idx="14">
                  <c:v>10.67219704</c:v>
                </c:pt>
                <c:pt idx="15">
                  <c:v>12.4510858</c:v>
                </c:pt>
                <c:pt idx="16">
                  <c:v>21.1627592</c:v>
                </c:pt>
                <c:pt idx="17">
                  <c:v>14.5804768</c:v>
                </c:pt>
                <c:pt idx="18">
                  <c:v>12.4211408</c:v>
                </c:pt>
                <c:pt idx="19">
                  <c:v>10.916756999999899</c:v>
                </c:pt>
                <c:pt idx="20">
                  <c:v>12.41495316</c:v>
                </c:pt>
                <c:pt idx="21">
                  <c:v>10.38733716</c:v>
                </c:pt>
                <c:pt idx="22">
                  <c:v>9.4103997199999991</c:v>
                </c:pt>
                <c:pt idx="23">
                  <c:v>8.6639274400000001</c:v>
                </c:pt>
                <c:pt idx="24">
                  <c:v>8.1745655151999994</c:v>
                </c:pt>
                <c:pt idx="25">
                  <c:v>8.8986113000000007</c:v>
                </c:pt>
                <c:pt idx="26">
                  <c:v>8.95110431999999</c:v>
                </c:pt>
                <c:pt idx="27">
                  <c:v>9.3171799199999992</c:v>
                </c:pt>
                <c:pt idx="28">
                  <c:v>9.2401945999999899</c:v>
                </c:pt>
                <c:pt idx="29">
                  <c:v>6.6271815599999897</c:v>
                </c:pt>
                <c:pt idx="30">
                  <c:v>6.83403183999999</c:v>
                </c:pt>
                <c:pt idx="31">
                  <c:v>8.1550506400000007</c:v>
                </c:pt>
                <c:pt idx="32">
                  <c:v>13.7088416</c:v>
                </c:pt>
                <c:pt idx="33">
                  <c:v>10.1428473999999</c:v>
                </c:pt>
                <c:pt idx="34">
                  <c:v>8.9488770800000008</c:v>
                </c:pt>
                <c:pt idx="35">
                  <c:v>8.6484638799999995</c:v>
                </c:pt>
                <c:pt idx="36">
                  <c:v>9.1187322399999999</c:v>
                </c:pt>
                <c:pt idx="37">
                  <c:v>8.1289062039999997</c:v>
                </c:pt>
                <c:pt idx="38">
                  <c:v>7.2309412399999999</c:v>
                </c:pt>
                <c:pt idx="39">
                  <c:v>6.1800801999999999</c:v>
                </c:pt>
                <c:pt idx="40">
                  <c:v>7.1972571599999897</c:v>
                </c:pt>
                <c:pt idx="41">
                  <c:v>7.6360871199999902</c:v>
                </c:pt>
                <c:pt idx="42">
                  <c:v>6.68355736</c:v>
                </c:pt>
                <c:pt idx="43">
                  <c:v>6.0356489199999999</c:v>
                </c:pt>
                <c:pt idx="44">
                  <c:v>7.2851257199999999</c:v>
                </c:pt>
                <c:pt idx="45">
                  <c:v>8.6648960400000004</c:v>
                </c:pt>
                <c:pt idx="46">
                  <c:v>10.076955359999999</c:v>
                </c:pt>
                <c:pt idx="47">
                  <c:v>7.5388328024</c:v>
                </c:pt>
                <c:pt idx="48">
                  <c:v>8.1453577599999996</c:v>
                </c:pt>
                <c:pt idx="49">
                  <c:v>7.4115104000000001</c:v>
                </c:pt>
                <c:pt idx="50">
                  <c:v>6.8345387903999999</c:v>
                </c:pt>
                <c:pt idx="51">
                  <c:v>7.9445271199999903</c:v>
                </c:pt>
                <c:pt idx="52">
                  <c:v>7.4290512799999897</c:v>
                </c:pt>
                <c:pt idx="53">
                  <c:v>5.25875556</c:v>
                </c:pt>
                <c:pt idx="54">
                  <c:v>6.4666904799999898</c:v>
                </c:pt>
                <c:pt idx="55">
                  <c:v>14.551988908</c:v>
                </c:pt>
                <c:pt idx="56">
                  <c:v>8.8853135287999994</c:v>
                </c:pt>
                <c:pt idx="57">
                  <c:v>11.209641884</c:v>
                </c:pt>
                <c:pt idx="58">
                  <c:v>10.423064119999999</c:v>
                </c:pt>
                <c:pt idx="59">
                  <c:v>8.3597602844000001</c:v>
                </c:pt>
                <c:pt idx="60">
                  <c:v>43.856735999999998</c:v>
                </c:pt>
                <c:pt idx="61">
                  <c:v>16.958527199999999</c:v>
                </c:pt>
                <c:pt idx="62">
                  <c:v>12.384886399999999</c:v>
                </c:pt>
                <c:pt idx="63">
                  <c:v>11.245605614480001</c:v>
                </c:pt>
                <c:pt idx="64">
                  <c:v>13.655055599999899</c:v>
                </c:pt>
                <c:pt idx="65">
                  <c:v>22.0529236</c:v>
                </c:pt>
                <c:pt idx="66">
                  <c:v>12.440960799999999</c:v>
                </c:pt>
                <c:pt idx="67">
                  <c:v>9.0430761999999998</c:v>
                </c:pt>
                <c:pt idx="68">
                  <c:v>11.007816999999999</c:v>
                </c:pt>
                <c:pt idx="69">
                  <c:v>9.7772273199999997</c:v>
                </c:pt>
                <c:pt idx="70">
                  <c:v>8.0378636399999994</c:v>
                </c:pt>
                <c:pt idx="71">
                  <c:v>10.11803948328</c:v>
                </c:pt>
                <c:pt idx="72">
                  <c:v>20.03069</c:v>
                </c:pt>
                <c:pt idx="73">
                  <c:v>14.313794400000001</c:v>
                </c:pt>
                <c:pt idx="74">
                  <c:v>10.664316599999999</c:v>
                </c:pt>
                <c:pt idx="75">
                  <c:v>8.5506115000000005</c:v>
                </c:pt>
                <c:pt idx="76">
                  <c:v>9.0879493359999994</c:v>
                </c:pt>
                <c:pt idx="77">
                  <c:v>8.8480133999999993</c:v>
                </c:pt>
                <c:pt idx="78">
                  <c:v>10.664316599999999</c:v>
                </c:pt>
                <c:pt idx="79">
                  <c:v>15.2589617119999</c:v>
                </c:pt>
                <c:pt idx="80">
                  <c:v>9.9651312127999994</c:v>
                </c:pt>
                <c:pt idx="81">
                  <c:v>8.4859850784000006</c:v>
                </c:pt>
                <c:pt idx="83">
                  <c:v>17.909116588666599</c:v>
                </c:pt>
                <c:pt idx="84">
                  <c:v>12.5026276</c:v>
                </c:pt>
                <c:pt idx="85">
                  <c:v>12.258317999999999</c:v>
                </c:pt>
                <c:pt idx="86">
                  <c:v>12.736497399999999</c:v>
                </c:pt>
                <c:pt idx="87">
                  <c:v>11.8006866866666</c:v>
                </c:pt>
                <c:pt idx="88">
                  <c:v>25.906272033333298</c:v>
                </c:pt>
                <c:pt idx="89">
                  <c:v>15.555403466666601</c:v>
                </c:pt>
                <c:pt idx="90">
                  <c:v>12.1499004</c:v>
                </c:pt>
                <c:pt idx="91">
                  <c:v>11.5306084666666</c:v>
                </c:pt>
                <c:pt idx="92">
                  <c:v>10.979372994666599</c:v>
                </c:pt>
                <c:pt idx="93">
                  <c:v>15.365095666666599</c:v>
                </c:pt>
                <c:pt idx="94">
                  <c:v>11.7061532666666</c:v>
                </c:pt>
                <c:pt idx="95">
                  <c:v>10.3695922</c:v>
                </c:pt>
                <c:pt idx="96">
                  <c:v>10.998456733333301</c:v>
                </c:pt>
                <c:pt idx="97">
                  <c:v>11.4034091866666</c:v>
                </c:pt>
                <c:pt idx="98">
                  <c:v>10.587694328</c:v>
                </c:pt>
                <c:pt idx="99">
                  <c:v>8.4315058493333304</c:v>
                </c:pt>
                <c:pt idx="100">
                  <c:v>10.6954302066666</c:v>
                </c:pt>
                <c:pt idx="101">
                  <c:v>11.028182213333301</c:v>
                </c:pt>
                <c:pt idx="102">
                  <c:v>8.2315103599999997</c:v>
                </c:pt>
                <c:pt idx="103">
                  <c:v>7.7667874933333296</c:v>
                </c:pt>
                <c:pt idx="104">
                  <c:v>7.4946411733333296</c:v>
                </c:pt>
                <c:pt idx="105">
                  <c:v>9.6661808800000006</c:v>
                </c:pt>
                <c:pt idx="106">
                  <c:v>9.1230036933333292</c:v>
                </c:pt>
                <c:pt idx="107">
                  <c:v>7.9987784666666597</c:v>
                </c:pt>
                <c:pt idx="108">
                  <c:v>7.7637820933333304</c:v>
                </c:pt>
                <c:pt idx="109">
                  <c:v>11.7693315333333</c:v>
                </c:pt>
                <c:pt idx="110">
                  <c:v>7.3864227533333304</c:v>
                </c:pt>
                <c:pt idx="111">
                  <c:v>8.16305281333333</c:v>
                </c:pt>
                <c:pt idx="113">
                  <c:v>7.72098306</c:v>
                </c:pt>
                <c:pt idx="114">
                  <c:v>12.273739984000001</c:v>
                </c:pt>
                <c:pt idx="115">
                  <c:v>9.9380790066666602</c:v>
                </c:pt>
                <c:pt idx="116">
                  <c:v>8.2618505333333303</c:v>
                </c:pt>
                <c:pt idx="117">
                  <c:v>9.0383009999999899</c:v>
                </c:pt>
                <c:pt idx="118">
                  <c:v>9.2480751333333302</c:v>
                </c:pt>
                <c:pt idx="120">
                  <c:v>7.6434516266666597</c:v>
                </c:pt>
                <c:pt idx="121">
                  <c:v>6.1651286666666598</c:v>
                </c:pt>
                <c:pt idx="122">
                  <c:v>5.42235642666666</c:v>
                </c:pt>
                <c:pt idx="123">
                  <c:v>6.7731638133333298</c:v>
                </c:pt>
                <c:pt idx="124">
                  <c:v>9.6546325599999996</c:v>
                </c:pt>
                <c:pt idx="125">
                  <c:v>8.6037493866666601</c:v>
                </c:pt>
                <c:pt idx="126">
                  <c:v>7.5119917466666601</c:v>
                </c:pt>
                <c:pt idx="127">
                  <c:v>9.6479184666666598</c:v>
                </c:pt>
                <c:pt idx="128">
                  <c:v>5.7798811900000002</c:v>
                </c:pt>
                <c:pt idx="129">
                  <c:v>8.0249351333333294</c:v>
                </c:pt>
                <c:pt idx="130">
                  <c:v>6.3661506000000001</c:v>
                </c:pt>
                <c:pt idx="131">
                  <c:v>5.5522387866666598</c:v>
                </c:pt>
                <c:pt idx="132">
                  <c:v>5.2737517986666598</c:v>
                </c:pt>
                <c:pt idx="133">
                  <c:v>12.890712933333299</c:v>
                </c:pt>
                <c:pt idx="134">
                  <c:v>9.0212937866666607</c:v>
                </c:pt>
                <c:pt idx="135">
                  <c:v>9.7976981146666606</c:v>
                </c:pt>
                <c:pt idx="136">
                  <c:v>7.9770290266666599</c:v>
                </c:pt>
                <c:pt idx="137">
                  <c:v>8.7500032893333302</c:v>
                </c:pt>
                <c:pt idx="138">
                  <c:v>38.639293733333297</c:v>
                </c:pt>
                <c:pt idx="139">
                  <c:v>21.475960133333299</c:v>
                </c:pt>
                <c:pt idx="140">
                  <c:v>12.734633816800001</c:v>
                </c:pt>
                <c:pt idx="141">
                  <c:v>8.6821808133333302</c:v>
                </c:pt>
                <c:pt idx="142">
                  <c:v>16.170986133333301</c:v>
                </c:pt>
                <c:pt idx="144">
                  <c:v>12.641193039999999</c:v>
                </c:pt>
                <c:pt idx="145">
                  <c:v>10.0303982666666</c:v>
                </c:pt>
                <c:pt idx="147">
                  <c:v>9.1829196</c:v>
                </c:pt>
                <c:pt idx="148">
                  <c:v>10.3782316933333</c:v>
                </c:pt>
                <c:pt idx="149">
                  <c:v>9.8354738279999996</c:v>
                </c:pt>
                <c:pt idx="150">
                  <c:v>22.228124099999999</c:v>
                </c:pt>
                <c:pt idx="151">
                  <c:v>14.96945008</c:v>
                </c:pt>
                <c:pt idx="152">
                  <c:v>12.378681706666599</c:v>
                </c:pt>
                <c:pt idx="153">
                  <c:v>10.541740973333299</c:v>
                </c:pt>
                <c:pt idx="154">
                  <c:v>8.0138589866666603</c:v>
                </c:pt>
                <c:pt idx="155">
                  <c:v>8.3940114666666599</c:v>
                </c:pt>
                <c:pt idx="156">
                  <c:v>9.5848903199999906</c:v>
                </c:pt>
                <c:pt idx="157">
                  <c:v>16.9080908</c:v>
                </c:pt>
                <c:pt idx="158">
                  <c:v>13.3637106666666</c:v>
                </c:pt>
                <c:pt idx="159">
                  <c:v>9.3933083066666594</c:v>
                </c:pt>
                <c:pt idx="160">
                  <c:v>7.5067932800000001</c:v>
                </c:pt>
                <c:pt idx="161">
                  <c:v>5.4897123906666598</c:v>
                </c:pt>
                <c:pt idx="162">
                  <c:v>8.2732197266666603</c:v>
                </c:pt>
                <c:pt idx="163">
                  <c:v>6.5764189999999996</c:v>
                </c:pt>
                <c:pt idx="164">
                  <c:v>7.3791796666666603</c:v>
                </c:pt>
                <c:pt idx="165">
                  <c:v>9.8172653466666606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2AC-45F1-872A-D52A5244E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22767"/>
        <c:axId val="734720847"/>
      </c:scatterChart>
      <c:valAx>
        <c:axId val="73472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</a:t>
                </a:r>
                <a:r>
                  <a:rPr lang="en-US" baseline="0"/>
                  <a:t> concentration (uL/L)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0847"/>
        <c:crosses val="autoZero"/>
        <c:crossBetween val="midCat"/>
      </c:valAx>
      <c:valAx>
        <c:axId val="7347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Sonde Turbidity</a:t>
                </a:r>
                <a:r>
                  <a:rPr lang="en-US" baseline="0"/>
                  <a:t> (NTU)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2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LISST vs Sonde</a:t>
            </a:r>
            <a:r>
              <a:rPr lang="en-US" baseline="0"/>
              <a:t> Turbidity - Downstream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Spring!$O$1</c:f>
              <c:strCache>
                <c:ptCount val="1"/>
                <c:pt idx="0">
                  <c:v>Downstream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9133796586627984E-2"/>
                  <c:y val="-0.1297453174138611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Spring!$G$2:$G$83</c:f>
              <c:numCache>
                <c:formatCode>0.00</c:formatCode>
                <c:ptCount val="82"/>
                <c:pt idx="10" formatCode="General">
                  <c:v>106.21</c:v>
                </c:pt>
                <c:pt idx="11" formatCode="General">
                  <c:v>51.232999999999997</c:v>
                </c:pt>
                <c:pt idx="12" formatCode="General">
                  <c:v>59.16</c:v>
                </c:pt>
                <c:pt idx="13" formatCode="General">
                  <c:v>48.47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78.709999999999994</c:v>
                </c:pt>
                <c:pt idx="17" formatCode="General">
                  <c:v>45.42</c:v>
                </c:pt>
                <c:pt idx="18" formatCode="General">
                  <c:v>74.75</c:v>
                </c:pt>
                <c:pt idx="19" formatCode="General">
                  <c:v>0</c:v>
                </c:pt>
                <c:pt idx="20" formatCode="General">
                  <c:v>56.59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27.23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  <c:pt idx="52" formatCode="General">
                  <c:v>0</c:v>
                </c:pt>
                <c:pt idx="53" formatCode="General">
                  <c:v>0</c:v>
                </c:pt>
                <c:pt idx="54" formatCode="General">
                  <c:v>0</c:v>
                </c:pt>
                <c:pt idx="55" formatCode="General">
                  <c:v>0</c:v>
                </c:pt>
                <c:pt idx="56" formatCode="General">
                  <c:v>0</c:v>
                </c:pt>
                <c:pt idx="57" formatCode="General">
                  <c:v>0</c:v>
                </c:pt>
                <c:pt idx="58" formatCode="General">
                  <c:v>0</c:v>
                </c:pt>
                <c:pt idx="59" formatCode="General">
                  <c:v>0</c:v>
                </c:pt>
                <c:pt idx="60" formatCode="General">
                  <c:v>63.56</c:v>
                </c:pt>
                <c:pt idx="61" formatCode="General">
                  <c:v>85.89</c:v>
                </c:pt>
                <c:pt idx="62" formatCode="General">
                  <c:v>0</c:v>
                </c:pt>
                <c:pt idx="63" formatCode="General">
                  <c:v>0</c:v>
                </c:pt>
                <c:pt idx="64" formatCode="General">
                  <c:v>50.13</c:v>
                </c:pt>
                <c:pt idx="65" formatCode="0.0000">
                  <c:v>44.99</c:v>
                </c:pt>
                <c:pt idx="66" formatCode="General">
                  <c:v>35.729999999999997</c:v>
                </c:pt>
                <c:pt idx="67" formatCode="General">
                  <c:v>31.62</c:v>
                </c:pt>
                <c:pt idx="68" formatCode="General">
                  <c:v>25.42</c:v>
                </c:pt>
                <c:pt idx="69" formatCode="General">
                  <c:v>0</c:v>
                </c:pt>
                <c:pt idx="70" formatCode="General">
                  <c:v>0</c:v>
                </c:pt>
                <c:pt idx="71" formatCode="General">
                  <c:v>0</c:v>
                </c:pt>
                <c:pt idx="72" formatCode="General">
                  <c:v>68.760000000000005</c:v>
                </c:pt>
                <c:pt idx="73" formatCode="General">
                  <c:v>0</c:v>
                </c:pt>
                <c:pt idx="74" formatCode="General">
                  <c:v>50.92</c:v>
                </c:pt>
                <c:pt idx="75" formatCode="General">
                  <c:v>0</c:v>
                </c:pt>
                <c:pt idx="76" formatCode="General">
                  <c:v>0</c:v>
                </c:pt>
                <c:pt idx="77" formatCode="General">
                  <c:v>0</c:v>
                </c:pt>
                <c:pt idx="78" formatCode="General">
                  <c:v>0</c:v>
                </c:pt>
                <c:pt idx="79" formatCode="0.0000">
                  <c:v>0</c:v>
                </c:pt>
                <c:pt idx="80" formatCode="General">
                  <c:v>33.08</c:v>
                </c:pt>
                <c:pt idx="81" formatCode="General">
                  <c:v>77.489999999999995</c:v>
                </c:pt>
              </c:numCache>
            </c:numRef>
          </c:xVal>
          <c:yVal>
            <c:numRef>
              <c:f>Spring!$O$2:$O$83</c:f>
              <c:numCache>
                <c:formatCode>0.000</c:formatCode>
                <c:ptCount val="82"/>
                <c:pt idx="0">
                  <c:v>6.3695391092076497</c:v>
                </c:pt>
                <c:pt idx="1">
                  <c:v>6.3686278197342103</c:v>
                </c:pt>
                <c:pt idx="2">
                  <c:v>6.3677165302607701</c:v>
                </c:pt>
                <c:pt idx="3">
                  <c:v>6.3668052407873201</c:v>
                </c:pt>
                <c:pt idx="4">
                  <c:v>6.3640713723669897</c:v>
                </c:pt>
                <c:pt idx="5">
                  <c:v>6.3631600828935397</c:v>
                </c:pt>
                <c:pt idx="6">
                  <c:v>6.3613375039466602</c:v>
                </c:pt>
                <c:pt idx="7">
                  <c:v>6.3604262144732102</c:v>
                </c:pt>
                <c:pt idx="8">
                  <c:v>6.35951492499977</c:v>
                </c:pt>
                <c:pt idx="9">
                  <c:v>5.28249032</c:v>
                </c:pt>
                <c:pt idx="12">
                  <c:v>12.815805599999999</c:v>
                </c:pt>
                <c:pt idx="13">
                  <c:v>12.0457119999999</c:v>
                </c:pt>
                <c:pt idx="14">
                  <c:v>10.67219704</c:v>
                </c:pt>
                <c:pt idx="15">
                  <c:v>12.4510858</c:v>
                </c:pt>
                <c:pt idx="16">
                  <c:v>21.1627592</c:v>
                </c:pt>
                <c:pt idx="17">
                  <c:v>14.5804768</c:v>
                </c:pt>
                <c:pt idx="18">
                  <c:v>12.4211408</c:v>
                </c:pt>
                <c:pt idx="19">
                  <c:v>10.916756999999899</c:v>
                </c:pt>
                <c:pt idx="20">
                  <c:v>12.41495316</c:v>
                </c:pt>
                <c:pt idx="21">
                  <c:v>10.38733716</c:v>
                </c:pt>
                <c:pt idx="22">
                  <c:v>9.4103997199999991</c:v>
                </c:pt>
                <c:pt idx="23">
                  <c:v>8.6639274400000001</c:v>
                </c:pt>
                <c:pt idx="24">
                  <c:v>8.1745655151999994</c:v>
                </c:pt>
                <c:pt idx="25">
                  <c:v>8.8986113000000007</c:v>
                </c:pt>
                <c:pt idx="26">
                  <c:v>8.95110431999999</c:v>
                </c:pt>
                <c:pt idx="27">
                  <c:v>9.3171799199999992</c:v>
                </c:pt>
                <c:pt idx="28">
                  <c:v>9.2401945999999899</c:v>
                </c:pt>
                <c:pt idx="29">
                  <c:v>6.6271815599999897</c:v>
                </c:pt>
                <c:pt idx="30">
                  <c:v>6.83403183999999</c:v>
                </c:pt>
                <c:pt idx="31">
                  <c:v>8.1550506400000007</c:v>
                </c:pt>
                <c:pt idx="32">
                  <c:v>13.7088416</c:v>
                </c:pt>
                <c:pt idx="33">
                  <c:v>10.1428473999999</c:v>
                </c:pt>
                <c:pt idx="34">
                  <c:v>8.9488770800000008</c:v>
                </c:pt>
                <c:pt idx="35">
                  <c:v>8.6484638799999995</c:v>
                </c:pt>
                <c:pt idx="36">
                  <c:v>9.1187322399999999</c:v>
                </c:pt>
                <c:pt idx="37">
                  <c:v>8.1289062039999997</c:v>
                </c:pt>
                <c:pt idx="38">
                  <c:v>7.2309412399999999</c:v>
                </c:pt>
                <c:pt idx="39">
                  <c:v>6.1800801999999999</c:v>
                </c:pt>
                <c:pt idx="40">
                  <c:v>7.1972571599999897</c:v>
                </c:pt>
                <c:pt idx="41">
                  <c:v>7.6360871199999902</c:v>
                </c:pt>
                <c:pt idx="42">
                  <c:v>6.68355736</c:v>
                </c:pt>
                <c:pt idx="43">
                  <c:v>6.0356489199999999</c:v>
                </c:pt>
                <c:pt idx="44">
                  <c:v>7.2851257199999999</c:v>
                </c:pt>
                <c:pt idx="45">
                  <c:v>8.6648960400000004</c:v>
                </c:pt>
                <c:pt idx="46">
                  <c:v>10.076955359999999</c:v>
                </c:pt>
                <c:pt idx="47">
                  <c:v>7.5388328024</c:v>
                </c:pt>
                <c:pt idx="48">
                  <c:v>8.1453577599999996</c:v>
                </c:pt>
                <c:pt idx="49">
                  <c:v>7.4115104000000001</c:v>
                </c:pt>
                <c:pt idx="50">
                  <c:v>6.8345387903999999</c:v>
                </c:pt>
                <c:pt idx="51">
                  <c:v>7.9445271199999903</c:v>
                </c:pt>
                <c:pt idx="52">
                  <c:v>7.4290512799999897</c:v>
                </c:pt>
                <c:pt idx="53">
                  <c:v>5.25875556</c:v>
                </c:pt>
                <c:pt idx="54">
                  <c:v>6.4666904799999898</c:v>
                </c:pt>
                <c:pt idx="55">
                  <c:v>14.551988908</c:v>
                </c:pt>
                <c:pt idx="56">
                  <c:v>8.8853135287999994</c:v>
                </c:pt>
                <c:pt idx="57">
                  <c:v>11.209641884</c:v>
                </c:pt>
                <c:pt idx="58">
                  <c:v>10.423064119999999</c:v>
                </c:pt>
                <c:pt idx="59">
                  <c:v>8.3597602844000001</c:v>
                </c:pt>
                <c:pt idx="60">
                  <c:v>43.856735999999998</c:v>
                </c:pt>
                <c:pt idx="61">
                  <c:v>16.958527199999999</c:v>
                </c:pt>
                <c:pt idx="62">
                  <c:v>12.384886399999999</c:v>
                </c:pt>
                <c:pt idx="63">
                  <c:v>11.245605614480001</c:v>
                </c:pt>
                <c:pt idx="64">
                  <c:v>13.655055599999899</c:v>
                </c:pt>
                <c:pt idx="65">
                  <c:v>22.0529236</c:v>
                </c:pt>
                <c:pt idx="66">
                  <c:v>12.440960799999999</c:v>
                </c:pt>
                <c:pt idx="67">
                  <c:v>9.0430761999999998</c:v>
                </c:pt>
                <c:pt idx="68">
                  <c:v>11.007816999999999</c:v>
                </c:pt>
                <c:pt idx="69">
                  <c:v>9.7772273199999997</c:v>
                </c:pt>
                <c:pt idx="70">
                  <c:v>8.0378636399999994</c:v>
                </c:pt>
                <c:pt idx="71">
                  <c:v>10.11803948328</c:v>
                </c:pt>
                <c:pt idx="72">
                  <c:v>20.03069</c:v>
                </c:pt>
                <c:pt idx="73">
                  <c:v>14.313794400000001</c:v>
                </c:pt>
                <c:pt idx="74">
                  <c:v>10.664316599999999</c:v>
                </c:pt>
                <c:pt idx="75">
                  <c:v>8.5506115000000005</c:v>
                </c:pt>
                <c:pt idx="76">
                  <c:v>9.0879493359999994</c:v>
                </c:pt>
                <c:pt idx="77">
                  <c:v>8.8480133999999993</c:v>
                </c:pt>
                <c:pt idx="78">
                  <c:v>10.664316599999999</c:v>
                </c:pt>
                <c:pt idx="79">
                  <c:v>15.2589617119999</c:v>
                </c:pt>
                <c:pt idx="80">
                  <c:v>9.9651312127999994</c:v>
                </c:pt>
                <c:pt idx="81">
                  <c:v>8.4859850784000006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99-4919-8BB3-8F50B42D39A9}"/>
            </c:ext>
          </c:extLst>
        </c:ser>
        <c:ser>
          <c:idx val="1"/>
          <c:order val="1"/>
          <c:tx>
            <c:strRef>
              <c:f>Spring!$Q$1</c:f>
              <c:strCache>
                <c:ptCount val="1"/>
                <c:pt idx="0">
                  <c:v>Upstream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5755609726745618E-2"/>
                  <c:y val="-0.2088412166458323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Spring!$G$2:$G$83</c:f>
              <c:numCache>
                <c:formatCode>0.00</c:formatCode>
                <c:ptCount val="82"/>
                <c:pt idx="10" formatCode="General">
                  <c:v>106.21</c:v>
                </c:pt>
                <c:pt idx="11" formatCode="General">
                  <c:v>51.232999999999997</c:v>
                </c:pt>
                <c:pt idx="12" formatCode="General">
                  <c:v>59.16</c:v>
                </c:pt>
                <c:pt idx="13" formatCode="General">
                  <c:v>48.47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78.709999999999994</c:v>
                </c:pt>
                <c:pt idx="17" formatCode="General">
                  <c:v>45.42</c:v>
                </c:pt>
                <c:pt idx="18" formatCode="General">
                  <c:v>74.75</c:v>
                </c:pt>
                <c:pt idx="19" formatCode="General">
                  <c:v>0</c:v>
                </c:pt>
                <c:pt idx="20" formatCode="General">
                  <c:v>56.59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27.23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  <c:pt idx="52" formatCode="General">
                  <c:v>0</c:v>
                </c:pt>
                <c:pt idx="53" formatCode="General">
                  <c:v>0</c:v>
                </c:pt>
                <c:pt idx="54" formatCode="General">
                  <c:v>0</c:v>
                </c:pt>
                <c:pt idx="55" formatCode="General">
                  <c:v>0</c:v>
                </c:pt>
                <c:pt idx="56" formatCode="General">
                  <c:v>0</c:v>
                </c:pt>
                <c:pt idx="57" formatCode="General">
                  <c:v>0</c:v>
                </c:pt>
                <c:pt idx="58" formatCode="General">
                  <c:v>0</c:v>
                </c:pt>
                <c:pt idx="59" formatCode="General">
                  <c:v>0</c:v>
                </c:pt>
                <c:pt idx="60" formatCode="General">
                  <c:v>63.56</c:v>
                </c:pt>
                <c:pt idx="61" formatCode="General">
                  <c:v>85.89</c:v>
                </c:pt>
                <c:pt idx="62" formatCode="General">
                  <c:v>0</c:v>
                </c:pt>
                <c:pt idx="63" formatCode="General">
                  <c:v>0</c:v>
                </c:pt>
                <c:pt idx="64" formatCode="General">
                  <c:v>50.13</c:v>
                </c:pt>
                <c:pt idx="65" formatCode="0.0000">
                  <c:v>44.99</c:v>
                </c:pt>
                <c:pt idx="66" formatCode="General">
                  <c:v>35.729999999999997</c:v>
                </c:pt>
                <c:pt idx="67" formatCode="General">
                  <c:v>31.62</c:v>
                </c:pt>
                <c:pt idx="68" formatCode="General">
                  <c:v>25.42</c:v>
                </c:pt>
                <c:pt idx="69" formatCode="General">
                  <c:v>0</c:v>
                </c:pt>
                <c:pt idx="70" formatCode="General">
                  <c:v>0</c:v>
                </c:pt>
                <c:pt idx="71" formatCode="General">
                  <c:v>0</c:v>
                </c:pt>
                <c:pt idx="72" formatCode="General">
                  <c:v>68.760000000000005</c:v>
                </c:pt>
                <c:pt idx="73" formatCode="General">
                  <c:v>0</c:v>
                </c:pt>
                <c:pt idx="74" formatCode="General">
                  <c:v>50.92</c:v>
                </c:pt>
                <c:pt idx="75" formatCode="General">
                  <c:v>0</c:v>
                </c:pt>
                <c:pt idx="76" formatCode="General">
                  <c:v>0</c:v>
                </c:pt>
                <c:pt idx="77" formatCode="General">
                  <c:v>0</c:v>
                </c:pt>
                <c:pt idx="78" formatCode="General">
                  <c:v>0</c:v>
                </c:pt>
                <c:pt idx="79" formatCode="0.0000">
                  <c:v>0</c:v>
                </c:pt>
                <c:pt idx="80" formatCode="General">
                  <c:v>33.08</c:v>
                </c:pt>
                <c:pt idx="81" formatCode="General">
                  <c:v>77.489999999999995</c:v>
                </c:pt>
              </c:numCache>
            </c:numRef>
          </c:xVal>
          <c:yVal>
            <c:numRef>
              <c:f>Spring!$Q$2:$Q$83</c:f>
              <c:numCache>
                <c:formatCode>0.000</c:formatCode>
                <c:ptCount val="82"/>
                <c:pt idx="0">
                  <c:v>3.9399494811242901</c:v>
                </c:pt>
                <c:pt idx="1">
                  <c:v>3.9404717424825901</c:v>
                </c:pt>
                <c:pt idx="2">
                  <c:v>3.9409940038408902</c:v>
                </c:pt>
                <c:pt idx="3">
                  <c:v>3.9415162651991902</c:v>
                </c:pt>
                <c:pt idx="4">
                  <c:v>3.9430830492740898</c:v>
                </c:pt>
                <c:pt idx="5">
                  <c:v>3.9436053106323898</c:v>
                </c:pt>
                <c:pt idx="6">
                  <c:v>3.9446498333489801</c:v>
                </c:pt>
                <c:pt idx="7">
                  <c:v>3.9451720947072801</c:v>
                </c:pt>
                <c:pt idx="8">
                  <c:v>3.9456943560655802</c:v>
                </c:pt>
                <c:pt idx="9">
                  <c:v>4.8290856666666597</c:v>
                </c:pt>
                <c:pt idx="11">
                  <c:v>17.909116588666599</c:v>
                </c:pt>
                <c:pt idx="12">
                  <c:v>12.5026276</c:v>
                </c:pt>
                <c:pt idx="13">
                  <c:v>12.258317999999999</c:v>
                </c:pt>
                <c:pt idx="14">
                  <c:v>12.736497399999999</c:v>
                </c:pt>
                <c:pt idx="15">
                  <c:v>11.8006866866666</c:v>
                </c:pt>
                <c:pt idx="16">
                  <c:v>25.906272033333298</c:v>
                </c:pt>
                <c:pt idx="17">
                  <c:v>15.555403466666601</c:v>
                </c:pt>
                <c:pt idx="18">
                  <c:v>12.1499004</c:v>
                </c:pt>
                <c:pt idx="19">
                  <c:v>11.5306084666666</c:v>
                </c:pt>
                <c:pt idx="20">
                  <c:v>10.979372994666599</c:v>
                </c:pt>
                <c:pt idx="21">
                  <c:v>10.915366333333299</c:v>
                </c:pt>
                <c:pt idx="22">
                  <c:v>11.4034091866666</c:v>
                </c:pt>
                <c:pt idx="23">
                  <c:v>10.587694328</c:v>
                </c:pt>
                <c:pt idx="24">
                  <c:v>8.1144903866666596</c:v>
                </c:pt>
                <c:pt idx="25">
                  <c:v>8.4315058493333304</c:v>
                </c:pt>
                <c:pt idx="26">
                  <c:v>10.6954302066666</c:v>
                </c:pt>
                <c:pt idx="27">
                  <c:v>11.7693315333333</c:v>
                </c:pt>
                <c:pt idx="28">
                  <c:v>7.3864227533333304</c:v>
                </c:pt>
                <c:pt idx="29">
                  <c:v>8.16305281333333</c:v>
                </c:pt>
                <c:pt idx="31">
                  <c:v>7.72098306</c:v>
                </c:pt>
                <c:pt idx="32">
                  <c:v>12.273739984000001</c:v>
                </c:pt>
                <c:pt idx="33">
                  <c:v>9.9380790066666602</c:v>
                </c:pt>
                <c:pt idx="34">
                  <c:v>8.2618505333333303</c:v>
                </c:pt>
                <c:pt idx="35">
                  <c:v>9.0178020266666596</c:v>
                </c:pt>
                <c:pt idx="36">
                  <c:v>9.0383009999999899</c:v>
                </c:pt>
                <c:pt idx="37">
                  <c:v>9.2480751333333302</c:v>
                </c:pt>
                <c:pt idx="38">
                  <c:v>7.38463257333333</c:v>
                </c:pt>
                <c:pt idx="39">
                  <c:v>5.6839421333333302</c:v>
                </c:pt>
                <c:pt idx="41">
                  <c:v>7.6434516266666597</c:v>
                </c:pt>
                <c:pt idx="42">
                  <c:v>6.1651286666666598</c:v>
                </c:pt>
                <c:pt idx="43">
                  <c:v>5.42235642666666</c:v>
                </c:pt>
                <c:pt idx="44">
                  <c:v>6.7731638133333298</c:v>
                </c:pt>
                <c:pt idx="45">
                  <c:v>9.6546325599999996</c:v>
                </c:pt>
                <c:pt idx="46">
                  <c:v>8.6037493866666601</c:v>
                </c:pt>
                <c:pt idx="47">
                  <c:v>7.5119917466666601</c:v>
                </c:pt>
                <c:pt idx="48">
                  <c:v>9.6479184666666598</c:v>
                </c:pt>
                <c:pt idx="49">
                  <c:v>5.7798811900000002</c:v>
                </c:pt>
                <c:pt idx="50">
                  <c:v>8.0249351333333294</c:v>
                </c:pt>
                <c:pt idx="51">
                  <c:v>6.3661506000000001</c:v>
                </c:pt>
                <c:pt idx="52">
                  <c:v>5.5522387866666598</c:v>
                </c:pt>
                <c:pt idx="53">
                  <c:v>5.6392486266666602</c:v>
                </c:pt>
                <c:pt idx="54">
                  <c:v>5.2737517986666598</c:v>
                </c:pt>
                <c:pt idx="55">
                  <c:v>12.890712933333299</c:v>
                </c:pt>
                <c:pt idx="56">
                  <c:v>9.0212937866666607</c:v>
                </c:pt>
                <c:pt idx="57">
                  <c:v>9.7976981146666606</c:v>
                </c:pt>
                <c:pt idx="58">
                  <c:v>7.9770290266666599</c:v>
                </c:pt>
                <c:pt idx="59">
                  <c:v>8.7500032893333302</c:v>
                </c:pt>
                <c:pt idx="60">
                  <c:v>38.639293733333297</c:v>
                </c:pt>
                <c:pt idx="61">
                  <c:v>21.475960133333299</c:v>
                </c:pt>
                <c:pt idx="62">
                  <c:v>12.734633816800001</c:v>
                </c:pt>
                <c:pt idx="63">
                  <c:v>8.6821808133333302</c:v>
                </c:pt>
                <c:pt idx="64">
                  <c:v>16.170986133333301</c:v>
                </c:pt>
                <c:pt idx="66">
                  <c:v>12.641193039999999</c:v>
                </c:pt>
                <c:pt idx="67">
                  <c:v>10.0303982666666</c:v>
                </c:pt>
                <c:pt idx="69">
                  <c:v>9.1829196</c:v>
                </c:pt>
                <c:pt idx="70">
                  <c:v>10.3782316933333</c:v>
                </c:pt>
                <c:pt idx="71">
                  <c:v>9.8354738279999996</c:v>
                </c:pt>
                <c:pt idx="72">
                  <c:v>22.228124099999999</c:v>
                </c:pt>
                <c:pt idx="73">
                  <c:v>14.96945008</c:v>
                </c:pt>
                <c:pt idx="74">
                  <c:v>12.378681706666599</c:v>
                </c:pt>
                <c:pt idx="75">
                  <c:v>10.541740973333299</c:v>
                </c:pt>
                <c:pt idx="76">
                  <c:v>8.0138589866666603</c:v>
                </c:pt>
                <c:pt idx="77">
                  <c:v>8.3940114666666599</c:v>
                </c:pt>
                <c:pt idx="78">
                  <c:v>12.378681706666599</c:v>
                </c:pt>
                <c:pt idx="79">
                  <c:v>16.9080908</c:v>
                </c:pt>
                <c:pt idx="80">
                  <c:v>9.3933083066666594</c:v>
                </c:pt>
                <c:pt idx="81">
                  <c:v>7.5067932800000001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99-4919-8BB3-8F50B42D3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22767"/>
        <c:axId val="734720847"/>
      </c:scatterChart>
      <c:valAx>
        <c:axId val="73472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</a:t>
                </a:r>
                <a:r>
                  <a:rPr lang="en-US" baseline="0"/>
                  <a:t> concentration (uL/L)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0847"/>
        <c:crosses val="autoZero"/>
        <c:crossBetween val="midCat"/>
      </c:valAx>
      <c:valAx>
        <c:axId val="7347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Sonde Turbidity</a:t>
                </a:r>
                <a:r>
                  <a:rPr lang="en-US" baseline="0"/>
                  <a:t> (NTU)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2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LISST vs Sonde</a:t>
            </a:r>
            <a:r>
              <a:rPr lang="en-US" baseline="0"/>
              <a:t> Turbidity - Upstream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Spring!$O$1</c:f>
              <c:strCache>
                <c:ptCount val="1"/>
                <c:pt idx="0">
                  <c:v>Downstream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9133796586627984E-2"/>
                  <c:y val="-0.1297453174138611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Spring!$G$86:$G$167</c:f>
              <c:numCache>
                <c:formatCode>General</c:formatCode>
                <c:ptCount val="82"/>
                <c:pt idx="0">
                  <c:v>73.680000000000007</c:v>
                </c:pt>
                <c:pt idx="1">
                  <c:v>48.9</c:v>
                </c:pt>
                <c:pt idx="2">
                  <c:v>0</c:v>
                </c:pt>
                <c:pt idx="3">
                  <c:v>0</c:v>
                </c:pt>
                <c:pt idx="4">
                  <c:v>93.48</c:v>
                </c:pt>
                <c:pt idx="5">
                  <c:v>53.79</c:v>
                </c:pt>
                <c:pt idx="6">
                  <c:v>47.58</c:v>
                </c:pt>
                <c:pt idx="7">
                  <c:v>30.72</c:v>
                </c:pt>
                <c:pt idx="8">
                  <c:v>0</c:v>
                </c:pt>
                <c:pt idx="9">
                  <c:v>0</c:v>
                </c:pt>
                <c:pt idx="10">
                  <c:v>22.36</c:v>
                </c:pt>
                <c:pt idx="11">
                  <c:v>30.83</c:v>
                </c:pt>
                <c:pt idx="12">
                  <c:v>0</c:v>
                </c:pt>
                <c:pt idx="13">
                  <c:v>0</c:v>
                </c:pt>
                <c:pt idx="14">
                  <c:v>24.91</c:v>
                </c:pt>
                <c:pt idx="15">
                  <c:v>0</c:v>
                </c:pt>
                <c:pt idx="16">
                  <c:v>0</c:v>
                </c:pt>
                <c:pt idx="17">
                  <c:v>67.13</c:v>
                </c:pt>
                <c:pt idx="18">
                  <c:v>0</c:v>
                </c:pt>
                <c:pt idx="19">
                  <c:v>51.68</c:v>
                </c:pt>
                <c:pt idx="20">
                  <c:v>0</c:v>
                </c:pt>
                <c:pt idx="21">
                  <c:v>57.56</c:v>
                </c:pt>
                <c:pt idx="22">
                  <c:v>63.54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66.59</c:v>
                </c:pt>
                <c:pt idx="28">
                  <c:v>0</c:v>
                </c:pt>
                <c:pt idx="29">
                  <c:v>46.75</c:v>
                </c:pt>
                <c:pt idx="30">
                  <c:v>27.12</c:v>
                </c:pt>
                <c:pt idx="31">
                  <c:v>14.59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56.02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43.66</c:v>
                </c:pt>
                <c:pt idx="54">
                  <c:v>85.5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64.14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39.619999999999997</c:v>
                </c:pt>
                <c:pt idx="66">
                  <c:v>87.1</c:v>
                </c:pt>
                <c:pt idx="67">
                  <c:v>0</c:v>
                </c:pt>
                <c:pt idx="68">
                  <c:v>26.28</c:v>
                </c:pt>
                <c:pt idx="69">
                  <c:v>0</c:v>
                </c:pt>
                <c:pt idx="70">
                  <c:v>0</c:v>
                </c:pt>
                <c:pt idx="71">
                  <c:v>35.26</c:v>
                </c:pt>
                <c:pt idx="72">
                  <c:v>0</c:v>
                </c:pt>
                <c:pt idx="73">
                  <c:v>72.78</c:v>
                </c:pt>
                <c:pt idx="74">
                  <c:v>25.16</c:v>
                </c:pt>
                <c:pt idx="75">
                  <c:v>15.19</c:v>
                </c:pt>
                <c:pt idx="76">
                  <c:v>99.54</c:v>
                </c:pt>
                <c:pt idx="77">
                  <c:v>0</c:v>
                </c:pt>
                <c:pt idx="78">
                  <c:v>40.119999999999997</c:v>
                </c:pt>
                <c:pt idx="79">
                  <c:v>25.61</c:v>
                </c:pt>
                <c:pt idx="80">
                  <c:v>0</c:v>
                </c:pt>
                <c:pt idx="81">
                  <c:v>30.82</c:v>
                </c:pt>
              </c:numCache>
            </c:numRef>
          </c:xVal>
          <c:yVal>
            <c:numRef>
              <c:f>Spring!$O$86:$O$167</c:f>
              <c:numCache>
                <c:formatCode>0.000</c:formatCode>
                <c:ptCount val="82"/>
                <c:pt idx="0">
                  <c:v>12.815805599999999</c:v>
                </c:pt>
                <c:pt idx="1">
                  <c:v>12.0457119999999</c:v>
                </c:pt>
                <c:pt idx="2">
                  <c:v>10.67219704</c:v>
                </c:pt>
                <c:pt idx="3">
                  <c:v>12.4510858</c:v>
                </c:pt>
                <c:pt idx="4">
                  <c:v>21.1627592</c:v>
                </c:pt>
                <c:pt idx="5">
                  <c:v>14.5804768</c:v>
                </c:pt>
                <c:pt idx="6">
                  <c:v>12.4211408</c:v>
                </c:pt>
                <c:pt idx="7">
                  <c:v>10.916756999999899</c:v>
                </c:pt>
                <c:pt idx="8">
                  <c:v>12.41495316</c:v>
                </c:pt>
                <c:pt idx="9">
                  <c:v>14.767932800000001</c:v>
                </c:pt>
                <c:pt idx="10">
                  <c:v>11.1057975</c:v>
                </c:pt>
                <c:pt idx="11">
                  <c:v>9.7756285599999995</c:v>
                </c:pt>
                <c:pt idx="12">
                  <c:v>10.018984959999999</c:v>
                </c:pt>
                <c:pt idx="13">
                  <c:v>9.4103997199999991</c:v>
                </c:pt>
                <c:pt idx="14">
                  <c:v>8.6639274400000001</c:v>
                </c:pt>
                <c:pt idx="15">
                  <c:v>8.8986113000000007</c:v>
                </c:pt>
                <c:pt idx="16">
                  <c:v>8.95110431999999</c:v>
                </c:pt>
                <c:pt idx="17">
                  <c:v>10.23910416</c:v>
                </c:pt>
                <c:pt idx="18">
                  <c:v>7.9644718799999996</c:v>
                </c:pt>
                <c:pt idx="19">
                  <c:v>7.6684761000000004</c:v>
                </c:pt>
                <c:pt idx="20">
                  <c:v>7.1552944799999896</c:v>
                </c:pt>
                <c:pt idx="21">
                  <c:v>11.663247200000001</c:v>
                </c:pt>
                <c:pt idx="22">
                  <c:v>8.1688235799999998</c:v>
                </c:pt>
                <c:pt idx="23">
                  <c:v>7.2320616399999897</c:v>
                </c:pt>
                <c:pt idx="24">
                  <c:v>7.1852926031999997</c:v>
                </c:pt>
                <c:pt idx="25">
                  <c:v>9.3171799199999992</c:v>
                </c:pt>
                <c:pt idx="26">
                  <c:v>9.2401945999999899</c:v>
                </c:pt>
                <c:pt idx="27">
                  <c:v>6.6271815599999897</c:v>
                </c:pt>
                <c:pt idx="28">
                  <c:v>6.83403183999999</c:v>
                </c:pt>
                <c:pt idx="29">
                  <c:v>8.1550506400000007</c:v>
                </c:pt>
                <c:pt idx="30">
                  <c:v>13.7088416</c:v>
                </c:pt>
                <c:pt idx="31">
                  <c:v>10.1428473999999</c:v>
                </c:pt>
                <c:pt idx="32">
                  <c:v>8.9488770800000008</c:v>
                </c:pt>
                <c:pt idx="33">
                  <c:v>9.1187322399999999</c:v>
                </c:pt>
                <c:pt idx="34">
                  <c:v>8.1289062039999997</c:v>
                </c:pt>
                <c:pt idx="35">
                  <c:v>6.5828858800000001</c:v>
                </c:pt>
                <c:pt idx="36">
                  <c:v>7.6360871199999902</c:v>
                </c:pt>
                <c:pt idx="37">
                  <c:v>6.68355736</c:v>
                </c:pt>
                <c:pt idx="38">
                  <c:v>6.0356489199999999</c:v>
                </c:pt>
                <c:pt idx="39">
                  <c:v>7.2851257199999999</c:v>
                </c:pt>
                <c:pt idx="40">
                  <c:v>8.6648960400000004</c:v>
                </c:pt>
                <c:pt idx="41">
                  <c:v>10.076955359999999</c:v>
                </c:pt>
                <c:pt idx="42">
                  <c:v>7.5388328024</c:v>
                </c:pt>
                <c:pt idx="43">
                  <c:v>8.1453577599999996</c:v>
                </c:pt>
                <c:pt idx="44">
                  <c:v>7.4115104000000001</c:v>
                </c:pt>
                <c:pt idx="45">
                  <c:v>6.8345387903999999</c:v>
                </c:pt>
                <c:pt idx="46">
                  <c:v>7.9445271199999903</c:v>
                </c:pt>
                <c:pt idx="47">
                  <c:v>7.4290512799999897</c:v>
                </c:pt>
                <c:pt idx="48">
                  <c:v>6.4666904799999898</c:v>
                </c:pt>
                <c:pt idx="49">
                  <c:v>14.551988908</c:v>
                </c:pt>
                <c:pt idx="50">
                  <c:v>8.8853135287999994</c:v>
                </c:pt>
                <c:pt idx="51">
                  <c:v>11.209641884</c:v>
                </c:pt>
                <c:pt idx="52">
                  <c:v>10.423064119999999</c:v>
                </c:pt>
                <c:pt idx="53">
                  <c:v>8.3597602844000001</c:v>
                </c:pt>
                <c:pt idx="54">
                  <c:v>43.856735999999998</c:v>
                </c:pt>
                <c:pt idx="55">
                  <c:v>16.958527199999999</c:v>
                </c:pt>
                <c:pt idx="56">
                  <c:v>12.384886399999999</c:v>
                </c:pt>
                <c:pt idx="57">
                  <c:v>11.245605614480001</c:v>
                </c:pt>
                <c:pt idx="58">
                  <c:v>13.655055599999899</c:v>
                </c:pt>
                <c:pt idx="59">
                  <c:v>22.0529236</c:v>
                </c:pt>
                <c:pt idx="60">
                  <c:v>12.440960799999999</c:v>
                </c:pt>
                <c:pt idx="61">
                  <c:v>9.0430761999999998</c:v>
                </c:pt>
                <c:pt idx="62">
                  <c:v>11.007816999999999</c:v>
                </c:pt>
                <c:pt idx="63">
                  <c:v>9.7772273199999997</c:v>
                </c:pt>
                <c:pt idx="64">
                  <c:v>8.0378636399999994</c:v>
                </c:pt>
                <c:pt idx="65">
                  <c:v>10.11803948328</c:v>
                </c:pt>
                <c:pt idx="66">
                  <c:v>20.03069</c:v>
                </c:pt>
                <c:pt idx="67">
                  <c:v>14.313794400000001</c:v>
                </c:pt>
                <c:pt idx="68">
                  <c:v>10.664316599999999</c:v>
                </c:pt>
                <c:pt idx="69">
                  <c:v>8.5506115000000005</c:v>
                </c:pt>
                <c:pt idx="70">
                  <c:v>9.0879493359999994</c:v>
                </c:pt>
                <c:pt idx="71">
                  <c:v>8.8480133999999993</c:v>
                </c:pt>
                <c:pt idx="72">
                  <c:v>9.2369909200000002</c:v>
                </c:pt>
                <c:pt idx="73">
                  <c:v>15.2589617119999</c:v>
                </c:pt>
                <c:pt idx="74">
                  <c:v>11.863201948</c:v>
                </c:pt>
                <c:pt idx="75">
                  <c:v>9.9651312127999994</c:v>
                </c:pt>
                <c:pt idx="76">
                  <c:v>8.4859850784000006</c:v>
                </c:pt>
                <c:pt idx="77">
                  <c:v>8.9133909280000001</c:v>
                </c:pt>
                <c:pt idx="78">
                  <c:v>7.5681198240000001</c:v>
                </c:pt>
                <c:pt idx="79">
                  <c:v>7.6637165200000004</c:v>
                </c:pt>
                <c:pt idx="80">
                  <c:v>10.3719666</c:v>
                </c:pt>
                <c:pt idx="81">
                  <c:v>10.963208972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3E-4983-9CFE-F045C66DDF3A}"/>
            </c:ext>
          </c:extLst>
        </c:ser>
        <c:ser>
          <c:idx val="1"/>
          <c:order val="1"/>
          <c:tx>
            <c:strRef>
              <c:f>Spring!$Q$1</c:f>
              <c:strCache>
                <c:ptCount val="1"/>
                <c:pt idx="0">
                  <c:v>Upstream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5755609726745618E-2"/>
                  <c:y val="-0.2088412166458323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Spring!$G$85:$G$167</c:f>
              <c:numCache>
                <c:formatCode>General</c:formatCode>
                <c:ptCount val="83"/>
                <c:pt idx="0">
                  <c:v>65.48</c:v>
                </c:pt>
                <c:pt idx="1">
                  <c:v>73.680000000000007</c:v>
                </c:pt>
                <c:pt idx="2">
                  <c:v>48.9</c:v>
                </c:pt>
                <c:pt idx="3">
                  <c:v>0</c:v>
                </c:pt>
                <c:pt idx="4">
                  <c:v>0</c:v>
                </c:pt>
                <c:pt idx="5">
                  <c:v>93.48</c:v>
                </c:pt>
                <c:pt idx="6">
                  <c:v>53.79</c:v>
                </c:pt>
                <c:pt idx="7">
                  <c:v>47.58</c:v>
                </c:pt>
                <c:pt idx="8">
                  <c:v>30.72</c:v>
                </c:pt>
                <c:pt idx="9">
                  <c:v>0</c:v>
                </c:pt>
                <c:pt idx="10">
                  <c:v>0</c:v>
                </c:pt>
                <c:pt idx="11">
                  <c:v>22.36</c:v>
                </c:pt>
                <c:pt idx="12">
                  <c:v>30.83</c:v>
                </c:pt>
                <c:pt idx="13">
                  <c:v>0</c:v>
                </c:pt>
                <c:pt idx="14">
                  <c:v>0</c:v>
                </c:pt>
                <c:pt idx="15">
                  <c:v>24.91</c:v>
                </c:pt>
                <c:pt idx="16">
                  <c:v>0</c:v>
                </c:pt>
                <c:pt idx="17">
                  <c:v>0</c:v>
                </c:pt>
                <c:pt idx="18">
                  <c:v>67.13</c:v>
                </c:pt>
                <c:pt idx="19">
                  <c:v>0</c:v>
                </c:pt>
                <c:pt idx="20">
                  <c:v>51.68</c:v>
                </c:pt>
                <c:pt idx="21">
                  <c:v>0</c:v>
                </c:pt>
                <c:pt idx="22">
                  <c:v>57.56</c:v>
                </c:pt>
                <c:pt idx="23">
                  <c:v>63.54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66.59</c:v>
                </c:pt>
                <c:pt idx="29">
                  <c:v>0</c:v>
                </c:pt>
                <c:pt idx="30">
                  <c:v>46.75</c:v>
                </c:pt>
                <c:pt idx="31">
                  <c:v>27.12</c:v>
                </c:pt>
                <c:pt idx="32">
                  <c:v>14.59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56.02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43.66</c:v>
                </c:pt>
                <c:pt idx="55">
                  <c:v>85.5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64.14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39.619999999999997</c:v>
                </c:pt>
                <c:pt idx="67">
                  <c:v>87.1</c:v>
                </c:pt>
                <c:pt idx="68">
                  <c:v>0</c:v>
                </c:pt>
                <c:pt idx="69">
                  <c:v>26.28</c:v>
                </c:pt>
                <c:pt idx="70">
                  <c:v>0</c:v>
                </c:pt>
                <c:pt idx="71">
                  <c:v>0</c:v>
                </c:pt>
                <c:pt idx="72">
                  <c:v>35.26</c:v>
                </c:pt>
                <c:pt idx="73">
                  <c:v>0</c:v>
                </c:pt>
                <c:pt idx="74">
                  <c:v>72.78</c:v>
                </c:pt>
                <c:pt idx="75">
                  <c:v>25.16</c:v>
                </c:pt>
                <c:pt idx="76">
                  <c:v>15.19</c:v>
                </c:pt>
                <c:pt idx="77">
                  <c:v>99.54</c:v>
                </c:pt>
                <c:pt idx="78">
                  <c:v>0</c:v>
                </c:pt>
                <c:pt idx="79">
                  <c:v>40.119999999999997</c:v>
                </c:pt>
                <c:pt idx="80">
                  <c:v>25.61</c:v>
                </c:pt>
                <c:pt idx="81">
                  <c:v>0</c:v>
                </c:pt>
                <c:pt idx="82">
                  <c:v>30.82</c:v>
                </c:pt>
              </c:numCache>
            </c:numRef>
          </c:xVal>
          <c:yVal>
            <c:numRef>
              <c:f>Spring!$Q$85:$Q$167</c:f>
              <c:numCache>
                <c:formatCode>0.000</c:formatCode>
                <c:ptCount val="83"/>
                <c:pt idx="0">
                  <c:v>17.909116588666599</c:v>
                </c:pt>
                <c:pt idx="1">
                  <c:v>12.5026276</c:v>
                </c:pt>
                <c:pt idx="2">
                  <c:v>12.258317999999999</c:v>
                </c:pt>
                <c:pt idx="3">
                  <c:v>12.736497399999999</c:v>
                </c:pt>
                <c:pt idx="4">
                  <c:v>11.8006866866666</c:v>
                </c:pt>
                <c:pt idx="5">
                  <c:v>25.906272033333298</c:v>
                </c:pt>
                <c:pt idx="6">
                  <c:v>15.555403466666601</c:v>
                </c:pt>
                <c:pt idx="7">
                  <c:v>12.1499004</c:v>
                </c:pt>
                <c:pt idx="8">
                  <c:v>11.5306084666666</c:v>
                </c:pt>
                <c:pt idx="9">
                  <c:v>10.979372994666599</c:v>
                </c:pt>
                <c:pt idx="10">
                  <c:v>15.365095666666599</c:v>
                </c:pt>
                <c:pt idx="11">
                  <c:v>11.7061532666666</c:v>
                </c:pt>
                <c:pt idx="12">
                  <c:v>10.3695922</c:v>
                </c:pt>
                <c:pt idx="13">
                  <c:v>10.998456733333301</c:v>
                </c:pt>
                <c:pt idx="14">
                  <c:v>11.4034091866666</c:v>
                </c:pt>
                <c:pt idx="15">
                  <c:v>10.587694328</c:v>
                </c:pt>
                <c:pt idx="16">
                  <c:v>8.4315058493333304</c:v>
                </c:pt>
                <c:pt idx="17">
                  <c:v>10.6954302066666</c:v>
                </c:pt>
                <c:pt idx="18">
                  <c:v>11.028182213333301</c:v>
                </c:pt>
                <c:pt idx="19">
                  <c:v>8.2315103599999997</c:v>
                </c:pt>
                <c:pt idx="20">
                  <c:v>7.7667874933333296</c:v>
                </c:pt>
                <c:pt idx="21">
                  <c:v>7.4946411733333296</c:v>
                </c:pt>
                <c:pt idx="22">
                  <c:v>9.6661808800000006</c:v>
                </c:pt>
                <c:pt idx="23">
                  <c:v>9.1230036933333292</c:v>
                </c:pt>
                <c:pt idx="24">
                  <c:v>7.9987784666666597</c:v>
                </c:pt>
                <c:pt idx="25">
                  <c:v>7.7637820933333304</c:v>
                </c:pt>
                <c:pt idx="26">
                  <c:v>11.7693315333333</c:v>
                </c:pt>
                <c:pt idx="27">
                  <c:v>7.3864227533333304</c:v>
                </c:pt>
                <c:pt idx="28">
                  <c:v>8.16305281333333</c:v>
                </c:pt>
                <c:pt idx="30">
                  <c:v>7.72098306</c:v>
                </c:pt>
                <c:pt idx="31">
                  <c:v>12.273739984000001</c:v>
                </c:pt>
                <c:pt idx="32">
                  <c:v>9.9380790066666602</c:v>
                </c:pt>
                <c:pt idx="33">
                  <c:v>8.2618505333333303</c:v>
                </c:pt>
                <c:pt idx="34">
                  <c:v>9.0383009999999899</c:v>
                </c:pt>
                <c:pt idx="35">
                  <c:v>9.2480751333333302</c:v>
                </c:pt>
                <c:pt idx="37">
                  <c:v>7.6434516266666597</c:v>
                </c:pt>
                <c:pt idx="38">
                  <c:v>6.1651286666666598</c:v>
                </c:pt>
                <c:pt idx="39">
                  <c:v>5.42235642666666</c:v>
                </c:pt>
                <c:pt idx="40">
                  <c:v>6.7731638133333298</c:v>
                </c:pt>
                <c:pt idx="41">
                  <c:v>9.6546325599999996</c:v>
                </c:pt>
                <c:pt idx="42">
                  <c:v>8.6037493866666601</c:v>
                </c:pt>
                <c:pt idx="43">
                  <c:v>7.5119917466666601</c:v>
                </c:pt>
                <c:pt idx="44">
                  <c:v>9.6479184666666598</c:v>
                </c:pt>
                <c:pt idx="45">
                  <c:v>5.7798811900000002</c:v>
                </c:pt>
                <c:pt idx="46">
                  <c:v>8.0249351333333294</c:v>
                </c:pt>
                <c:pt idx="47">
                  <c:v>6.3661506000000001</c:v>
                </c:pt>
                <c:pt idx="48">
                  <c:v>5.5522387866666598</c:v>
                </c:pt>
                <c:pt idx="49">
                  <c:v>5.2737517986666598</c:v>
                </c:pt>
                <c:pt idx="50">
                  <c:v>12.890712933333299</c:v>
                </c:pt>
                <c:pt idx="51">
                  <c:v>9.0212937866666607</c:v>
                </c:pt>
                <c:pt idx="52">
                  <c:v>9.7976981146666606</c:v>
                </c:pt>
                <c:pt idx="53">
                  <c:v>7.9770290266666599</c:v>
                </c:pt>
                <c:pt idx="54">
                  <c:v>8.7500032893333302</c:v>
                </c:pt>
                <c:pt idx="55">
                  <c:v>38.639293733333297</c:v>
                </c:pt>
                <c:pt idx="56">
                  <c:v>21.475960133333299</c:v>
                </c:pt>
                <c:pt idx="57">
                  <c:v>12.734633816800001</c:v>
                </c:pt>
                <c:pt idx="58">
                  <c:v>8.6821808133333302</c:v>
                </c:pt>
                <c:pt idx="59">
                  <c:v>16.170986133333301</c:v>
                </c:pt>
                <c:pt idx="61">
                  <c:v>12.641193039999999</c:v>
                </c:pt>
                <c:pt idx="62">
                  <c:v>10.0303982666666</c:v>
                </c:pt>
                <c:pt idx="64">
                  <c:v>9.1829196</c:v>
                </c:pt>
                <c:pt idx="65">
                  <c:v>10.3782316933333</c:v>
                </c:pt>
                <c:pt idx="66">
                  <c:v>9.8354738279999996</c:v>
                </c:pt>
                <c:pt idx="67">
                  <c:v>22.228124099999999</c:v>
                </c:pt>
                <c:pt idx="68">
                  <c:v>14.96945008</c:v>
                </c:pt>
                <c:pt idx="69">
                  <c:v>12.378681706666599</c:v>
                </c:pt>
                <c:pt idx="70">
                  <c:v>10.541740973333299</c:v>
                </c:pt>
                <c:pt idx="71">
                  <c:v>8.0138589866666603</c:v>
                </c:pt>
                <c:pt idx="72">
                  <c:v>8.3940114666666599</c:v>
                </c:pt>
                <c:pt idx="73">
                  <c:v>9.5848903199999906</c:v>
                </c:pt>
                <c:pt idx="74">
                  <c:v>16.9080908</c:v>
                </c:pt>
                <c:pt idx="75">
                  <c:v>13.3637106666666</c:v>
                </c:pt>
                <c:pt idx="76">
                  <c:v>9.3933083066666594</c:v>
                </c:pt>
                <c:pt idx="77">
                  <c:v>7.5067932800000001</c:v>
                </c:pt>
                <c:pt idx="78">
                  <c:v>5.4897123906666598</c:v>
                </c:pt>
                <c:pt idx="79">
                  <c:v>8.2732197266666603</c:v>
                </c:pt>
                <c:pt idx="80">
                  <c:v>6.5764189999999996</c:v>
                </c:pt>
                <c:pt idx="81">
                  <c:v>7.3791796666666603</c:v>
                </c:pt>
                <c:pt idx="82">
                  <c:v>9.8172653466666606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3E-4983-9CFE-F045C66DD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22767"/>
        <c:axId val="734720847"/>
      </c:scatterChart>
      <c:valAx>
        <c:axId val="73472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</a:t>
                </a:r>
                <a:r>
                  <a:rPr lang="en-US" baseline="0"/>
                  <a:t> concentration (uL/L)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0847"/>
        <c:crosses val="autoZero"/>
        <c:crossBetween val="midCat"/>
      </c:valAx>
      <c:valAx>
        <c:axId val="7347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Sonde Turbidity</a:t>
                </a:r>
                <a:r>
                  <a:rPr lang="en-US" baseline="0"/>
                  <a:t> (NTU)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2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vs Sonde</a:t>
            </a:r>
            <a:r>
              <a:rPr lang="en-US" baseline="0"/>
              <a:t> Turbidity - Downstream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Spring!$O$1</c:f>
              <c:strCache>
                <c:ptCount val="1"/>
                <c:pt idx="0">
                  <c:v>Downstream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1481207342379586"/>
                  <c:y val="-2.1690902077275365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Spring!$F$2:$F$83</c:f>
              <c:numCache>
                <c:formatCode>0.00</c:formatCode>
                <c:ptCount val="82"/>
                <c:pt idx="0">
                  <c:v>12.380952380952339</c:v>
                </c:pt>
                <c:pt idx="1">
                  <c:v>9.4736842105262955</c:v>
                </c:pt>
                <c:pt idx="2">
                  <c:v>5.0000000000000044</c:v>
                </c:pt>
                <c:pt idx="3">
                  <c:v>3.999999999999976</c:v>
                </c:pt>
                <c:pt idx="4">
                  <c:v>10.476190476190512</c:v>
                </c:pt>
                <c:pt idx="5">
                  <c:v>9.3333333333332309</c:v>
                </c:pt>
                <c:pt idx="6">
                  <c:v>9.6551724137929966</c:v>
                </c:pt>
                <c:pt idx="7">
                  <c:v>3.9999999999999298</c:v>
                </c:pt>
                <c:pt idx="8">
                  <c:v>1.4999999999999736</c:v>
                </c:pt>
                <c:pt idx="9">
                  <c:v>5.5000000000000879</c:v>
                </c:pt>
                <c:pt idx="10">
                  <c:v>23.157894736842042</c:v>
                </c:pt>
                <c:pt idx="11">
                  <c:v>15.000000000000014</c:v>
                </c:pt>
                <c:pt idx="12">
                  <c:v>8.9473684210526692</c:v>
                </c:pt>
                <c:pt idx="13">
                  <c:v>9.4999999999999254</c:v>
                </c:pt>
                <c:pt idx="14">
                  <c:v>4.2857142857143424</c:v>
                </c:pt>
                <c:pt idx="16">
                  <c:v>23.000000000000103</c:v>
                </c:pt>
                <c:pt idx="17">
                  <c:v>15.000000000000014</c:v>
                </c:pt>
                <c:pt idx="18">
                  <c:v>9.0909090909090988</c:v>
                </c:pt>
                <c:pt idx="19">
                  <c:v>7.5000000000000071</c:v>
                </c:pt>
                <c:pt idx="20">
                  <c:v>4.3750000000000382</c:v>
                </c:pt>
                <c:pt idx="22">
                  <c:v>5.6249999999999005</c:v>
                </c:pt>
                <c:pt idx="23">
                  <c:v>6.6666666666666723</c:v>
                </c:pt>
                <c:pt idx="27">
                  <c:v>10.344827586206906</c:v>
                </c:pt>
                <c:pt idx="28">
                  <c:v>5.3333333333333011</c:v>
                </c:pt>
                <c:pt idx="29">
                  <c:v>6.4285714285715132</c:v>
                </c:pt>
                <c:pt idx="30">
                  <c:v>6.4285714285713151</c:v>
                </c:pt>
                <c:pt idx="31">
                  <c:v>14.193548387096822</c:v>
                </c:pt>
                <c:pt idx="32">
                  <c:v>14.736842105263287</c:v>
                </c:pt>
                <c:pt idx="33">
                  <c:v>18.947368421052882</c:v>
                </c:pt>
                <c:pt idx="34">
                  <c:v>26.086956521739157</c:v>
                </c:pt>
                <c:pt idx="35">
                  <c:v>7.2727272727274812</c:v>
                </c:pt>
                <c:pt idx="37">
                  <c:v>5.3333333333333011</c:v>
                </c:pt>
                <c:pt idx="38">
                  <c:v>5.0000000000000444</c:v>
                </c:pt>
                <c:pt idx="40">
                  <c:v>22.012578616352222</c:v>
                </c:pt>
                <c:pt idx="41">
                  <c:v>12.142857142857194</c:v>
                </c:pt>
                <c:pt idx="42">
                  <c:v>10.666666666666602</c:v>
                </c:pt>
                <c:pt idx="43">
                  <c:v>5.2941176470588935</c:v>
                </c:pt>
                <c:pt idx="44">
                  <c:v>4.1176470588235654</c:v>
                </c:pt>
                <c:pt idx="45">
                  <c:v>8.1250000000001457</c:v>
                </c:pt>
                <c:pt idx="46">
                  <c:v>6.8750000000001101</c:v>
                </c:pt>
                <c:pt idx="47">
                  <c:v>4.8275862068965933</c:v>
                </c:pt>
                <c:pt idx="48">
                  <c:v>2.3529411764706558</c:v>
                </c:pt>
                <c:pt idx="49">
                  <c:v>5.3333333333333011</c:v>
                </c:pt>
                <c:pt idx="50">
                  <c:v>5.2941176470587292</c:v>
                </c:pt>
                <c:pt idx="51">
                  <c:v>3.2258064516129061</c:v>
                </c:pt>
                <c:pt idx="52">
                  <c:v>0</c:v>
                </c:pt>
                <c:pt idx="53">
                  <c:v>3.3333333333333361</c:v>
                </c:pt>
                <c:pt idx="54">
                  <c:v>5.3333333333333011</c:v>
                </c:pt>
                <c:pt idx="55">
                  <c:v>12.666666666666567</c:v>
                </c:pt>
                <c:pt idx="56">
                  <c:v>10.666666666666787</c:v>
                </c:pt>
                <c:pt idx="57">
                  <c:v>7.8571428571427848</c:v>
                </c:pt>
                <c:pt idx="58">
                  <c:v>8.6666666666666377</c:v>
                </c:pt>
                <c:pt idx="59">
                  <c:v>9.3750000000000089</c:v>
                </c:pt>
                <c:pt idx="60">
                  <c:v>41.999999999999993</c:v>
                </c:pt>
                <c:pt idx="61">
                  <c:v>17.419354838709729</c:v>
                </c:pt>
                <c:pt idx="62">
                  <c:v>6.6666666666666723</c:v>
                </c:pt>
                <c:pt idx="63">
                  <c:v>2.5000000000000715</c:v>
                </c:pt>
                <c:pt idx="64">
                  <c:v>6.000000000000079</c:v>
                </c:pt>
                <c:pt idx="65">
                  <c:v>22.142857142857082</c:v>
                </c:pt>
                <c:pt idx="66">
                  <c:v>10.000000000000009</c:v>
                </c:pt>
                <c:pt idx="67">
                  <c:v>6.4285714285713151</c:v>
                </c:pt>
                <c:pt idx="68">
                  <c:v>18.000000000000053</c:v>
                </c:pt>
                <c:pt idx="69">
                  <c:v>9.3333333333334156</c:v>
                </c:pt>
                <c:pt idx="70">
                  <c:v>5.7142857142856798</c:v>
                </c:pt>
                <c:pt idx="71">
                  <c:v>2.8571428571429389</c:v>
                </c:pt>
                <c:pt idx="72">
                  <c:v>20.666666666666611</c:v>
                </c:pt>
                <c:pt idx="74">
                  <c:v>11.87500000000008</c:v>
                </c:pt>
                <c:pt idx="76">
                  <c:v>2.8571428571429389</c:v>
                </c:pt>
                <c:pt idx="78">
                  <c:v>4.6666666666667078</c:v>
                </c:pt>
                <c:pt idx="79">
                  <c:v>8.7500000000000764</c:v>
                </c:pt>
                <c:pt idx="80">
                  <c:v>9.3333333333334156</c:v>
                </c:pt>
                <c:pt idx="81">
                  <c:v>7.1428571428571495</c:v>
                </c:pt>
              </c:numCache>
            </c:numRef>
          </c:xVal>
          <c:yVal>
            <c:numRef>
              <c:f>Spring!$O$2:$O$83</c:f>
              <c:numCache>
                <c:formatCode>0.000</c:formatCode>
                <c:ptCount val="82"/>
                <c:pt idx="0">
                  <c:v>6.3695391092076497</c:v>
                </c:pt>
                <c:pt idx="1">
                  <c:v>6.3686278197342103</c:v>
                </c:pt>
                <c:pt idx="2">
                  <c:v>6.3677165302607701</c:v>
                </c:pt>
                <c:pt idx="3">
                  <c:v>6.3668052407873201</c:v>
                </c:pt>
                <c:pt idx="4">
                  <c:v>6.3640713723669897</c:v>
                </c:pt>
                <c:pt idx="5">
                  <c:v>6.3631600828935397</c:v>
                </c:pt>
                <c:pt idx="6">
                  <c:v>6.3613375039466602</c:v>
                </c:pt>
                <c:pt idx="7">
                  <c:v>6.3604262144732102</c:v>
                </c:pt>
                <c:pt idx="8">
                  <c:v>6.35951492499977</c:v>
                </c:pt>
                <c:pt idx="9">
                  <c:v>5.28249032</c:v>
                </c:pt>
                <c:pt idx="12">
                  <c:v>12.815805599999999</c:v>
                </c:pt>
                <c:pt idx="13">
                  <c:v>12.0457119999999</c:v>
                </c:pt>
                <c:pt idx="14">
                  <c:v>10.67219704</c:v>
                </c:pt>
                <c:pt idx="15">
                  <c:v>12.4510858</c:v>
                </c:pt>
                <c:pt idx="16">
                  <c:v>21.1627592</c:v>
                </c:pt>
                <c:pt idx="17">
                  <c:v>14.5804768</c:v>
                </c:pt>
                <c:pt idx="18">
                  <c:v>12.4211408</c:v>
                </c:pt>
                <c:pt idx="19">
                  <c:v>10.916756999999899</c:v>
                </c:pt>
                <c:pt idx="20">
                  <c:v>12.41495316</c:v>
                </c:pt>
                <c:pt idx="21">
                  <c:v>10.38733716</c:v>
                </c:pt>
                <c:pt idx="22">
                  <c:v>9.4103997199999991</c:v>
                </c:pt>
                <c:pt idx="23">
                  <c:v>8.6639274400000001</c:v>
                </c:pt>
                <c:pt idx="24">
                  <c:v>8.1745655151999994</c:v>
                </c:pt>
                <c:pt idx="25">
                  <c:v>8.8986113000000007</c:v>
                </c:pt>
                <c:pt idx="26">
                  <c:v>8.95110431999999</c:v>
                </c:pt>
                <c:pt idx="27">
                  <c:v>9.3171799199999992</c:v>
                </c:pt>
                <c:pt idx="28">
                  <c:v>9.2401945999999899</c:v>
                </c:pt>
                <c:pt idx="29">
                  <c:v>6.6271815599999897</c:v>
                </c:pt>
                <c:pt idx="30">
                  <c:v>6.83403183999999</c:v>
                </c:pt>
                <c:pt idx="31">
                  <c:v>8.1550506400000007</c:v>
                </c:pt>
                <c:pt idx="32">
                  <c:v>13.7088416</c:v>
                </c:pt>
                <c:pt idx="33">
                  <c:v>10.1428473999999</c:v>
                </c:pt>
                <c:pt idx="34">
                  <c:v>8.9488770800000008</c:v>
                </c:pt>
                <c:pt idx="35">
                  <c:v>8.6484638799999995</c:v>
                </c:pt>
                <c:pt idx="36">
                  <c:v>9.1187322399999999</c:v>
                </c:pt>
                <c:pt idx="37">
                  <c:v>8.1289062039999997</c:v>
                </c:pt>
                <c:pt idx="38">
                  <c:v>7.2309412399999999</c:v>
                </c:pt>
                <c:pt idx="39">
                  <c:v>6.1800801999999999</c:v>
                </c:pt>
                <c:pt idx="40">
                  <c:v>7.1972571599999897</c:v>
                </c:pt>
                <c:pt idx="41">
                  <c:v>7.6360871199999902</c:v>
                </c:pt>
                <c:pt idx="42">
                  <c:v>6.68355736</c:v>
                </c:pt>
                <c:pt idx="43">
                  <c:v>6.0356489199999999</c:v>
                </c:pt>
                <c:pt idx="44">
                  <c:v>7.2851257199999999</c:v>
                </c:pt>
                <c:pt idx="45">
                  <c:v>8.6648960400000004</c:v>
                </c:pt>
                <c:pt idx="46">
                  <c:v>10.076955359999999</c:v>
                </c:pt>
                <c:pt idx="47">
                  <c:v>7.5388328024</c:v>
                </c:pt>
                <c:pt idx="48">
                  <c:v>8.1453577599999996</c:v>
                </c:pt>
                <c:pt idx="49">
                  <c:v>7.4115104000000001</c:v>
                </c:pt>
                <c:pt idx="50">
                  <c:v>6.8345387903999999</c:v>
                </c:pt>
                <c:pt idx="51">
                  <c:v>7.9445271199999903</c:v>
                </c:pt>
                <c:pt idx="52">
                  <c:v>7.4290512799999897</c:v>
                </c:pt>
                <c:pt idx="53">
                  <c:v>5.25875556</c:v>
                </c:pt>
                <c:pt idx="54">
                  <c:v>6.4666904799999898</c:v>
                </c:pt>
                <c:pt idx="55">
                  <c:v>14.551988908</c:v>
                </c:pt>
                <c:pt idx="56">
                  <c:v>8.8853135287999994</c:v>
                </c:pt>
                <c:pt idx="57">
                  <c:v>11.209641884</c:v>
                </c:pt>
                <c:pt idx="58">
                  <c:v>10.423064119999999</c:v>
                </c:pt>
                <c:pt idx="59">
                  <c:v>8.3597602844000001</c:v>
                </c:pt>
                <c:pt idx="60">
                  <c:v>43.856735999999998</c:v>
                </c:pt>
                <c:pt idx="61">
                  <c:v>16.958527199999999</c:v>
                </c:pt>
                <c:pt idx="62">
                  <c:v>12.384886399999999</c:v>
                </c:pt>
                <c:pt idx="63">
                  <c:v>11.245605614480001</c:v>
                </c:pt>
                <c:pt idx="64">
                  <c:v>13.655055599999899</c:v>
                </c:pt>
                <c:pt idx="65">
                  <c:v>22.0529236</c:v>
                </c:pt>
                <c:pt idx="66">
                  <c:v>12.440960799999999</c:v>
                </c:pt>
                <c:pt idx="67">
                  <c:v>9.0430761999999998</c:v>
                </c:pt>
                <c:pt idx="68">
                  <c:v>11.007816999999999</c:v>
                </c:pt>
                <c:pt idx="69">
                  <c:v>9.7772273199999997</c:v>
                </c:pt>
                <c:pt idx="70">
                  <c:v>8.0378636399999994</c:v>
                </c:pt>
                <c:pt idx="71">
                  <c:v>10.11803948328</c:v>
                </c:pt>
                <c:pt idx="72">
                  <c:v>20.03069</c:v>
                </c:pt>
                <c:pt idx="73">
                  <c:v>14.313794400000001</c:v>
                </c:pt>
                <c:pt idx="74">
                  <c:v>10.664316599999999</c:v>
                </c:pt>
                <c:pt idx="75">
                  <c:v>8.5506115000000005</c:v>
                </c:pt>
                <c:pt idx="76">
                  <c:v>9.0879493359999994</c:v>
                </c:pt>
                <c:pt idx="77">
                  <c:v>8.8480133999999993</c:v>
                </c:pt>
                <c:pt idx="78">
                  <c:v>10.664316599999999</c:v>
                </c:pt>
                <c:pt idx="79">
                  <c:v>15.2589617119999</c:v>
                </c:pt>
                <c:pt idx="80">
                  <c:v>9.9651312127999994</c:v>
                </c:pt>
                <c:pt idx="81">
                  <c:v>8.4859850784000006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11-49FF-9B4B-DFBC21217CC9}"/>
            </c:ext>
          </c:extLst>
        </c:ser>
        <c:ser>
          <c:idx val="1"/>
          <c:order val="1"/>
          <c:tx>
            <c:strRef>
              <c:f>Spring!$Q$1</c:f>
              <c:strCache>
                <c:ptCount val="1"/>
                <c:pt idx="0">
                  <c:v>Upstream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314536622732359"/>
                  <c:y val="-0.1291727135642613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Spring!$F$2:$F$83</c:f>
              <c:numCache>
                <c:formatCode>0.00</c:formatCode>
                <c:ptCount val="82"/>
                <c:pt idx="0">
                  <c:v>12.380952380952339</c:v>
                </c:pt>
                <c:pt idx="1">
                  <c:v>9.4736842105262955</c:v>
                </c:pt>
                <c:pt idx="2">
                  <c:v>5.0000000000000044</c:v>
                </c:pt>
                <c:pt idx="3">
                  <c:v>3.999999999999976</c:v>
                </c:pt>
                <c:pt idx="4">
                  <c:v>10.476190476190512</c:v>
                </c:pt>
                <c:pt idx="5">
                  <c:v>9.3333333333332309</c:v>
                </c:pt>
                <c:pt idx="6">
                  <c:v>9.6551724137929966</c:v>
                </c:pt>
                <c:pt idx="7">
                  <c:v>3.9999999999999298</c:v>
                </c:pt>
                <c:pt idx="8">
                  <c:v>1.4999999999999736</c:v>
                </c:pt>
                <c:pt idx="9">
                  <c:v>5.5000000000000879</c:v>
                </c:pt>
                <c:pt idx="10">
                  <c:v>23.157894736842042</c:v>
                </c:pt>
                <c:pt idx="11">
                  <c:v>15.000000000000014</c:v>
                </c:pt>
                <c:pt idx="12">
                  <c:v>8.9473684210526692</c:v>
                </c:pt>
                <c:pt idx="13">
                  <c:v>9.4999999999999254</c:v>
                </c:pt>
                <c:pt idx="14">
                  <c:v>4.2857142857143424</c:v>
                </c:pt>
                <c:pt idx="16">
                  <c:v>23.000000000000103</c:v>
                </c:pt>
                <c:pt idx="17">
                  <c:v>15.000000000000014</c:v>
                </c:pt>
                <c:pt idx="18">
                  <c:v>9.0909090909090988</c:v>
                </c:pt>
                <c:pt idx="19">
                  <c:v>7.5000000000000071</c:v>
                </c:pt>
                <c:pt idx="20">
                  <c:v>4.3750000000000382</c:v>
                </c:pt>
                <c:pt idx="22">
                  <c:v>5.6249999999999005</c:v>
                </c:pt>
                <c:pt idx="23">
                  <c:v>6.6666666666666723</c:v>
                </c:pt>
                <c:pt idx="27">
                  <c:v>10.344827586206906</c:v>
                </c:pt>
                <c:pt idx="28">
                  <c:v>5.3333333333333011</c:v>
                </c:pt>
                <c:pt idx="29">
                  <c:v>6.4285714285715132</c:v>
                </c:pt>
                <c:pt idx="30">
                  <c:v>6.4285714285713151</c:v>
                </c:pt>
                <c:pt idx="31">
                  <c:v>14.193548387096822</c:v>
                </c:pt>
                <c:pt idx="32">
                  <c:v>14.736842105263287</c:v>
                </c:pt>
                <c:pt idx="33">
                  <c:v>18.947368421052882</c:v>
                </c:pt>
                <c:pt idx="34">
                  <c:v>26.086956521739157</c:v>
                </c:pt>
                <c:pt idx="35">
                  <c:v>7.2727272727274812</c:v>
                </c:pt>
                <c:pt idx="37">
                  <c:v>5.3333333333333011</c:v>
                </c:pt>
                <c:pt idx="38">
                  <c:v>5.0000000000000444</c:v>
                </c:pt>
                <c:pt idx="40">
                  <c:v>22.012578616352222</c:v>
                </c:pt>
                <c:pt idx="41">
                  <c:v>12.142857142857194</c:v>
                </c:pt>
                <c:pt idx="42">
                  <c:v>10.666666666666602</c:v>
                </c:pt>
                <c:pt idx="43">
                  <c:v>5.2941176470588935</c:v>
                </c:pt>
                <c:pt idx="44">
                  <c:v>4.1176470588235654</c:v>
                </c:pt>
                <c:pt idx="45">
                  <c:v>8.1250000000001457</c:v>
                </c:pt>
                <c:pt idx="46">
                  <c:v>6.8750000000001101</c:v>
                </c:pt>
                <c:pt idx="47">
                  <c:v>4.8275862068965933</c:v>
                </c:pt>
                <c:pt idx="48">
                  <c:v>2.3529411764706558</c:v>
                </c:pt>
                <c:pt idx="49">
                  <c:v>5.3333333333333011</c:v>
                </c:pt>
                <c:pt idx="50">
                  <c:v>5.2941176470587292</c:v>
                </c:pt>
                <c:pt idx="51">
                  <c:v>3.2258064516129061</c:v>
                </c:pt>
                <c:pt idx="52">
                  <c:v>0</c:v>
                </c:pt>
                <c:pt idx="53">
                  <c:v>3.3333333333333361</c:v>
                </c:pt>
                <c:pt idx="54">
                  <c:v>5.3333333333333011</c:v>
                </c:pt>
                <c:pt idx="55">
                  <c:v>12.666666666666567</c:v>
                </c:pt>
                <c:pt idx="56">
                  <c:v>10.666666666666787</c:v>
                </c:pt>
                <c:pt idx="57">
                  <c:v>7.8571428571427848</c:v>
                </c:pt>
                <c:pt idx="58">
                  <c:v>8.6666666666666377</c:v>
                </c:pt>
                <c:pt idx="59">
                  <c:v>9.3750000000000089</c:v>
                </c:pt>
                <c:pt idx="60">
                  <c:v>41.999999999999993</c:v>
                </c:pt>
                <c:pt idx="61">
                  <c:v>17.419354838709729</c:v>
                </c:pt>
                <c:pt idx="62">
                  <c:v>6.6666666666666723</c:v>
                </c:pt>
                <c:pt idx="63">
                  <c:v>2.5000000000000715</c:v>
                </c:pt>
                <c:pt idx="64">
                  <c:v>6.000000000000079</c:v>
                </c:pt>
                <c:pt idx="65">
                  <c:v>22.142857142857082</c:v>
                </c:pt>
                <c:pt idx="66">
                  <c:v>10.000000000000009</c:v>
                </c:pt>
                <c:pt idx="67">
                  <c:v>6.4285714285713151</c:v>
                </c:pt>
                <c:pt idx="68">
                  <c:v>18.000000000000053</c:v>
                </c:pt>
                <c:pt idx="69">
                  <c:v>9.3333333333334156</c:v>
                </c:pt>
                <c:pt idx="70">
                  <c:v>5.7142857142856798</c:v>
                </c:pt>
                <c:pt idx="71">
                  <c:v>2.8571428571429389</c:v>
                </c:pt>
                <c:pt idx="72">
                  <c:v>20.666666666666611</c:v>
                </c:pt>
                <c:pt idx="74">
                  <c:v>11.87500000000008</c:v>
                </c:pt>
                <c:pt idx="76">
                  <c:v>2.8571428571429389</c:v>
                </c:pt>
                <c:pt idx="78">
                  <c:v>4.6666666666667078</c:v>
                </c:pt>
                <c:pt idx="79">
                  <c:v>8.7500000000000764</c:v>
                </c:pt>
                <c:pt idx="80">
                  <c:v>9.3333333333334156</c:v>
                </c:pt>
                <c:pt idx="81">
                  <c:v>7.1428571428571495</c:v>
                </c:pt>
              </c:numCache>
            </c:numRef>
          </c:xVal>
          <c:yVal>
            <c:numRef>
              <c:f>Spring!$Q$2:$Q$83</c:f>
              <c:numCache>
                <c:formatCode>0.000</c:formatCode>
                <c:ptCount val="82"/>
                <c:pt idx="0">
                  <c:v>3.9399494811242901</c:v>
                </c:pt>
                <c:pt idx="1">
                  <c:v>3.9404717424825901</c:v>
                </c:pt>
                <c:pt idx="2">
                  <c:v>3.9409940038408902</c:v>
                </c:pt>
                <c:pt idx="3">
                  <c:v>3.9415162651991902</c:v>
                </c:pt>
                <c:pt idx="4">
                  <c:v>3.9430830492740898</c:v>
                </c:pt>
                <c:pt idx="5">
                  <c:v>3.9436053106323898</c:v>
                </c:pt>
                <c:pt idx="6">
                  <c:v>3.9446498333489801</c:v>
                </c:pt>
                <c:pt idx="7">
                  <c:v>3.9451720947072801</c:v>
                </c:pt>
                <c:pt idx="8">
                  <c:v>3.9456943560655802</c:v>
                </c:pt>
                <c:pt idx="9">
                  <c:v>4.8290856666666597</c:v>
                </c:pt>
                <c:pt idx="11">
                  <c:v>17.909116588666599</c:v>
                </c:pt>
                <c:pt idx="12">
                  <c:v>12.5026276</c:v>
                </c:pt>
                <c:pt idx="13">
                  <c:v>12.258317999999999</c:v>
                </c:pt>
                <c:pt idx="14">
                  <c:v>12.736497399999999</c:v>
                </c:pt>
                <c:pt idx="15">
                  <c:v>11.8006866866666</c:v>
                </c:pt>
                <c:pt idx="16">
                  <c:v>25.906272033333298</c:v>
                </c:pt>
                <c:pt idx="17">
                  <c:v>15.555403466666601</c:v>
                </c:pt>
                <c:pt idx="18">
                  <c:v>12.1499004</c:v>
                </c:pt>
                <c:pt idx="19">
                  <c:v>11.5306084666666</c:v>
                </c:pt>
                <c:pt idx="20">
                  <c:v>10.979372994666599</c:v>
                </c:pt>
                <c:pt idx="21">
                  <c:v>10.915366333333299</c:v>
                </c:pt>
                <c:pt idx="22">
                  <c:v>11.4034091866666</c:v>
                </c:pt>
                <c:pt idx="23">
                  <c:v>10.587694328</c:v>
                </c:pt>
                <c:pt idx="24">
                  <c:v>8.1144903866666596</c:v>
                </c:pt>
                <c:pt idx="25">
                  <c:v>8.4315058493333304</c:v>
                </c:pt>
                <c:pt idx="26">
                  <c:v>10.6954302066666</c:v>
                </c:pt>
                <c:pt idx="27">
                  <c:v>11.7693315333333</c:v>
                </c:pt>
                <c:pt idx="28">
                  <c:v>7.3864227533333304</c:v>
                </c:pt>
                <c:pt idx="29">
                  <c:v>8.16305281333333</c:v>
                </c:pt>
                <c:pt idx="31">
                  <c:v>7.72098306</c:v>
                </c:pt>
                <c:pt idx="32">
                  <c:v>12.273739984000001</c:v>
                </c:pt>
                <c:pt idx="33">
                  <c:v>9.9380790066666602</c:v>
                </c:pt>
                <c:pt idx="34">
                  <c:v>8.2618505333333303</c:v>
                </c:pt>
                <c:pt idx="35">
                  <c:v>9.0178020266666596</c:v>
                </c:pt>
                <c:pt idx="36">
                  <c:v>9.0383009999999899</c:v>
                </c:pt>
                <c:pt idx="37">
                  <c:v>9.2480751333333302</c:v>
                </c:pt>
                <c:pt idx="38">
                  <c:v>7.38463257333333</c:v>
                </c:pt>
                <c:pt idx="39">
                  <c:v>5.6839421333333302</c:v>
                </c:pt>
                <c:pt idx="41">
                  <c:v>7.6434516266666597</c:v>
                </c:pt>
                <c:pt idx="42">
                  <c:v>6.1651286666666598</c:v>
                </c:pt>
                <c:pt idx="43">
                  <c:v>5.42235642666666</c:v>
                </c:pt>
                <c:pt idx="44">
                  <c:v>6.7731638133333298</c:v>
                </c:pt>
                <c:pt idx="45">
                  <c:v>9.6546325599999996</c:v>
                </c:pt>
                <c:pt idx="46">
                  <c:v>8.6037493866666601</c:v>
                </c:pt>
                <c:pt idx="47">
                  <c:v>7.5119917466666601</c:v>
                </c:pt>
                <c:pt idx="48">
                  <c:v>9.6479184666666598</c:v>
                </c:pt>
                <c:pt idx="49">
                  <c:v>5.7798811900000002</c:v>
                </c:pt>
                <c:pt idx="50">
                  <c:v>8.0249351333333294</c:v>
                </c:pt>
                <c:pt idx="51">
                  <c:v>6.3661506000000001</c:v>
                </c:pt>
                <c:pt idx="52">
                  <c:v>5.5522387866666598</c:v>
                </c:pt>
                <c:pt idx="53">
                  <c:v>5.6392486266666602</c:v>
                </c:pt>
                <c:pt idx="54">
                  <c:v>5.2737517986666598</c:v>
                </c:pt>
                <c:pt idx="55">
                  <c:v>12.890712933333299</c:v>
                </c:pt>
                <c:pt idx="56">
                  <c:v>9.0212937866666607</c:v>
                </c:pt>
                <c:pt idx="57">
                  <c:v>9.7976981146666606</c:v>
                </c:pt>
                <c:pt idx="58">
                  <c:v>7.9770290266666599</c:v>
                </c:pt>
                <c:pt idx="59">
                  <c:v>8.7500032893333302</c:v>
                </c:pt>
                <c:pt idx="60">
                  <c:v>38.639293733333297</c:v>
                </c:pt>
                <c:pt idx="61">
                  <c:v>21.475960133333299</c:v>
                </c:pt>
                <c:pt idx="62">
                  <c:v>12.734633816800001</c:v>
                </c:pt>
                <c:pt idx="63">
                  <c:v>8.6821808133333302</c:v>
                </c:pt>
                <c:pt idx="64">
                  <c:v>16.170986133333301</c:v>
                </c:pt>
                <c:pt idx="66">
                  <c:v>12.641193039999999</c:v>
                </c:pt>
                <c:pt idx="67">
                  <c:v>10.0303982666666</c:v>
                </c:pt>
                <c:pt idx="69">
                  <c:v>9.1829196</c:v>
                </c:pt>
                <c:pt idx="70">
                  <c:v>10.3782316933333</c:v>
                </c:pt>
                <c:pt idx="71">
                  <c:v>9.8354738279999996</c:v>
                </c:pt>
                <c:pt idx="72">
                  <c:v>22.228124099999999</c:v>
                </c:pt>
                <c:pt idx="73">
                  <c:v>14.96945008</c:v>
                </c:pt>
                <c:pt idx="74">
                  <c:v>12.378681706666599</c:v>
                </c:pt>
                <c:pt idx="75">
                  <c:v>10.541740973333299</c:v>
                </c:pt>
                <c:pt idx="76">
                  <c:v>8.0138589866666603</c:v>
                </c:pt>
                <c:pt idx="77">
                  <c:v>8.3940114666666599</c:v>
                </c:pt>
                <c:pt idx="78">
                  <c:v>12.378681706666599</c:v>
                </c:pt>
                <c:pt idx="79">
                  <c:v>16.9080908</c:v>
                </c:pt>
                <c:pt idx="80">
                  <c:v>9.3933083066666594</c:v>
                </c:pt>
                <c:pt idx="81">
                  <c:v>7.5067932800000001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11-49FF-9B4B-DFBC21217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22767"/>
        <c:axId val="734720847"/>
      </c:scatterChart>
      <c:valAx>
        <c:axId val="73472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</a:t>
                </a:r>
                <a:r>
                  <a:rPr lang="en-US" baseline="0"/>
                  <a:t> concentration (uL/L)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0847"/>
        <c:crosses val="autoZero"/>
        <c:crossBetween val="midCat"/>
      </c:valAx>
      <c:valAx>
        <c:axId val="7347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Sonde Turbidity</a:t>
                </a:r>
                <a:r>
                  <a:rPr lang="en-US" baseline="0"/>
                  <a:t> (NTU)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2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vs Sonde</a:t>
            </a:r>
            <a:r>
              <a:rPr lang="en-US" baseline="0"/>
              <a:t> Turbidity - Upstream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Spring!$O$1</c:f>
              <c:strCache>
                <c:ptCount val="1"/>
                <c:pt idx="0">
                  <c:v>Downstream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1481207342379586"/>
                  <c:y val="-2.1690902077275365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Spring!$F$86:$F$167</c:f>
              <c:numCache>
                <c:formatCode>0.00</c:formatCode>
                <c:ptCount val="82"/>
                <c:pt idx="0">
                  <c:v>6.3157894736842453</c:v>
                </c:pt>
                <c:pt idx="2">
                  <c:v>10.000000000000066</c:v>
                </c:pt>
                <c:pt idx="3">
                  <c:v>6.8181818181816984</c:v>
                </c:pt>
                <c:pt idx="4">
                  <c:v>21.499999999999993</c:v>
                </c:pt>
                <c:pt idx="5">
                  <c:v>11.05263157894732</c:v>
                </c:pt>
                <c:pt idx="6">
                  <c:v>17.999999999999961</c:v>
                </c:pt>
                <c:pt idx="7">
                  <c:v>6.4999999999999778</c:v>
                </c:pt>
                <c:pt idx="8">
                  <c:v>7.999999999999952</c:v>
                </c:pt>
                <c:pt idx="9">
                  <c:v>11.999999999999789</c:v>
                </c:pt>
                <c:pt idx="10">
                  <c:v>5.9999999999998943</c:v>
                </c:pt>
                <c:pt idx="11">
                  <c:v>8.888888888888836</c:v>
                </c:pt>
                <c:pt idx="12">
                  <c:v>12.222222222222108</c:v>
                </c:pt>
                <c:pt idx="13">
                  <c:v>6.8750000000001101</c:v>
                </c:pt>
                <c:pt idx="14">
                  <c:v>4.6666666666667078</c:v>
                </c:pt>
                <c:pt idx="15">
                  <c:v>5.3333333333333011</c:v>
                </c:pt>
                <c:pt idx="16">
                  <c:v>6.000000000000079</c:v>
                </c:pt>
                <c:pt idx="17">
                  <c:v>17.857142857142676</c:v>
                </c:pt>
                <c:pt idx="18">
                  <c:v>3.9999999999999298</c:v>
                </c:pt>
                <c:pt idx="19">
                  <c:v>6.6666666666666723</c:v>
                </c:pt>
                <c:pt idx="20">
                  <c:v>5.5172413793103114</c:v>
                </c:pt>
                <c:pt idx="21">
                  <c:v>5.3333333333334858</c:v>
                </c:pt>
                <c:pt idx="22">
                  <c:v>8.0000000000000444</c:v>
                </c:pt>
                <c:pt idx="23">
                  <c:v>7.3333333333334512</c:v>
                </c:pt>
                <c:pt idx="25">
                  <c:v>11.249999999999975</c:v>
                </c:pt>
                <c:pt idx="26">
                  <c:v>5.1612903225806139</c:v>
                </c:pt>
                <c:pt idx="27">
                  <c:v>8.6666666666666377</c:v>
                </c:pt>
                <c:pt idx="28">
                  <c:v>8.5714285714286191</c:v>
                </c:pt>
                <c:pt idx="30">
                  <c:v>15.000000000000083</c:v>
                </c:pt>
                <c:pt idx="31">
                  <c:v>7.1428571428571495</c:v>
                </c:pt>
                <c:pt idx="32">
                  <c:v>4.1176470588235654</c:v>
                </c:pt>
                <c:pt idx="33">
                  <c:v>7.1428571428571495</c:v>
                </c:pt>
                <c:pt idx="35">
                  <c:v>5.5172413793103114</c:v>
                </c:pt>
                <c:pt idx="36">
                  <c:v>11.33333333333338</c:v>
                </c:pt>
                <c:pt idx="37">
                  <c:v>6.6666666666666723</c:v>
                </c:pt>
                <c:pt idx="38">
                  <c:v>5.2941176470588935</c:v>
                </c:pt>
                <c:pt idx="40">
                  <c:v>7.5000000000000417</c:v>
                </c:pt>
                <c:pt idx="42">
                  <c:v>8.1249999999999734</c:v>
                </c:pt>
                <c:pt idx="43">
                  <c:v>11.612903225806427</c:v>
                </c:pt>
                <c:pt idx="44">
                  <c:v>8.1249999999999734</c:v>
                </c:pt>
                <c:pt idx="45">
                  <c:v>6.6666666666666723</c:v>
                </c:pt>
                <c:pt idx="46">
                  <c:v>3.7499999999999338</c:v>
                </c:pt>
                <c:pt idx="47">
                  <c:v>11.249999999999975</c:v>
                </c:pt>
                <c:pt idx="48">
                  <c:v>4.6666666666665231</c:v>
                </c:pt>
                <c:pt idx="49">
                  <c:v>14.545454545454458</c:v>
                </c:pt>
                <c:pt idx="50">
                  <c:v>9.2857142857142527</c:v>
                </c:pt>
                <c:pt idx="51">
                  <c:v>6.8750000000001101</c:v>
                </c:pt>
                <c:pt idx="52">
                  <c:v>2.5000000000000715</c:v>
                </c:pt>
                <c:pt idx="53">
                  <c:v>12.666666666666751</c:v>
                </c:pt>
                <c:pt idx="54">
                  <c:v>45.000000000000007</c:v>
                </c:pt>
                <c:pt idx="55">
                  <c:v>13.99999999999994</c:v>
                </c:pt>
                <c:pt idx="56">
                  <c:v>10.000000000000009</c:v>
                </c:pt>
                <c:pt idx="57">
                  <c:v>8.1249999999999734</c:v>
                </c:pt>
                <c:pt idx="58">
                  <c:v>13.529411764705863</c:v>
                </c:pt>
                <c:pt idx="59">
                  <c:v>20.000000000000018</c:v>
                </c:pt>
                <c:pt idx="60">
                  <c:v>9.9999999999999396</c:v>
                </c:pt>
                <c:pt idx="61">
                  <c:v>0.62500000000010458</c:v>
                </c:pt>
                <c:pt idx="62">
                  <c:v>4.3750000000000382</c:v>
                </c:pt>
                <c:pt idx="63">
                  <c:v>3.3333333333333361</c:v>
                </c:pt>
                <c:pt idx="64">
                  <c:v>5.0000000000000444</c:v>
                </c:pt>
                <c:pt idx="65">
                  <c:v>10.666666666666602</c:v>
                </c:pt>
                <c:pt idx="66">
                  <c:v>24.374999999999918</c:v>
                </c:pt>
                <c:pt idx="69">
                  <c:v>5.6249999999999005</c:v>
                </c:pt>
                <c:pt idx="72">
                  <c:v>1.2903225806451981</c:v>
                </c:pt>
                <c:pt idx="74">
                  <c:v>0.71428571428583387</c:v>
                </c:pt>
                <c:pt idx="75">
                  <c:v>5.7142857142856798</c:v>
                </c:pt>
                <c:pt idx="77">
                  <c:v>2.142857142857105</c:v>
                </c:pt>
                <c:pt idx="79">
                  <c:v>0.66666666666677832</c:v>
                </c:pt>
              </c:numCache>
            </c:numRef>
          </c:xVal>
          <c:yVal>
            <c:numRef>
              <c:f>Spring!$O$86:$O$167</c:f>
              <c:numCache>
                <c:formatCode>0.000</c:formatCode>
                <c:ptCount val="82"/>
                <c:pt idx="0">
                  <c:v>12.815805599999999</c:v>
                </c:pt>
                <c:pt idx="1">
                  <c:v>12.0457119999999</c:v>
                </c:pt>
                <c:pt idx="2">
                  <c:v>10.67219704</c:v>
                </c:pt>
                <c:pt idx="3">
                  <c:v>12.4510858</c:v>
                </c:pt>
                <c:pt idx="4">
                  <c:v>21.1627592</c:v>
                </c:pt>
                <c:pt idx="5">
                  <c:v>14.5804768</c:v>
                </c:pt>
                <c:pt idx="6">
                  <c:v>12.4211408</c:v>
                </c:pt>
                <c:pt idx="7">
                  <c:v>10.916756999999899</c:v>
                </c:pt>
                <c:pt idx="8">
                  <c:v>12.41495316</c:v>
                </c:pt>
                <c:pt idx="9">
                  <c:v>14.767932800000001</c:v>
                </c:pt>
                <c:pt idx="10">
                  <c:v>11.1057975</c:v>
                </c:pt>
                <c:pt idx="11">
                  <c:v>9.7756285599999995</c:v>
                </c:pt>
                <c:pt idx="12">
                  <c:v>10.018984959999999</c:v>
                </c:pt>
                <c:pt idx="13">
                  <c:v>9.4103997199999991</c:v>
                </c:pt>
                <c:pt idx="14">
                  <c:v>8.6639274400000001</c:v>
                </c:pt>
                <c:pt idx="15">
                  <c:v>8.8986113000000007</c:v>
                </c:pt>
                <c:pt idx="16">
                  <c:v>8.95110431999999</c:v>
                </c:pt>
                <c:pt idx="17">
                  <c:v>10.23910416</c:v>
                </c:pt>
                <c:pt idx="18">
                  <c:v>7.9644718799999996</c:v>
                </c:pt>
                <c:pt idx="19">
                  <c:v>7.6684761000000004</c:v>
                </c:pt>
                <c:pt idx="20">
                  <c:v>7.1552944799999896</c:v>
                </c:pt>
                <c:pt idx="21">
                  <c:v>11.663247200000001</c:v>
                </c:pt>
                <c:pt idx="22">
                  <c:v>8.1688235799999998</c:v>
                </c:pt>
                <c:pt idx="23">
                  <c:v>7.2320616399999897</c:v>
                </c:pt>
                <c:pt idx="24">
                  <c:v>7.1852926031999997</c:v>
                </c:pt>
                <c:pt idx="25">
                  <c:v>9.3171799199999992</c:v>
                </c:pt>
                <c:pt idx="26">
                  <c:v>9.2401945999999899</c:v>
                </c:pt>
                <c:pt idx="27">
                  <c:v>6.6271815599999897</c:v>
                </c:pt>
                <c:pt idx="28">
                  <c:v>6.83403183999999</c:v>
                </c:pt>
                <c:pt idx="29">
                  <c:v>8.1550506400000007</c:v>
                </c:pt>
                <c:pt idx="30">
                  <c:v>13.7088416</c:v>
                </c:pt>
                <c:pt idx="31">
                  <c:v>10.1428473999999</c:v>
                </c:pt>
                <c:pt idx="32">
                  <c:v>8.9488770800000008</c:v>
                </c:pt>
                <c:pt idx="33">
                  <c:v>9.1187322399999999</c:v>
                </c:pt>
                <c:pt idx="34">
                  <c:v>8.1289062039999997</c:v>
                </c:pt>
                <c:pt idx="35">
                  <c:v>6.5828858800000001</c:v>
                </c:pt>
                <c:pt idx="36">
                  <c:v>7.6360871199999902</c:v>
                </c:pt>
                <c:pt idx="37">
                  <c:v>6.68355736</c:v>
                </c:pt>
                <c:pt idx="38">
                  <c:v>6.0356489199999999</c:v>
                </c:pt>
                <c:pt idx="39">
                  <c:v>7.2851257199999999</c:v>
                </c:pt>
                <c:pt idx="40">
                  <c:v>8.6648960400000004</c:v>
                </c:pt>
                <c:pt idx="41">
                  <c:v>10.076955359999999</c:v>
                </c:pt>
                <c:pt idx="42">
                  <c:v>7.5388328024</c:v>
                </c:pt>
                <c:pt idx="43">
                  <c:v>8.1453577599999996</c:v>
                </c:pt>
                <c:pt idx="44">
                  <c:v>7.4115104000000001</c:v>
                </c:pt>
                <c:pt idx="45">
                  <c:v>6.8345387903999999</c:v>
                </c:pt>
                <c:pt idx="46">
                  <c:v>7.9445271199999903</c:v>
                </c:pt>
                <c:pt idx="47">
                  <c:v>7.4290512799999897</c:v>
                </c:pt>
                <c:pt idx="48">
                  <c:v>6.4666904799999898</c:v>
                </c:pt>
                <c:pt idx="49">
                  <c:v>14.551988908</c:v>
                </c:pt>
                <c:pt idx="50">
                  <c:v>8.8853135287999994</c:v>
                </c:pt>
                <c:pt idx="51">
                  <c:v>11.209641884</c:v>
                </c:pt>
                <c:pt idx="52">
                  <c:v>10.423064119999999</c:v>
                </c:pt>
                <c:pt idx="53">
                  <c:v>8.3597602844000001</c:v>
                </c:pt>
                <c:pt idx="54">
                  <c:v>43.856735999999998</c:v>
                </c:pt>
                <c:pt idx="55">
                  <c:v>16.958527199999999</c:v>
                </c:pt>
                <c:pt idx="56">
                  <c:v>12.384886399999999</c:v>
                </c:pt>
                <c:pt idx="57">
                  <c:v>11.245605614480001</c:v>
                </c:pt>
                <c:pt idx="58">
                  <c:v>13.655055599999899</c:v>
                </c:pt>
                <c:pt idx="59">
                  <c:v>22.0529236</c:v>
                </c:pt>
                <c:pt idx="60">
                  <c:v>12.440960799999999</c:v>
                </c:pt>
                <c:pt idx="61">
                  <c:v>9.0430761999999998</c:v>
                </c:pt>
                <c:pt idx="62">
                  <c:v>11.007816999999999</c:v>
                </c:pt>
                <c:pt idx="63">
                  <c:v>9.7772273199999997</c:v>
                </c:pt>
                <c:pt idx="64">
                  <c:v>8.0378636399999994</c:v>
                </c:pt>
                <c:pt idx="65">
                  <c:v>10.11803948328</c:v>
                </c:pt>
                <c:pt idx="66">
                  <c:v>20.03069</c:v>
                </c:pt>
                <c:pt idx="67">
                  <c:v>14.313794400000001</c:v>
                </c:pt>
                <c:pt idx="68">
                  <c:v>10.664316599999999</c:v>
                </c:pt>
                <c:pt idx="69">
                  <c:v>8.5506115000000005</c:v>
                </c:pt>
                <c:pt idx="70">
                  <c:v>9.0879493359999994</c:v>
                </c:pt>
                <c:pt idx="71">
                  <c:v>8.8480133999999993</c:v>
                </c:pt>
                <c:pt idx="72">
                  <c:v>9.2369909200000002</c:v>
                </c:pt>
                <c:pt idx="73">
                  <c:v>15.2589617119999</c:v>
                </c:pt>
                <c:pt idx="74">
                  <c:v>11.863201948</c:v>
                </c:pt>
                <c:pt idx="75">
                  <c:v>9.9651312127999994</c:v>
                </c:pt>
                <c:pt idx="76">
                  <c:v>8.4859850784000006</c:v>
                </c:pt>
                <c:pt idx="77">
                  <c:v>8.9133909280000001</c:v>
                </c:pt>
                <c:pt idx="78">
                  <c:v>7.5681198240000001</c:v>
                </c:pt>
                <c:pt idx="79">
                  <c:v>7.6637165200000004</c:v>
                </c:pt>
                <c:pt idx="80">
                  <c:v>10.3719666</c:v>
                </c:pt>
                <c:pt idx="81">
                  <c:v>10.963208972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7A-4AF0-8B8B-D5BC6C58BBCB}"/>
            </c:ext>
          </c:extLst>
        </c:ser>
        <c:ser>
          <c:idx val="1"/>
          <c:order val="1"/>
          <c:tx>
            <c:strRef>
              <c:f>Spring!$Q$1</c:f>
              <c:strCache>
                <c:ptCount val="1"/>
                <c:pt idx="0">
                  <c:v>Upstream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314536622732359"/>
                  <c:y val="-0.1291727135642613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Spring!$F$85:$F$167</c:f>
              <c:numCache>
                <c:formatCode>0.00</c:formatCode>
                <c:ptCount val="83"/>
                <c:pt idx="0">
                  <c:v>0.49999999999994493</c:v>
                </c:pt>
                <c:pt idx="1">
                  <c:v>6.3157894736842453</c:v>
                </c:pt>
                <c:pt idx="3">
                  <c:v>10.000000000000066</c:v>
                </c:pt>
                <c:pt idx="4">
                  <c:v>6.8181818181816984</c:v>
                </c:pt>
                <c:pt idx="5">
                  <c:v>21.499999999999993</c:v>
                </c:pt>
                <c:pt idx="6">
                  <c:v>11.05263157894732</c:v>
                </c:pt>
                <c:pt idx="7">
                  <c:v>17.999999999999961</c:v>
                </c:pt>
                <c:pt idx="8">
                  <c:v>6.4999999999999778</c:v>
                </c:pt>
                <c:pt idx="9">
                  <c:v>7.999999999999952</c:v>
                </c:pt>
                <c:pt idx="10">
                  <c:v>11.999999999999789</c:v>
                </c:pt>
                <c:pt idx="11">
                  <c:v>5.9999999999998943</c:v>
                </c:pt>
                <c:pt idx="12">
                  <c:v>8.888888888888836</c:v>
                </c:pt>
                <c:pt idx="13">
                  <c:v>12.222222222222108</c:v>
                </c:pt>
                <c:pt idx="14">
                  <c:v>6.8750000000001101</c:v>
                </c:pt>
                <c:pt idx="15">
                  <c:v>4.6666666666667078</c:v>
                </c:pt>
                <c:pt idx="16">
                  <c:v>5.3333333333333011</c:v>
                </c:pt>
                <c:pt idx="17">
                  <c:v>6.000000000000079</c:v>
                </c:pt>
                <c:pt idx="18">
                  <c:v>17.857142857142676</c:v>
                </c:pt>
                <c:pt idx="19">
                  <c:v>3.9999999999999298</c:v>
                </c:pt>
                <c:pt idx="20">
                  <c:v>6.6666666666666723</c:v>
                </c:pt>
                <c:pt idx="21">
                  <c:v>5.5172413793103114</c:v>
                </c:pt>
                <c:pt idx="22">
                  <c:v>5.3333333333334858</c:v>
                </c:pt>
                <c:pt idx="23">
                  <c:v>8.0000000000000444</c:v>
                </c:pt>
                <c:pt idx="24">
                  <c:v>7.3333333333334512</c:v>
                </c:pt>
                <c:pt idx="26">
                  <c:v>11.249999999999975</c:v>
                </c:pt>
                <c:pt idx="27">
                  <c:v>5.1612903225806139</c:v>
                </c:pt>
                <c:pt idx="28">
                  <c:v>8.6666666666666377</c:v>
                </c:pt>
                <c:pt idx="29">
                  <c:v>8.5714285714286191</c:v>
                </c:pt>
                <c:pt idx="31">
                  <c:v>15.000000000000083</c:v>
                </c:pt>
                <c:pt idx="32">
                  <c:v>7.1428571428571495</c:v>
                </c:pt>
                <c:pt idx="33">
                  <c:v>4.1176470588235654</c:v>
                </c:pt>
                <c:pt idx="34">
                  <c:v>7.1428571428571495</c:v>
                </c:pt>
                <c:pt idx="36">
                  <c:v>5.5172413793103114</c:v>
                </c:pt>
                <c:pt idx="37">
                  <c:v>11.33333333333338</c:v>
                </c:pt>
                <c:pt idx="38">
                  <c:v>6.6666666666666723</c:v>
                </c:pt>
                <c:pt idx="39">
                  <c:v>5.2941176470588935</c:v>
                </c:pt>
                <c:pt idx="41">
                  <c:v>7.5000000000000417</c:v>
                </c:pt>
                <c:pt idx="43">
                  <c:v>8.1249999999999734</c:v>
                </c:pt>
                <c:pt idx="44">
                  <c:v>11.612903225806427</c:v>
                </c:pt>
                <c:pt idx="45">
                  <c:v>8.1249999999999734</c:v>
                </c:pt>
                <c:pt idx="46">
                  <c:v>6.6666666666666723</c:v>
                </c:pt>
                <c:pt idx="47">
                  <c:v>3.7499999999999338</c:v>
                </c:pt>
                <c:pt idx="48">
                  <c:v>11.249999999999975</c:v>
                </c:pt>
                <c:pt idx="49">
                  <c:v>4.6666666666665231</c:v>
                </c:pt>
                <c:pt idx="50">
                  <c:v>14.545454545454458</c:v>
                </c:pt>
                <c:pt idx="51">
                  <c:v>9.2857142857142527</c:v>
                </c:pt>
                <c:pt idx="52">
                  <c:v>6.8750000000001101</c:v>
                </c:pt>
                <c:pt idx="53">
                  <c:v>2.5000000000000715</c:v>
                </c:pt>
                <c:pt idx="54">
                  <c:v>12.666666666666751</c:v>
                </c:pt>
                <c:pt idx="55">
                  <c:v>45.000000000000007</c:v>
                </c:pt>
                <c:pt idx="56">
                  <c:v>13.99999999999994</c:v>
                </c:pt>
                <c:pt idx="57">
                  <c:v>10.000000000000009</c:v>
                </c:pt>
                <c:pt idx="58">
                  <c:v>8.1249999999999734</c:v>
                </c:pt>
                <c:pt idx="59">
                  <c:v>13.529411764705863</c:v>
                </c:pt>
                <c:pt idx="60">
                  <c:v>20.000000000000018</c:v>
                </c:pt>
                <c:pt idx="61">
                  <c:v>9.9999999999999396</c:v>
                </c:pt>
                <c:pt idx="62">
                  <c:v>0.62500000000010458</c:v>
                </c:pt>
                <c:pt idx="63">
                  <c:v>4.3750000000000382</c:v>
                </c:pt>
                <c:pt idx="64">
                  <c:v>3.3333333333333361</c:v>
                </c:pt>
                <c:pt idx="65">
                  <c:v>5.0000000000000444</c:v>
                </c:pt>
                <c:pt idx="66">
                  <c:v>10.666666666666602</c:v>
                </c:pt>
                <c:pt idx="67">
                  <c:v>24.374999999999918</c:v>
                </c:pt>
                <c:pt idx="70">
                  <c:v>5.6249999999999005</c:v>
                </c:pt>
                <c:pt idx="73">
                  <c:v>1.2903225806451981</c:v>
                </c:pt>
                <c:pt idx="75">
                  <c:v>0.71428571428583387</c:v>
                </c:pt>
                <c:pt idx="76">
                  <c:v>5.7142857142856798</c:v>
                </c:pt>
                <c:pt idx="78">
                  <c:v>2.142857142857105</c:v>
                </c:pt>
                <c:pt idx="80">
                  <c:v>0.66666666666677832</c:v>
                </c:pt>
              </c:numCache>
            </c:numRef>
          </c:xVal>
          <c:yVal>
            <c:numRef>
              <c:f>Spring!$Q$85:$Q$167</c:f>
              <c:numCache>
                <c:formatCode>0.000</c:formatCode>
                <c:ptCount val="83"/>
                <c:pt idx="0">
                  <c:v>17.909116588666599</c:v>
                </c:pt>
                <c:pt idx="1">
                  <c:v>12.5026276</c:v>
                </c:pt>
                <c:pt idx="2">
                  <c:v>12.258317999999999</c:v>
                </c:pt>
                <c:pt idx="3">
                  <c:v>12.736497399999999</c:v>
                </c:pt>
                <c:pt idx="4">
                  <c:v>11.8006866866666</c:v>
                </c:pt>
                <c:pt idx="5">
                  <c:v>25.906272033333298</c:v>
                </c:pt>
                <c:pt idx="6">
                  <c:v>15.555403466666601</c:v>
                </c:pt>
                <c:pt idx="7">
                  <c:v>12.1499004</c:v>
                </c:pt>
                <c:pt idx="8">
                  <c:v>11.5306084666666</c:v>
                </c:pt>
                <c:pt idx="9">
                  <c:v>10.979372994666599</c:v>
                </c:pt>
                <c:pt idx="10">
                  <c:v>15.365095666666599</c:v>
                </c:pt>
                <c:pt idx="11">
                  <c:v>11.7061532666666</c:v>
                </c:pt>
                <c:pt idx="12">
                  <c:v>10.3695922</c:v>
                </c:pt>
                <c:pt idx="13">
                  <c:v>10.998456733333301</c:v>
                </c:pt>
                <c:pt idx="14">
                  <c:v>11.4034091866666</c:v>
                </c:pt>
                <c:pt idx="15">
                  <c:v>10.587694328</c:v>
                </c:pt>
                <c:pt idx="16">
                  <c:v>8.4315058493333304</c:v>
                </c:pt>
                <c:pt idx="17">
                  <c:v>10.6954302066666</c:v>
                </c:pt>
                <c:pt idx="18">
                  <c:v>11.028182213333301</c:v>
                </c:pt>
                <c:pt idx="19">
                  <c:v>8.2315103599999997</c:v>
                </c:pt>
                <c:pt idx="20">
                  <c:v>7.7667874933333296</c:v>
                </c:pt>
                <c:pt idx="21">
                  <c:v>7.4946411733333296</c:v>
                </c:pt>
                <c:pt idx="22">
                  <c:v>9.6661808800000006</c:v>
                </c:pt>
                <c:pt idx="23">
                  <c:v>9.1230036933333292</c:v>
                </c:pt>
                <c:pt idx="24">
                  <c:v>7.9987784666666597</c:v>
                </c:pt>
                <c:pt idx="25">
                  <c:v>7.7637820933333304</c:v>
                </c:pt>
                <c:pt idx="26">
                  <c:v>11.7693315333333</c:v>
                </c:pt>
                <c:pt idx="27">
                  <c:v>7.3864227533333304</c:v>
                </c:pt>
                <c:pt idx="28">
                  <c:v>8.16305281333333</c:v>
                </c:pt>
                <c:pt idx="30">
                  <c:v>7.72098306</c:v>
                </c:pt>
                <c:pt idx="31">
                  <c:v>12.273739984000001</c:v>
                </c:pt>
                <c:pt idx="32">
                  <c:v>9.9380790066666602</c:v>
                </c:pt>
                <c:pt idx="33">
                  <c:v>8.2618505333333303</c:v>
                </c:pt>
                <c:pt idx="34">
                  <c:v>9.0383009999999899</c:v>
                </c:pt>
                <c:pt idx="35">
                  <c:v>9.2480751333333302</c:v>
                </c:pt>
                <c:pt idx="37">
                  <c:v>7.6434516266666597</c:v>
                </c:pt>
                <c:pt idx="38">
                  <c:v>6.1651286666666598</c:v>
                </c:pt>
                <c:pt idx="39">
                  <c:v>5.42235642666666</c:v>
                </c:pt>
                <c:pt idx="40">
                  <c:v>6.7731638133333298</c:v>
                </c:pt>
                <c:pt idx="41">
                  <c:v>9.6546325599999996</c:v>
                </c:pt>
                <c:pt idx="42">
                  <c:v>8.6037493866666601</c:v>
                </c:pt>
                <c:pt idx="43">
                  <c:v>7.5119917466666601</c:v>
                </c:pt>
                <c:pt idx="44">
                  <c:v>9.6479184666666598</c:v>
                </c:pt>
                <c:pt idx="45">
                  <c:v>5.7798811900000002</c:v>
                </c:pt>
                <c:pt idx="46">
                  <c:v>8.0249351333333294</c:v>
                </c:pt>
                <c:pt idx="47">
                  <c:v>6.3661506000000001</c:v>
                </c:pt>
                <c:pt idx="48">
                  <c:v>5.5522387866666598</c:v>
                </c:pt>
                <c:pt idx="49">
                  <c:v>5.2737517986666598</c:v>
                </c:pt>
                <c:pt idx="50">
                  <c:v>12.890712933333299</c:v>
                </c:pt>
                <c:pt idx="51">
                  <c:v>9.0212937866666607</c:v>
                </c:pt>
                <c:pt idx="52">
                  <c:v>9.7976981146666606</c:v>
                </c:pt>
                <c:pt idx="53">
                  <c:v>7.9770290266666599</c:v>
                </c:pt>
                <c:pt idx="54">
                  <c:v>8.7500032893333302</c:v>
                </c:pt>
                <c:pt idx="55">
                  <c:v>38.639293733333297</c:v>
                </c:pt>
                <c:pt idx="56">
                  <c:v>21.475960133333299</c:v>
                </c:pt>
                <c:pt idx="57">
                  <c:v>12.734633816800001</c:v>
                </c:pt>
                <c:pt idx="58">
                  <c:v>8.6821808133333302</c:v>
                </c:pt>
                <c:pt idx="59">
                  <c:v>16.170986133333301</c:v>
                </c:pt>
                <c:pt idx="61">
                  <c:v>12.641193039999999</c:v>
                </c:pt>
                <c:pt idx="62">
                  <c:v>10.0303982666666</c:v>
                </c:pt>
                <c:pt idx="64">
                  <c:v>9.1829196</c:v>
                </c:pt>
                <c:pt idx="65">
                  <c:v>10.3782316933333</c:v>
                </c:pt>
                <c:pt idx="66">
                  <c:v>9.8354738279999996</c:v>
                </c:pt>
                <c:pt idx="67">
                  <c:v>22.228124099999999</c:v>
                </c:pt>
                <c:pt idx="68">
                  <c:v>14.96945008</c:v>
                </c:pt>
                <c:pt idx="69">
                  <c:v>12.378681706666599</c:v>
                </c:pt>
                <c:pt idx="70">
                  <c:v>10.541740973333299</c:v>
                </c:pt>
                <c:pt idx="71">
                  <c:v>8.0138589866666603</c:v>
                </c:pt>
                <c:pt idx="72">
                  <c:v>8.3940114666666599</c:v>
                </c:pt>
                <c:pt idx="73">
                  <c:v>9.5848903199999906</c:v>
                </c:pt>
                <c:pt idx="74">
                  <c:v>16.9080908</c:v>
                </c:pt>
                <c:pt idx="75">
                  <c:v>13.3637106666666</c:v>
                </c:pt>
                <c:pt idx="76">
                  <c:v>9.3933083066666594</c:v>
                </c:pt>
                <c:pt idx="77">
                  <c:v>7.5067932800000001</c:v>
                </c:pt>
                <c:pt idx="78">
                  <c:v>5.4897123906666598</c:v>
                </c:pt>
                <c:pt idx="79">
                  <c:v>8.2732197266666603</c:v>
                </c:pt>
                <c:pt idx="80">
                  <c:v>6.5764189999999996</c:v>
                </c:pt>
                <c:pt idx="81">
                  <c:v>7.3791796666666603</c:v>
                </c:pt>
                <c:pt idx="82">
                  <c:v>9.8172653466666606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7A-4AF0-8B8B-D5BC6C58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22767"/>
        <c:axId val="734720847"/>
      </c:scatterChart>
      <c:valAx>
        <c:axId val="73472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</a:t>
                </a:r>
                <a:r>
                  <a:rPr lang="en-US" baseline="0"/>
                  <a:t> concentration (uL/L)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0847"/>
        <c:crosses val="autoZero"/>
        <c:crossBetween val="midCat"/>
      </c:valAx>
      <c:valAx>
        <c:axId val="7347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Sonde Turbidity</a:t>
                </a:r>
                <a:r>
                  <a:rPr lang="en-US" baseline="0"/>
                  <a:t> (NTU)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2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vs Sonde</a:t>
            </a:r>
            <a:r>
              <a:rPr lang="en-US" baseline="0"/>
              <a:t> fDOM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Spring!$P$1</c:f>
              <c:strCache>
                <c:ptCount val="1"/>
                <c:pt idx="0">
                  <c:v>Downstream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9133796586627984E-2"/>
                  <c:y val="-0.1297453174138611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Spring!$J$2:$J$167</c:f>
              <c:numCache>
                <c:formatCode>General</c:formatCode>
                <c:ptCount val="166"/>
                <c:pt idx="0">
                  <c:v>3.7290000000000001</c:v>
                </c:pt>
                <c:pt idx="1">
                  <c:v>3.573</c:v>
                </c:pt>
                <c:pt idx="2">
                  <c:v>3.2410000000000001</c:v>
                </c:pt>
                <c:pt idx="3">
                  <c:v>3.202</c:v>
                </c:pt>
                <c:pt idx="4">
                  <c:v>3.234</c:v>
                </c:pt>
                <c:pt idx="5">
                  <c:v>3.2930000000000001</c:v>
                </c:pt>
                <c:pt idx="6">
                  <c:v>3.1789999999999998</c:v>
                </c:pt>
                <c:pt idx="7">
                  <c:v>3.1110000000000002</c:v>
                </c:pt>
                <c:pt idx="8">
                  <c:v>3.0259999999999998</c:v>
                </c:pt>
                <c:pt idx="9">
                  <c:v>3.0910000000000002</c:v>
                </c:pt>
                <c:pt idx="10">
                  <c:v>3.206</c:v>
                </c:pt>
                <c:pt idx="11">
                  <c:v>3.6629999999999998</c:v>
                </c:pt>
                <c:pt idx="12">
                  <c:v>3.806</c:v>
                </c:pt>
                <c:pt idx="13">
                  <c:v>3.391</c:v>
                </c:pt>
                <c:pt idx="14">
                  <c:v>3.3119999999999998</c:v>
                </c:pt>
                <c:pt idx="15">
                  <c:v>3.3530000000000002</c:v>
                </c:pt>
                <c:pt idx="16">
                  <c:v>3.5139999999999998</c:v>
                </c:pt>
                <c:pt idx="17">
                  <c:v>3.6539999999999999</c:v>
                </c:pt>
                <c:pt idx="18">
                  <c:v>3.5760000000000001</c:v>
                </c:pt>
                <c:pt idx="19">
                  <c:v>3.3889999999999998</c:v>
                </c:pt>
                <c:pt idx="20">
                  <c:v>3.226</c:v>
                </c:pt>
                <c:pt idx="21">
                  <c:v>3.552</c:v>
                </c:pt>
                <c:pt idx="22">
                  <c:v>3.323</c:v>
                </c:pt>
                <c:pt idx="23">
                  <c:v>3.3159999999999998</c:v>
                </c:pt>
                <c:pt idx="24">
                  <c:v>3.2069999999999999</c:v>
                </c:pt>
                <c:pt idx="25">
                  <c:v>3.153</c:v>
                </c:pt>
                <c:pt idx="26">
                  <c:v>3.2869999999999999</c:v>
                </c:pt>
                <c:pt idx="27">
                  <c:v>3.2440000000000002</c:v>
                </c:pt>
                <c:pt idx="28">
                  <c:v>3.3380000000000001</c:v>
                </c:pt>
                <c:pt idx="29">
                  <c:v>3.2010000000000001</c:v>
                </c:pt>
                <c:pt idx="30">
                  <c:v>3.056</c:v>
                </c:pt>
                <c:pt idx="31">
                  <c:v>3.0910000000000002</c:v>
                </c:pt>
                <c:pt idx="32">
                  <c:v>3.26</c:v>
                </c:pt>
                <c:pt idx="33">
                  <c:v>3.37</c:v>
                </c:pt>
                <c:pt idx="34">
                  <c:v>3.246</c:v>
                </c:pt>
                <c:pt idx="35">
                  <c:v>2.9489999999999998</c:v>
                </c:pt>
                <c:pt idx="36">
                  <c:v>3.0939999999999999</c:v>
                </c:pt>
                <c:pt idx="37">
                  <c:v>3.32</c:v>
                </c:pt>
                <c:pt idx="38">
                  <c:v>2.996</c:v>
                </c:pt>
                <c:pt idx="39">
                  <c:v>2.8530000000000002</c:v>
                </c:pt>
                <c:pt idx="40">
                  <c:v>3.2490000000000001</c:v>
                </c:pt>
                <c:pt idx="41">
                  <c:v>3.1539999999999999</c:v>
                </c:pt>
                <c:pt idx="42">
                  <c:v>3.069</c:v>
                </c:pt>
                <c:pt idx="43">
                  <c:v>2.8119999999999998</c:v>
                </c:pt>
                <c:pt idx="44">
                  <c:v>2.774</c:v>
                </c:pt>
                <c:pt idx="45">
                  <c:v>3.0510000000000002</c:v>
                </c:pt>
                <c:pt idx="46">
                  <c:v>3.2709999999999999</c:v>
                </c:pt>
                <c:pt idx="47">
                  <c:v>3.2989999999999999</c:v>
                </c:pt>
                <c:pt idx="48">
                  <c:v>2.8559999999999999</c:v>
                </c:pt>
                <c:pt idx="49">
                  <c:v>2.7429999999999999</c:v>
                </c:pt>
                <c:pt idx="50">
                  <c:v>2.7890000000000001</c:v>
                </c:pt>
                <c:pt idx="51">
                  <c:v>2.8090000000000002</c:v>
                </c:pt>
                <c:pt idx="52">
                  <c:v>2.6989999999999998</c:v>
                </c:pt>
                <c:pt idx="53">
                  <c:v>2.8239999999999998</c:v>
                </c:pt>
                <c:pt idx="54">
                  <c:v>2.6429999999999998</c:v>
                </c:pt>
                <c:pt idx="55">
                  <c:v>2.9510000000000001</c:v>
                </c:pt>
                <c:pt idx="56">
                  <c:v>3.1309999999999998</c:v>
                </c:pt>
                <c:pt idx="57">
                  <c:v>2.8330000000000002</c:v>
                </c:pt>
                <c:pt idx="58">
                  <c:v>2.7509999999999999</c:v>
                </c:pt>
                <c:pt idx="59">
                  <c:v>2.8889999999999998</c:v>
                </c:pt>
                <c:pt idx="60">
                  <c:v>3.7759999999999998</c:v>
                </c:pt>
                <c:pt idx="61">
                  <c:v>3.4470000000000001</c:v>
                </c:pt>
                <c:pt idx="62">
                  <c:v>3.1629999999999998</c:v>
                </c:pt>
                <c:pt idx="63">
                  <c:v>2.9590000000000001</c:v>
                </c:pt>
                <c:pt idx="64">
                  <c:v>3.1480000000000001</c:v>
                </c:pt>
                <c:pt idx="65">
                  <c:v>3.5409999999999999</c:v>
                </c:pt>
                <c:pt idx="66">
                  <c:v>3.0760000000000001</c:v>
                </c:pt>
                <c:pt idx="67">
                  <c:v>2.8559999999999999</c:v>
                </c:pt>
                <c:pt idx="68">
                  <c:v>2.9209999999999998</c:v>
                </c:pt>
                <c:pt idx="69">
                  <c:v>3.0609999999999999</c:v>
                </c:pt>
                <c:pt idx="70">
                  <c:v>2.823</c:v>
                </c:pt>
                <c:pt idx="71">
                  <c:v>2.923</c:v>
                </c:pt>
                <c:pt idx="72">
                  <c:v>3.5110000000000001</c:v>
                </c:pt>
                <c:pt idx="74">
                  <c:v>3.1459999999999999</c:v>
                </c:pt>
                <c:pt idx="76">
                  <c:v>2.8879999999999999</c:v>
                </c:pt>
                <c:pt idx="78">
                  <c:v>2.9329999999999998</c:v>
                </c:pt>
                <c:pt idx="79">
                  <c:v>3.1819999999999999</c:v>
                </c:pt>
                <c:pt idx="80">
                  <c:v>3.2719999999999998</c:v>
                </c:pt>
                <c:pt idx="81">
                  <c:v>3.0419999999999998</c:v>
                </c:pt>
                <c:pt idx="82">
                  <c:v>3.8290000000000002</c:v>
                </c:pt>
                <c:pt idx="83">
                  <c:v>3.4729999999999999</c:v>
                </c:pt>
                <c:pt idx="84">
                  <c:v>3.4209999999999998</c:v>
                </c:pt>
                <c:pt idx="85">
                  <c:v>3.3460000000000001</c:v>
                </c:pt>
                <c:pt idx="86">
                  <c:v>3.2709999999999999</c:v>
                </c:pt>
                <c:pt idx="87">
                  <c:v>3.4089999999999998</c:v>
                </c:pt>
                <c:pt idx="88">
                  <c:v>4.6630000000000003</c:v>
                </c:pt>
                <c:pt idx="89">
                  <c:v>3.581</c:v>
                </c:pt>
                <c:pt idx="90">
                  <c:v>3.5859999999999999</c:v>
                </c:pt>
                <c:pt idx="91">
                  <c:v>3.4009999999999998</c:v>
                </c:pt>
                <c:pt idx="92">
                  <c:v>3.1459999999999999</c:v>
                </c:pt>
                <c:pt idx="93">
                  <c:v>3.9940000000000002</c:v>
                </c:pt>
                <c:pt idx="94">
                  <c:v>3.5329999999999999</c:v>
                </c:pt>
                <c:pt idx="95">
                  <c:v>3.4340000000000002</c:v>
                </c:pt>
                <c:pt idx="96">
                  <c:v>3.4279999999999999</c:v>
                </c:pt>
                <c:pt idx="97">
                  <c:v>3.4809999999999999</c:v>
                </c:pt>
                <c:pt idx="98">
                  <c:v>3.2829999999999999</c:v>
                </c:pt>
                <c:pt idx="99">
                  <c:v>3.0840000000000001</c:v>
                </c:pt>
                <c:pt idx="100">
                  <c:v>3.2890000000000001</c:v>
                </c:pt>
                <c:pt idx="101">
                  <c:v>3.8639999999999999</c:v>
                </c:pt>
                <c:pt idx="102">
                  <c:v>3.3439999999999999</c:v>
                </c:pt>
                <c:pt idx="103">
                  <c:v>3.1840000000000002</c:v>
                </c:pt>
                <c:pt idx="104">
                  <c:v>3.246</c:v>
                </c:pt>
                <c:pt idx="105">
                  <c:v>3.8860000000000001</c:v>
                </c:pt>
                <c:pt idx="106">
                  <c:v>3.4710000000000001</c:v>
                </c:pt>
                <c:pt idx="107">
                  <c:v>3.3780000000000001</c:v>
                </c:pt>
                <c:pt idx="108">
                  <c:v>3.1680000000000001</c:v>
                </c:pt>
                <c:pt idx="109">
                  <c:v>3.7970000000000002</c:v>
                </c:pt>
                <c:pt idx="110">
                  <c:v>3.1840000000000002</c:v>
                </c:pt>
                <c:pt idx="111">
                  <c:v>3.399</c:v>
                </c:pt>
                <c:pt idx="112">
                  <c:v>3.23</c:v>
                </c:pt>
                <c:pt idx="113">
                  <c:v>3.6640000000000001</c:v>
                </c:pt>
                <c:pt idx="114">
                  <c:v>4.5410000000000004</c:v>
                </c:pt>
                <c:pt idx="115">
                  <c:v>3.4580000000000002</c:v>
                </c:pt>
                <c:pt idx="116">
                  <c:v>3.2360000000000002</c:v>
                </c:pt>
                <c:pt idx="117">
                  <c:v>3.2829999999999999</c:v>
                </c:pt>
                <c:pt idx="118">
                  <c:v>3.1280000000000001</c:v>
                </c:pt>
                <c:pt idx="119">
                  <c:v>3.044</c:v>
                </c:pt>
                <c:pt idx="120">
                  <c:v>3.0270000000000001</c:v>
                </c:pt>
                <c:pt idx="121">
                  <c:v>2.9550000000000001</c:v>
                </c:pt>
                <c:pt idx="122">
                  <c:v>2.5230000000000001</c:v>
                </c:pt>
                <c:pt idx="123">
                  <c:v>2.681</c:v>
                </c:pt>
                <c:pt idx="124">
                  <c:v>3.456</c:v>
                </c:pt>
                <c:pt idx="125">
                  <c:v>3.1459999999999999</c:v>
                </c:pt>
                <c:pt idx="126">
                  <c:v>3.0259999999999998</c:v>
                </c:pt>
                <c:pt idx="127">
                  <c:v>2.7909999999999999</c:v>
                </c:pt>
                <c:pt idx="128">
                  <c:v>2.6970000000000001</c:v>
                </c:pt>
                <c:pt idx="129">
                  <c:v>3.1160000000000001</c:v>
                </c:pt>
                <c:pt idx="130">
                  <c:v>2.9769999999999999</c:v>
                </c:pt>
                <c:pt idx="131">
                  <c:v>2.8260000000000001</c:v>
                </c:pt>
                <c:pt idx="132">
                  <c:v>2.944</c:v>
                </c:pt>
                <c:pt idx="133">
                  <c:v>4.681</c:v>
                </c:pt>
                <c:pt idx="134">
                  <c:v>3.395</c:v>
                </c:pt>
                <c:pt idx="135">
                  <c:v>3.1139999999999999</c:v>
                </c:pt>
                <c:pt idx="136">
                  <c:v>2.9430000000000001</c:v>
                </c:pt>
                <c:pt idx="137">
                  <c:v>4.1040000000000001</c:v>
                </c:pt>
                <c:pt idx="138">
                  <c:v>4.9790000000000001</c:v>
                </c:pt>
                <c:pt idx="139">
                  <c:v>3.871</c:v>
                </c:pt>
                <c:pt idx="140">
                  <c:v>3.4740000000000002</c:v>
                </c:pt>
                <c:pt idx="141">
                  <c:v>3.2690000000000001</c:v>
                </c:pt>
                <c:pt idx="142">
                  <c:v>4.6879999999999997</c:v>
                </c:pt>
                <c:pt idx="143">
                  <c:v>3.9550000000000001</c:v>
                </c:pt>
                <c:pt idx="144">
                  <c:v>3.2229999999999999</c:v>
                </c:pt>
                <c:pt idx="145">
                  <c:v>3.044</c:v>
                </c:pt>
                <c:pt idx="146">
                  <c:v>3.4780000000000002</c:v>
                </c:pt>
                <c:pt idx="147">
                  <c:v>3.1890000000000001</c:v>
                </c:pt>
                <c:pt idx="148">
                  <c:v>2.7290000000000001</c:v>
                </c:pt>
                <c:pt idx="149">
                  <c:v>3.419</c:v>
                </c:pt>
                <c:pt idx="150">
                  <c:v>4.0039999999999996</c:v>
                </c:pt>
                <c:pt idx="153">
                  <c:v>2.944</c:v>
                </c:pt>
                <c:pt idx="156">
                  <c:v>3.504</c:v>
                </c:pt>
                <c:pt idx="158">
                  <c:v>3.5750000000000002</c:v>
                </c:pt>
                <c:pt idx="159">
                  <c:v>3.2189999999999999</c:v>
                </c:pt>
                <c:pt idx="161">
                  <c:v>2.7109999999999999</c:v>
                </c:pt>
                <c:pt idx="163">
                  <c:v>2.7170000000000001</c:v>
                </c:pt>
                <c:pt idx="165">
                  <c:v>3.8330000000000002</c:v>
                </c:pt>
              </c:numCache>
            </c:numRef>
          </c:xVal>
          <c:yVal>
            <c:numRef>
              <c:f>Spring!$P$2:$P$167</c:f>
              <c:numCache>
                <c:formatCode>0.000</c:formatCode>
                <c:ptCount val="166"/>
                <c:pt idx="10">
                  <c:v>0.60768966400000002</c:v>
                </c:pt>
                <c:pt idx="11">
                  <c:v>0.67526825599999996</c:v>
                </c:pt>
                <c:pt idx="12">
                  <c:v>0.66271287999999995</c:v>
                </c:pt>
                <c:pt idx="13">
                  <c:v>0.63474413999999901</c:v>
                </c:pt>
                <c:pt idx="14">
                  <c:v>0.62033358800000005</c:v>
                </c:pt>
                <c:pt idx="15">
                  <c:v>0.57870333600000001</c:v>
                </c:pt>
                <c:pt idx="16">
                  <c:v>0.64280018799999905</c:v>
                </c:pt>
                <c:pt idx="17">
                  <c:v>0.75155197200000001</c:v>
                </c:pt>
                <c:pt idx="18">
                  <c:v>0.68398085200000003</c:v>
                </c:pt>
                <c:pt idx="19">
                  <c:v>0.63628065999999905</c:v>
                </c:pt>
                <c:pt idx="20">
                  <c:v>0.60410145599999998</c:v>
                </c:pt>
                <c:pt idx="21">
                  <c:v>0.59383253599999997</c:v>
                </c:pt>
                <c:pt idx="22">
                  <c:v>0.61654414000000002</c:v>
                </c:pt>
                <c:pt idx="23">
                  <c:v>0.59535333199999996</c:v>
                </c:pt>
                <c:pt idx="24">
                  <c:v>0.57885261200000004</c:v>
                </c:pt>
                <c:pt idx="25">
                  <c:v>0.56270766400000005</c:v>
                </c:pt>
                <c:pt idx="26">
                  <c:v>0.55456220000000001</c:v>
                </c:pt>
                <c:pt idx="27">
                  <c:v>0.60670676400000001</c:v>
                </c:pt>
                <c:pt idx="28">
                  <c:v>0.64345100399999999</c:v>
                </c:pt>
                <c:pt idx="29">
                  <c:v>0.61361535199999995</c:v>
                </c:pt>
                <c:pt idx="30">
                  <c:v>0.59474124799999994</c:v>
                </c:pt>
                <c:pt idx="31">
                  <c:v>0.54444331199999996</c:v>
                </c:pt>
                <c:pt idx="32">
                  <c:v>0.67745766399999996</c:v>
                </c:pt>
                <c:pt idx="33">
                  <c:v>0.69879289999999905</c:v>
                </c:pt>
                <c:pt idx="34">
                  <c:v>0.63710624000000005</c:v>
                </c:pt>
                <c:pt idx="35">
                  <c:v>0.61671400399999998</c:v>
                </c:pt>
                <c:pt idx="36">
                  <c:v>0.59804602399999995</c:v>
                </c:pt>
                <c:pt idx="37">
                  <c:v>0.61784086400000005</c:v>
                </c:pt>
                <c:pt idx="38">
                  <c:v>0.60023069200000001</c:v>
                </c:pt>
                <c:pt idx="39">
                  <c:v>0.58027925199999997</c:v>
                </c:pt>
                <c:pt idx="40">
                  <c:v>0.55574581999999995</c:v>
                </c:pt>
                <c:pt idx="41">
                  <c:v>0.59034808000000005</c:v>
                </c:pt>
                <c:pt idx="42">
                  <c:v>0.57754375599999996</c:v>
                </c:pt>
                <c:pt idx="43">
                  <c:v>0.56059426400000001</c:v>
                </c:pt>
                <c:pt idx="44">
                  <c:v>0.542822888</c:v>
                </c:pt>
                <c:pt idx="45">
                  <c:v>0.57702389599999904</c:v>
                </c:pt>
                <c:pt idx="46">
                  <c:v>0.69683061199999896</c:v>
                </c:pt>
                <c:pt idx="47">
                  <c:v>0.649056788</c:v>
                </c:pt>
                <c:pt idx="48">
                  <c:v>0.61863771199999995</c:v>
                </c:pt>
                <c:pt idx="49">
                  <c:v>0.55664535599999998</c:v>
                </c:pt>
                <c:pt idx="50">
                  <c:v>0.59644744000000005</c:v>
                </c:pt>
                <c:pt idx="51">
                  <c:v>0.61181387599999904</c:v>
                </c:pt>
                <c:pt idx="52">
                  <c:v>0.59254014799999999</c:v>
                </c:pt>
                <c:pt idx="53">
                  <c:v>0.57737382399999904</c:v>
                </c:pt>
                <c:pt idx="54">
                  <c:v>0.53414629599999996</c:v>
                </c:pt>
                <c:pt idx="55">
                  <c:v>0.66348383200000005</c:v>
                </c:pt>
                <c:pt idx="56">
                  <c:v>0.83292446799999997</c:v>
                </c:pt>
                <c:pt idx="57">
                  <c:v>0.71647227599999996</c:v>
                </c:pt>
                <c:pt idx="58">
                  <c:v>0.64374088399999996</c:v>
                </c:pt>
                <c:pt idx="59">
                  <c:v>0.60178064399999998</c:v>
                </c:pt>
                <c:pt idx="60">
                  <c:v>0.91321567999999997</c:v>
                </c:pt>
                <c:pt idx="61">
                  <c:v>0.98583381199999998</c:v>
                </c:pt>
                <c:pt idx="62">
                  <c:v>0.82808364799999901</c:v>
                </c:pt>
                <c:pt idx="63">
                  <c:v>0.70318841200000004</c:v>
                </c:pt>
                <c:pt idx="64">
                  <c:v>0.67487072000000004</c:v>
                </c:pt>
                <c:pt idx="65">
                  <c:v>0.97117030400000004</c:v>
                </c:pt>
                <c:pt idx="66">
                  <c:v>0.82063311999999999</c:v>
                </c:pt>
                <c:pt idx="67">
                  <c:v>0.66461490000000001</c:v>
                </c:pt>
                <c:pt idx="68">
                  <c:v>0.72370817200000004</c:v>
                </c:pt>
                <c:pt idx="69">
                  <c:v>0.771403536</c:v>
                </c:pt>
                <c:pt idx="70">
                  <c:v>0.65167801599999997</c:v>
                </c:pt>
                <c:pt idx="71">
                  <c:v>0.62427880800000002</c:v>
                </c:pt>
                <c:pt idx="72">
                  <c:v>0.93434271999999996</c:v>
                </c:pt>
                <c:pt idx="73">
                  <c:v>0.90266856799999995</c:v>
                </c:pt>
                <c:pt idx="74">
                  <c:v>0.81794674000000001</c:v>
                </c:pt>
                <c:pt idx="75">
                  <c:v>0.742938612</c:v>
                </c:pt>
                <c:pt idx="76">
                  <c:v>0.69204235599999997</c:v>
                </c:pt>
                <c:pt idx="77">
                  <c:v>0.62816207999999996</c:v>
                </c:pt>
                <c:pt idx="78">
                  <c:v>0.81794674000000001</c:v>
                </c:pt>
                <c:pt idx="79">
                  <c:v>0.78517861599999905</c:v>
                </c:pt>
                <c:pt idx="80">
                  <c:v>0.80451119999999998</c:v>
                </c:pt>
                <c:pt idx="81">
                  <c:v>0.72139595199999995</c:v>
                </c:pt>
                <c:pt idx="82">
                  <c:v>0.60768966400000002</c:v>
                </c:pt>
                <c:pt idx="83">
                  <c:v>0.67526825599999996</c:v>
                </c:pt>
                <c:pt idx="84">
                  <c:v>0.66271287999999995</c:v>
                </c:pt>
                <c:pt idx="85">
                  <c:v>0.63474413999999901</c:v>
                </c:pt>
                <c:pt idx="86">
                  <c:v>0.62033358800000005</c:v>
                </c:pt>
                <c:pt idx="87">
                  <c:v>0.57870333600000001</c:v>
                </c:pt>
                <c:pt idx="88">
                  <c:v>0.64280018799999905</c:v>
                </c:pt>
                <c:pt idx="89">
                  <c:v>0.75155197200000001</c:v>
                </c:pt>
                <c:pt idx="90">
                  <c:v>0.68398085200000003</c:v>
                </c:pt>
                <c:pt idx="91">
                  <c:v>0.63628065999999905</c:v>
                </c:pt>
                <c:pt idx="92">
                  <c:v>0.60410145599999998</c:v>
                </c:pt>
                <c:pt idx="93">
                  <c:v>0.67150981999999904</c:v>
                </c:pt>
                <c:pt idx="94">
                  <c:v>0.66694145599999999</c:v>
                </c:pt>
                <c:pt idx="95">
                  <c:v>0.62983861199999902</c:v>
                </c:pt>
                <c:pt idx="96">
                  <c:v>0.61001804000000004</c:v>
                </c:pt>
                <c:pt idx="97">
                  <c:v>0.61654414000000002</c:v>
                </c:pt>
                <c:pt idx="98">
                  <c:v>0.59535333199999996</c:v>
                </c:pt>
                <c:pt idx="99">
                  <c:v>0.56270766400000005</c:v>
                </c:pt>
                <c:pt idx="100">
                  <c:v>0.55456220000000001</c:v>
                </c:pt>
                <c:pt idx="101">
                  <c:v>0.60365951999999901</c:v>
                </c:pt>
                <c:pt idx="102">
                  <c:v>0.58347059199999995</c:v>
                </c:pt>
                <c:pt idx="103">
                  <c:v>0.56803161199999996</c:v>
                </c:pt>
                <c:pt idx="104">
                  <c:v>0.55254749999999997</c:v>
                </c:pt>
                <c:pt idx="105">
                  <c:v>0.56547555199999999</c:v>
                </c:pt>
                <c:pt idx="106">
                  <c:v>0.62016368799999999</c:v>
                </c:pt>
                <c:pt idx="107">
                  <c:v>0.59493480399999998</c:v>
                </c:pt>
                <c:pt idx="108">
                  <c:v>0.51793339999999999</c:v>
                </c:pt>
                <c:pt idx="109">
                  <c:v>0.60670676400000001</c:v>
                </c:pt>
                <c:pt idx="110">
                  <c:v>0.64345100399999999</c:v>
                </c:pt>
                <c:pt idx="111">
                  <c:v>0.61361535199999995</c:v>
                </c:pt>
                <c:pt idx="112">
                  <c:v>0.59474124799999994</c:v>
                </c:pt>
                <c:pt idx="113">
                  <c:v>0.54444331199999996</c:v>
                </c:pt>
                <c:pt idx="114">
                  <c:v>0.67745766399999996</c:v>
                </c:pt>
                <c:pt idx="115">
                  <c:v>0.69879289999999905</c:v>
                </c:pt>
                <c:pt idx="116">
                  <c:v>0.63710624000000005</c:v>
                </c:pt>
                <c:pt idx="117">
                  <c:v>0.59804602399999995</c:v>
                </c:pt>
                <c:pt idx="118">
                  <c:v>0.61784086400000005</c:v>
                </c:pt>
                <c:pt idx="119">
                  <c:v>0.55575588399999998</c:v>
                </c:pt>
                <c:pt idx="120">
                  <c:v>0.59034808000000005</c:v>
                </c:pt>
                <c:pt idx="121">
                  <c:v>0.57754375599999996</c:v>
                </c:pt>
                <c:pt idx="122">
                  <c:v>0.56059426400000001</c:v>
                </c:pt>
                <c:pt idx="123">
                  <c:v>0.542822888</c:v>
                </c:pt>
                <c:pt idx="124">
                  <c:v>0.57702389599999904</c:v>
                </c:pt>
                <c:pt idx="125">
                  <c:v>0.69683061199999896</c:v>
                </c:pt>
                <c:pt idx="126">
                  <c:v>0.649056788</c:v>
                </c:pt>
                <c:pt idx="127">
                  <c:v>0.61863771199999995</c:v>
                </c:pt>
                <c:pt idx="128">
                  <c:v>0.55664535599999998</c:v>
                </c:pt>
                <c:pt idx="129">
                  <c:v>0.59644744000000005</c:v>
                </c:pt>
                <c:pt idx="130">
                  <c:v>0.61181387599999904</c:v>
                </c:pt>
                <c:pt idx="131">
                  <c:v>0.59254014799999999</c:v>
                </c:pt>
                <c:pt idx="132">
                  <c:v>0.53414629599999996</c:v>
                </c:pt>
                <c:pt idx="133">
                  <c:v>0.66348383200000005</c:v>
                </c:pt>
                <c:pt idx="134">
                  <c:v>0.83292446799999997</c:v>
                </c:pt>
                <c:pt idx="135">
                  <c:v>0.71647227599999996</c:v>
                </c:pt>
                <c:pt idx="136">
                  <c:v>0.64374088399999996</c:v>
                </c:pt>
                <c:pt idx="137">
                  <c:v>0.60178064399999998</c:v>
                </c:pt>
                <c:pt idx="138">
                  <c:v>0.91321567999999997</c:v>
                </c:pt>
                <c:pt idx="139">
                  <c:v>0.98583381199999998</c:v>
                </c:pt>
                <c:pt idx="140">
                  <c:v>0.82808364799999901</c:v>
                </c:pt>
                <c:pt idx="141">
                  <c:v>0.70318841200000004</c:v>
                </c:pt>
                <c:pt idx="142">
                  <c:v>0.67487072000000004</c:v>
                </c:pt>
                <c:pt idx="143">
                  <c:v>0.97117030400000004</c:v>
                </c:pt>
                <c:pt idx="144">
                  <c:v>0.82063311999999999</c:v>
                </c:pt>
                <c:pt idx="145">
                  <c:v>0.66461490000000001</c:v>
                </c:pt>
                <c:pt idx="146">
                  <c:v>0.72370817200000004</c:v>
                </c:pt>
                <c:pt idx="147">
                  <c:v>0.771403536</c:v>
                </c:pt>
                <c:pt idx="148">
                  <c:v>0.65167801599999997</c:v>
                </c:pt>
                <c:pt idx="149">
                  <c:v>0.62427880800000002</c:v>
                </c:pt>
                <c:pt idx="150">
                  <c:v>0.93434271999999996</c:v>
                </c:pt>
                <c:pt idx="151">
                  <c:v>0.90266856799999995</c:v>
                </c:pt>
                <c:pt idx="152">
                  <c:v>0.81794674000000001</c:v>
                </c:pt>
                <c:pt idx="153">
                  <c:v>0.742938612</c:v>
                </c:pt>
                <c:pt idx="154">
                  <c:v>0.69204235599999997</c:v>
                </c:pt>
                <c:pt idx="155">
                  <c:v>0.62816207999999996</c:v>
                </c:pt>
                <c:pt idx="156">
                  <c:v>0.63526555200000001</c:v>
                </c:pt>
                <c:pt idx="157">
                  <c:v>0.78517861599999905</c:v>
                </c:pt>
                <c:pt idx="158">
                  <c:v>0.87536313200000004</c:v>
                </c:pt>
                <c:pt idx="159">
                  <c:v>0.80451119999999998</c:v>
                </c:pt>
                <c:pt idx="160">
                  <c:v>0.72139595199999995</c:v>
                </c:pt>
                <c:pt idx="161">
                  <c:v>0.65682395599999999</c:v>
                </c:pt>
                <c:pt idx="162">
                  <c:v>0.63590339600000001</c:v>
                </c:pt>
                <c:pt idx="163">
                  <c:v>0.58479850799999999</c:v>
                </c:pt>
                <c:pt idx="164">
                  <c:v>0.57238550399999999</c:v>
                </c:pt>
                <c:pt idx="165">
                  <c:v>0.66916045199999996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01-44F0-A5AE-7BB87FE2D814}"/>
            </c:ext>
          </c:extLst>
        </c:ser>
        <c:ser>
          <c:idx val="1"/>
          <c:order val="1"/>
          <c:tx>
            <c:strRef>
              <c:f>Spring!$R$1</c:f>
              <c:strCache>
                <c:ptCount val="1"/>
                <c:pt idx="0">
                  <c:v>Upstream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4315372150144207E-2"/>
                  <c:y val="-0.3220051341215760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Spring!$J$2:$J$167</c:f>
              <c:numCache>
                <c:formatCode>General</c:formatCode>
                <c:ptCount val="166"/>
                <c:pt idx="0">
                  <c:v>3.7290000000000001</c:v>
                </c:pt>
                <c:pt idx="1">
                  <c:v>3.573</c:v>
                </c:pt>
                <c:pt idx="2">
                  <c:v>3.2410000000000001</c:v>
                </c:pt>
                <c:pt idx="3">
                  <c:v>3.202</c:v>
                </c:pt>
                <c:pt idx="4">
                  <c:v>3.234</c:v>
                </c:pt>
                <c:pt idx="5">
                  <c:v>3.2930000000000001</c:v>
                </c:pt>
                <c:pt idx="6">
                  <c:v>3.1789999999999998</c:v>
                </c:pt>
                <c:pt idx="7">
                  <c:v>3.1110000000000002</c:v>
                </c:pt>
                <c:pt idx="8">
                  <c:v>3.0259999999999998</c:v>
                </c:pt>
                <c:pt idx="9">
                  <c:v>3.0910000000000002</c:v>
                </c:pt>
                <c:pt idx="10">
                  <c:v>3.206</c:v>
                </c:pt>
                <c:pt idx="11">
                  <c:v>3.6629999999999998</c:v>
                </c:pt>
                <c:pt idx="12">
                  <c:v>3.806</c:v>
                </c:pt>
                <c:pt idx="13">
                  <c:v>3.391</c:v>
                </c:pt>
                <c:pt idx="14">
                  <c:v>3.3119999999999998</c:v>
                </c:pt>
                <c:pt idx="15">
                  <c:v>3.3530000000000002</c:v>
                </c:pt>
                <c:pt idx="16">
                  <c:v>3.5139999999999998</c:v>
                </c:pt>
                <c:pt idx="17">
                  <c:v>3.6539999999999999</c:v>
                </c:pt>
                <c:pt idx="18">
                  <c:v>3.5760000000000001</c:v>
                </c:pt>
                <c:pt idx="19">
                  <c:v>3.3889999999999998</c:v>
                </c:pt>
                <c:pt idx="20">
                  <c:v>3.226</c:v>
                </c:pt>
                <c:pt idx="21">
                  <c:v>3.552</c:v>
                </c:pt>
                <c:pt idx="22">
                  <c:v>3.323</c:v>
                </c:pt>
                <c:pt idx="23">
                  <c:v>3.3159999999999998</c:v>
                </c:pt>
                <c:pt idx="24">
                  <c:v>3.2069999999999999</c:v>
                </c:pt>
                <c:pt idx="25">
                  <c:v>3.153</c:v>
                </c:pt>
                <c:pt idx="26">
                  <c:v>3.2869999999999999</c:v>
                </c:pt>
                <c:pt idx="27">
                  <c:v>3.2440000000000002</c:v>
                </c:pt>
                <c:pt idx="28">
                  <c:v>3.3380000000000001</c:v>
                </c:pt>
                <c:pt idx="29">
                  <c:v>3.2010000000000001</c:v>
                </c:pt>
                <c:pt idx="30">
                  <c:v>3.056</c:v>
                </c:pt>
                <c:pt idx="31">
                  <c:v>3.0910000000000002</c:v>
                </c:pt>
                <c:pt idx="32">
                  <c:v>3.26</c:v>
                </c:pt>
                <c:pt idx="33">
                  <c:v>3.37</c:v>
                </c:pt>
                <c:pt idx="34">
                  <c:v>3.246</c:v>
                </c:pt>
                <c:pt idx="35">
                  <c:v>2.9489999999999998</c:v>
                </c:pt>
                <c:pt idx="36">
                  <c:v>3.0939999999999999</c:v>
                </c:pt>
                <c:pt idx="37">
                  <c:v>3.32</c:v>
                </c:pt>
                <c:pt idx="38">
                  <c:v>2.996</c:v>
                </c:pt>
                <c:pt idx="39">
                  <c:v>2.8530000000000002</c:v>
                </c:pt>
                <c:pt idx="40">
                  <c:v>3.2490000000000001</c:v>
                </c:pt>
                <c:pt idx="41">
                  <c:v>3.1539999999999999</c:v>
                </c:pt>
                <c:pt idx="42">
                  <c:v>3.069</c:v>
                </c:pt>
                <c:pt idx="43">
                  <c:v>2.8119999999999998</c:v>
                </c:pt>
                <c:pt idx="44">
                  <c:v>2.774</c:v>
                </c:pt>
                <c:pt idx="45">
                  <c:v>3.0510000000000002</c:v>
                </c:pt>
                <c:pt idx="46">
                  <c:v>3.2709999999999999</c:v>
                </c:pt>
                <c:pt idx="47">
                  <c:v>3.2989999999999999</c:v>
                </c:pt>
                <c:pt idx="48">
                  <c:v>2.8559999999999999</c:v>
                </c:pt>
                <c:pt idx="49">
                  <c:v>2.7429999999999999</c:v>
                </c:pt>
                <c:pt idx="50">
                  <c:v>2.7890000000000001</c:v>
                </c:pt>
                <c:pt idx="51">
                  <c:v>2.8090000000000002</c:v>
                </c:pt>
                <c:pt idx="52">
                  <c:v>2.6989999999999998</c:v>
                </c:pt>
                <c:pt idx="53">
                  <c:v>2.8239999999999998</c:v>
                </c:pt>
                <c:pt idx="54">
                  <c:v>2.6429999999999998</c:v>
                </c:pt>
                <c:pt idx="55">
                  <c:v>2.9510000000000001</c:v>
                </c:pt>
                <c:pt idx="56">
                  <c:v>3.1309999999999998</c:v>
                </c:pt>
                <c:pt idx="57">
                  <c:v>2.8330000000000002</c:v>
                </c:pt>
                <c:pt idx="58">
                  <c:v>2.7509999999999999</c:v>
                </c:pt>
                <c:pt idx="59">
                  <c:v>2.8889999999999998</c:v>
                </c:pt>
                <c:pt idx="60">
                  <c:v>3.7759999999999998</c:v>
                </c:pt>
                <c:pt idx="61">
                  <c:v>3.4470000000000001</c:v>
                </c:pt>
                <c:pt idx="62">
                  <c:v>3.1629999999999998</c:v>
                </c:pt>
                <c:pt idx="63">
                  <c:v>2.9590000000000001</c:v>
                </c:pt>
                <c:pt idx="64">
                  <c:v>3.1480000000000001</c:v>
                </c:pt>
                <c:pt idx="65">
                  <c:v>3.5409999999999999</c:v>
                </c:pt>
                <c:pt idx="66">
                  <c:v>3.0760000000000001</c:v>
                </c:pt>
                <c:pt idx="67">
                  <c:v>2.8559999999999999</c:v>
                </c:pt>
                <c:pt idx="68">
                  <c:v>2.9209999999999998</c:v>
                </c:pt>
                <c:pt idx="69">
                  <c:v>3.0609999999999999</c:v>
                </c:pt>
                <c:pt idx="70">
                  <c:v>2.823</c:v>
                </c:pt>
                <c:pt idx="71">
                  <c:v>2.923</c:v>
                </c:pt>
                <c:pt idx="72">
                  <c:v>3.5110000000000001</c:v>
                </c:pt>
                <c:pt idx="74">
                  <c:v>3.1459999999999999</c:v>
                </c:pt>
                <c:pt idx="76">
                  <c:v>2.8879999999999999</c:v>
                </c:pt>
                <c:pt idx="78">
                  <c:v>2.9329999999999998</c:v>
                </c:pt>
                <c:pt idx="79">
                  <c:v>3.1819999999999999</c:v>
                </c:pt>
                <c:pt idx="80">
                  <c:v>3.2719999999999998</c:v>
                </c:pt>
                <c:pt idx="81">
                  <c:v>3.0419999999999998</c:v>
                </c:pt>
                <c:pt idx="82">
                  <c:v>3.8290000000000002</c:v>
                </c:pt>
                <c:pt idx="83">
                  <c:v>3.4729999999999999</c:v>
                </c:pt>
                <c:pt idx="84">
                  <c:v>3.4209999999999998</c:v>
                </c:pt>
                <c:pt idx="85">
                  <c:v>3.3460000000000001</c:v>
                </c:pt>
                <c:pt idx="86">
                  <c:v>3.2709999999999999</c:v>
                </c:pt>
                <c:pt idx="87">
                  <c:v>3.4089999999999998</c:v>
                </c:pt>
                <c:pt idx="88">
                  <c:v>4.6630000000000003</c:v>
                </c:pt>
                <c:pt idx="89">
                  <c:v>3.581</c:v>
                </c:pt>
                <c:pt idx="90">
                  <c:v>3.5859999999999999</c:v>
                </c:pt>
                <c:pt idx="91">
                  <c:v>3.4009999999999998</c:v>
                </c:pt>
                <c:pt idx="92">
                  <c:v>3.1459999999999999</c:v>
                </c:pt>
                <c:pt idx="93">
                  <c:v>3.9940000000000002</c:v>
                </c:pt>
                <c:pt idx="94">
                  <c:v>3.5329999999999999</c:v>
                </c:pt>
                <c:pt idx="95">
                  <c:v>3.4340000000000002</c:v>
                </c:pt>
                <c:pt idx="96">
                  <c:v>3.4279999999999999</c:v>
                </c:pt>
                <c:pt idx="97">
                  <c:v>3.4809999999999999</c:v>
                </c:pt>
                <c:pt idx="98">
                  <c:v>3.2829999999999999</c:v>
                </c:pt>
                <c:pt idx="99">
                  <c:v>3.0840000000000001</c:v>
                </c:pt>
                <c:pt idx="100">
                  <c:v>3.2890000000000001</c:v>
                </c:pt>
                <c:pt idx="101">
                  <c:v>3.8639999999999999</c:v>
                </c:pt>
                <c:pt idx="102">
                  <c:v>3.3439999999999999</c:v>
                </c:pt>
                <c:pt idx="103">
                  <c:v>3.1840000000000002</c:v>
                </c:pt>
                <c:pt idx="104">
                  <c:v>3.246</c:v>
                </c:pt>
                <c:pt idx="105">
                  <c:v>3.8860000000000001</c:v>
                </c:pt>
                <c:pt idx="106">
                  <c:v>3.4710000000000001</c:v>
                </c:pt>
                <c:pt idx="107">
                  <c:v>3.3780000000000001</c:v>
                </c:pt>
                <c:pt idx="108">
                  <c:v>3.1680000000000001</c:v>
                </c:pt>
                <c:pt idx="109">
                  <c:v>3.7970000000000002</c:v>
                </c:pt>
                <c:pt idx="110">
                  <c:v>3.1840000000000002</c:v>
                </c:pt>
                <c:pt idx="111">
                  <c:v>3.399</c:v>
                </c:pt>
                <c:pt idx="112">
                  <c:v>3.23</c:v>
                </c:pt>
                <c:pt idx="113">
                  <c:v>3.6640000000000001</c:v>
                </c:pt>
                <c:pt idx="114">
                  <c:v>4.5410000000000004</c:v>
                </c:pt>
                <c:pt idx="115">
                  <c:v>3.4580000000000002</c:v>
                </c:pt>
                <c:pt idx="116">
                  <c:v>3.2360000000000002</c:v>
                </c:pt>
                <c:pt idx="117">
                  <c:v>3.2829999999999999</c:v>
                </c:pt>
                <c:pt idx="118">
                  <c:v>3.1280000000000001</c:v>
                </c:pt>
                <c:pt idx="119">
                  <c:v>3.044</c:v>
                </c:pt>
                <c:pt idx="120">
                  <c:v>3.0270000000000001</c:v>
                </c:pt>
                <c:pt idx="121">
                  <c:v>2.9550000000000001</c:v>
                </c:pt>
                <c:pt idx="122">
                  <c:v>2.5230000000000001</c:v>
                </c:pt>
                <c:pt idx="123">
                  <c:v>2.681</c:v>
                </c:pt>
                <c:pt idx="124">
                  <c:v>3.456</c:v>
                </c:pt>
                <c:pt idx="125">
                  <c:v>3.1459999999999999</c:v>
                </c:pt>
                <c:pt idx="126">
                  <c:v>3.0259999999999998</c:v>
                </c:pt>
                <c:pt idx="127">
                  <c:v>2.7909999999999999</c:v>
                </c:pt>
                <c:pt idx="128">
                  <c:v>2.6970000000000001</c:v>
                </c:pt>
                <c:pt idx="129">
                  <c:v>3.1160000000000001</c:v>
                </c:pt>
                <c:pt idx="130">
                  <c:v>2.9769999999999999</c:v>
                </c:pt>
                <c:pt idx="131">
                  <c:v>2.8260000000000001</c:v>
                </c:pt>
                <c:pt idx="132">
                  <c:v>2.944</c:v>
                </c:pt>
                <c:pt idx="133">
                  <c:v>4.681</c:v>
                </c:pt>
                <c:pt idx="134">
                  <c:v>3.395</c:v>
                </c:pt>
                <c:pt idx="135">
                  <c:v>3.1139999999999999</c:v>
                </c:pt>
                <c:pt idx="136">
                  <c:v>2.9430000000000001</c:v>
                </c:pt>
                <c:pt idx="137">
                  <c:v>4.1040000000000001</c:v>
                </c:pt>
                <c:pt idx="138">
                  <c:v>4.9790000000000001</c:v>
                </c:pt>
                <c:pt idx="139">
                  <c:v>3.871</c:v>
                </c:pt>
                <c:pt idx="140">
                  <c:v>3.4740000000000002</c:v>
                </c:pt>
                <c:pt idx="141">
                  <c:v>3.2690000000000001</c:v>
                </c:pt>
                <c:pt idx="142">
                  <c:v>4.6879999999999997</c:v>
                </c:pt>
                <c:pt idx="143">
                  <c:v>3.9550000000000001</c:v>
                </c:pt>
                <c:pt idx="144">
                  <c:v>3.2229999999999999</c:v>
                </c:pt>
                <c:pt idx="145">
                  <c:v>3.044</c:v>
                </c:pt>
                <c:pt idx="146">
                  <c:v>3.4780000000000002</c:v>
                </c:pt>
                <c:pt idx="147">
                  <c:v>3.1890000000000001</c:v>
                </c:pt>
                <c:pt idx="148">
                  <c:v>2.7290000000000001</c:v>
                </c:pt>
                <c:pt idx="149">
                  <c:v>3.419</c:v>
                </c:pt>
                <c:pt idx="150">
                  <c:v>4.0039999999999996</c:v>
                </c:pt>
                <c:pt idx="153">
                  <c:v>2.944</c:v>
                </c:pt>
                <c:pt idx="156">
                  <c:v>3.504</c:v>
                </c:pt>
                <c:pt idx="158">
                  <c:v>3.5750000000000002</c:v>
                </c:pt>
                <c:pt idx="159">
                  <c:v>3.2189999999999999</c:v>
                </c:pt>
                <c:pt idx="161">
                  <c:v>2.7109999999999999</c:v>
                </c:pt>
                <c:pt idx="163">
                  <c:v>2.7170000000000001</c:v>
                </c:pt>
                <c:pt idx="165">
                  <c:v>3.8330000000000002</c:v>
                </c:pt>
              </c:numCache>
            </c:numRef>
          </c:xVal>
          <c:yVal>
            <c:numRef>
              <c:f>Spring!$R$2:$R$167</c:f>
              <c:numCache>
                <c:formatCode>0.000</c:formatCode>
                <c:ptCount val="166"/>
                <c:pt idx="10">
                  <c:v>0.75582086533333404</c:v>
                </c:pt>
                <c:pt idx="11">
                  <c:v>0.91088503333333404</c:v>
                </c:pt>
                <c:pt idx="12">
                  <c:v>0.88109358000000004</c:v>
                </c:pt>
                <c:pt idx="13">
                  <c:v>0.81627632400000005</c:v>
                </c:pt>
                <c:pt idx="14">
                  <c:v>0.76243800799999994</c:v>
                </c:pt>
                <c:pt idx="15">
                  <c:v>0.67033505466666699</c:v>
                </c:pt>
                <c:pt idx="16">
                  <c:v>0.81158337733333397</c:v>
                </c:pt>
                <c:pt idx="17">
                  <c:v>0.95340234000000001</c:v>
                </c:pt>
                <c:pt idx="18">
                  <c:v>0.86879868266666704</c:v>
                </c:pt>
                <c:pt idx="19">
                  <c:v>0.78447287466666704</c:v>
                </c:pt>
                <c:pt idx="20">
                  <c:v>0.67365488266666695</c:v>
                </c:pt>
                <c:pt idx="21">
                  <c:v>0.66390772799999997</c:v>
                </c:pt>
                <c:pt idx="22">
                  <c:v>0.69074627200000005</c:v>
                </c:pt>
                <c:pt idx="23">
                  <c:v>0.66556153733333401</c:v>
                </c:pt>
                <c:pt idx="24">
                  <c:v>0.64485797333333394</c:v>
                </c:pt>
                <c:pt idx="25">
                  <c:v>0.62673250666666702</c:v>
                </c:pt>
                <c:pt idx="26">
                  <c:v>0.61314624799999995</c:v>
                </c:pt>
                <c:pt idx="27">
                  <c:v>0.67674274266666701</c:v>
                </c:pt>
                <c:pt idx="28">
                  <c:v>0.76992602399999999</c:v>
                </c:pt>
                <c:pt idx="29">
                  <c:v>0.68208074266666696</c:v>
                </c:pt>
                <c:pt idx="30">
                  <c:v>0.65887905199999997</c:v>
                </c:pt>
                <c:pt idx="31">
                  <c:v>0.62723157866666701</c:v>
                </c:pt>
                <c:pt idx="32">
                  <c:v>0.81189412133333405</c:v>
                </c:pt>
                <c:pt idx="33">
                  <c:v>0.72860548133333403</c:v>
                </c:pt>
                <c:pt idx="34">
                  <c:v>0.66229624266666698</c:v>
                </c:pt>
                <c:pt idx="35">
                  <c:v>1.52773171733333</c:v>
                </c:pt>
                <c:pt idx="36">
                  <c:v>0.64996640800000005</c:v>
                </c:pt>
                <c:pt idx="37">
                  <c:v>1.0381982133333301</c:v>
                </c:pt>
                <c:pt idx="38">
                  <c:v>1.12973511866666</c:v>
                </c:pt>
                <c:pt idx="39">
                  <c:v>1.32009961333333</c:v>
                </c:pt>
                <c:pt idx="40">
                  <c:v>0.58136217866666695</c:v>
                </c:pt>
                <c:pt idx="41">
                  <c:v>0.63423936000000003</c:v>
                </c:pt>
                <c:pt idx="42">
                  <c:v>0.56620714800000005</c:v>
                </c:pt>
                <c:pt idx="43">
                  <c:v>0.74199311066666696</c:v>
                </c:pt>
                <c:pt idx="44">
                  <c:v>0.77998544400000003</c:v>
                </c:pt>
                <c:pt idx="45">
                  <c:v>1.93208359333333</c:v>
                </c:pt>
                <c:pt idx="46">
                  <c:v>1.64547994</c:v>
                </c:pt>
                <c:pt idx="47">
                  <c:v>1.2684738933333299</c:v>
                </c:pt>
                <c:pt idx="48">
                  <c:v>2.4295241733333302</c:v>
                </c:pt>
                <c:pt idx="49">
                  <c:v>1.26424327333333</c:v>
                </c:pt>
                <c:pt idx="50">
                  <c:v>1.60427601066666</c:v>
                </c:pt>
                <c:pt idx="51">
                  <c:v>2.3765978666666601</c:v>
                </c:pt>
                <c:pt idx="52">
                  <c:v>1.9360101999999999</c:v>
                </c:pt>
                <c:pt idx="53">
                  <c:v>0.94225200533333398</c:v>
                </c:pt>
                <c:pt idx="54">
                  <c:v>1.17248918933333</c:v>
                </c:pt>
                <c:pt idx="55">
                  <c:v>1.04979578</c:v>
                </c:pt>
                <c:pt idx="56">
                  <c:v>1.3618701613333299</c:v>
                </c:pt>
                <c:pt idx="57">
                  <c:v>1.19757845333333</c:v>
                </c:pt>
                <c:pt idx="58">
                  <c:v>1.26042132666666</c:v>
                </c:pt>
                <c:pt idx="59">
                  <c:v>1.0220899240000001</c:v>
                </c:pt>
                <c:pt idx="60">
                  <c:v>0.72509531466666699</c:v>
                </c:pt>
                <c:pt idx="61">
                  <c:v>0.75147322400000005</c:v>
                </c:pt>
                <c:pt idx="62">
                  <c:v>0.79717206666666696</c:v>
                </c:pt>
                <c:pt idx="63">
                  <c:v>1.5189193546666599</c:v>
                </c:pt>
                <c:pt idx="64">
                  <c:v>0.73912359866666699</c:v>
                </c:pt>
                <c:pt idx="65">
                  <c:v>0.903743569333334</c:v>
                </c:pt>
                <c:pt idx="66">
                  <c:v>0.69605300133333403</c:v>
                </c:pt>
                <c:pt idx="67">
                  <c:v>0.64806454800000002</c:v>
                </c:pt>
                <c:pt idx="68">
                  <c:v>0.66948233599999996</c:v>
                </c:pt>
                <c:pt idx="69">
                  <c:v>0.63945933466666705</c:v>
                </c:pt>
                <c:pt idx="70">
                  <c:v>0.60962034399999998</c:v>
                </c:pt>
                <c:pt idx="71">
                  <c:v>0.58413531333333402</c:v>
                </c:pt>
                <c:pt idx="72">
                  <c:v>0.86806397466666696</c:v>
                </c:pt>
                <c:pt idx="73">
                  <c:v>0.88412704400000097</c:v>
                </c:pt>
                <c:pt idx="74">
                  <c:v>0.81815425333333403</c:v>
                </c:pt>
                <c:pt idx="75">
                  <c:v>0.69254495866666699</c:v>
                </c:pt>
                <c:pt idx="76">
                  <c:v>0.63426094933333399</c:v>
                </c:pt>
                <c:pt idx="77">
                  <c:v>0.61283889866666696</c:v>
                </c:pt>
                <c:pt idx="78">
                  <c:v>0.81815425333333403</c:v>
                </c:pt>
                <c:pt idx="79">
                  <c:v>0.75963689066666695</c:v>
                </c:pt>
                <c:pt idx="80">
                  <c:v>1.68469130666666</c:v>
                </c:pt>
                <c:pt idx="81">
                  <c:v>2.3029300400000001</c:v>
                </c:pt>
                <c:pt idx="82">
                  <c:v>0.75582086533333404</c:v>
                </c:pt>
                <c:pt idx="83">
                  <c:v>0.91088503333333404</c:v>
                </c:pt>
                <c:pt idx="84">
                  <c:v>0.88109358000000004</c:v>
                </c:pt>
                <c:pt idx="85">
                  <c:v>0.81627632400000005</c:v>
                </c:pt>
                <c:pt idx="86">
                  <c:v>0.76243800799999994</c:v>
                </c:pt>
                <c:pt idx="87">
                  <c:v>0.67033505466666699</c:v>
                </c:pt>
                <c:pt idx="88">
                  <c:v>0.81158337733333397</c:v>
                </c:pt>
                <c:pt idx="89">
                  <c:v>0.95340234000000001</c:v>
                </c:pt>
                <c:pt idx="90">
                  <c:v>0.86879868266666704</c:v>
                </c:pt>
                <c:pt idx="91">
                  <c:v>0.78447287466666704</c:v>
                </c:pt>
                <c:pt idx="92">
                  <c:v>0.67365488266666695</c:v>
                </c:pt>
                <c:pt idx="93">
                  <c:v>0.84619563600000003</c:v>
                </c:pt>
                <c:pt idx="94">
                  <c:v>0.83329736266666699</c:v>
                </c:pt>
                <c:pt idx="95">
                  <c:v>0.74757178266666702</c:v>
                </c:pt>
                <c:pt idx="96">
                  <c:v>0.68585567866666697</c:v>
                </c:pt>
                <c:pt idx="97">
                  <c:v>0.69074627200000005</c:v>
                </c:pt>
                <c:pt idx="98">
                  <c:v>0.66556153733333401</c:v>
                </c:pt>
                <c:pt idx="99">
                  <c:v>0.62673250666666702</c:v>
                </c:pt>
                <c:pt idx="100">
                  <c:v>0.61314624799999995</c:v>
                </c:pt>
                <c:pt idx="101">
                  <c:v>0.67337176666666698</c:v>
                </c:pt>
                <c:pt idx="102">
                  <c:v>0.65291963600000003</c:v>
                </c:pt>
                <c:pt idx="103">
                  <c:v>0.63352483999999998</c:v>
                </c:pt>
                <c:pt idx="104">
                  <c:v>0.61422888399999997</c:v>
                </c:pt>
                <c:pt idx="105">
                  <c:v>0.62944473066666695</c:v>
                </c:pt>
                <c:pt idx="106">
                  <c:v>0.69673094933333402</c:v>
                </c:pt>
                <c:pt idx="107">
                  <c:v>0.66144730266666696</c:v>
                </c:pt>
                <c:pt idx="108">
                  <c:v>0.60295106133333398</c:v>
                </c:pt>
                <c:pt idx="109">
                  <c:v>0.67674274266666701</c:v>
                </c:pt>
                <c:pt idx="110">
                  <c:v>0.76992602399999999</c:v>
                </c:pt>
                <c:pt idx="111">
                  <c:v>0.68208074266666696</c:v>
                </c:pt>
                <c:pt idx="112">
                  <c:v>0.65887905199999997</c:v>
                </c:pt>
                <c:pt idx="113">
                  <c:v>0.62723157866666701</c:v>
                </c:pt>
                <c:pt idx="114">
                  <c:v>0.81189412133333405</c:v>
                </c:pt>
                <c:pt idx="115">
                  <c:v>0.72860548133333403</c:v>
                </c:pt>
                <c:pt idx="116">
                  <c:v>0.66229624266666698</c:v>
                </c:pt>
                <c:pt idx="117">
                  <c:v>0.64996640800000005</c:v>
                </c:pt>
                <c:pt idx="118">
                  <c:v>1.0381982133333301</c:v>
                </c:pt>
                <c:pt idx="119">
                  <c:v>0.58501505866666703</c:v>
                </c:pt>
                <c:pt idx="120">
                  <c:v>0.63423936000000003</c:v>
                </c:pt>
                <c:pt idx="121">
                  <c:v>0.56620714800000005</c:v>
                </c:pt>
                <c:pt idx="122">
                  <c:v>0.74199311066666696</c:v>
                </c:pt>
                <c:pt idx="123">
                  <c:v>0.77998544400000003</c:v>
                </c:pt>
                <c:pt idx="124">
                  <c:v>1.93208359333333</c:v>
                </c:pt>
                <c:pt idx="125">
                  <c:v>1.64547994</c:v>
                </c:pt>
                <c:pt idx="126">
                  <c:v>1.2684738933333299</c:v>
                </c:pt>
                <c:pt idx="127">
                  <c:v>2.4295241733333302</c:v>
                </c:pt>
                <c:pt idx="128">
                  <c:v>1.26424327333333</c:v>
                </c:pt>
                <c:pt idx="129">
                  <c:v>1.60427601066666</c:v>
                </c:pt>
                <c:pt idx="130">
                  <c:v>2.3765978666666601</c:v>
                </c:pt>
                <c:pt idx="131">
                  <c:v>1.9360101999999999</c:v>
                </c:pt>
                <c:pt idx="132">
                  <c:v>1.17248918933333</c:v>
                </c:pt>
                <c:pt idx="133">
                  <c:v>1.04979578</c:v>
                </c:pt>
                <c:pt idx="134">
                  <c:v>1.3618701613333299</c:v>
                </c:pt>
                <c:pt idx="135">
                  <c:v>1.19757845333333</c:v>
                </c:pt>
                <c:pt idx="136">
                  <c:v>1.26042132666666</c:v>
                </c:pt>
                <c:pt idx="137">
                  <c:v>1.0220899240000001</c:v>
                </c:pt>
                <c:pt idx="138">
                  <c:v>0.72509531466666699</c:v>
                </c:pt>
                <c:pt idx="139">
                  <c:v>0.75147322400000005</c:v>
                </c:pt>
                <c:pt idx="140">
                  <c:v>0.79717206666666696</c:v>
                </c:pt>
                <c:pt idx="141">
                  <c:v>1.5189193546666599</c:v>
                </c:pt>
                <c:pt idx="142">
                  <c:v>0.73912359866666699</c:v>
                </c:pt>
                <c:pt idx="143">
                  <c:v>0.903743569333334</c:v>
                </c:pt>
                <c:pt idx="144">
                  <c:v>0.69605300133333403</c:v>
                </c:pt>
                <c:pt idx="145">
                  <c:v>0.64806454800000002</c:v>
                </c:pt>
                <c:pt idx="146">
                  <c:v>0.66948233599999996</c:v>
                </c:pt>
                <c:pt idx="147">
                  <c:v>0.63945933466666705</c:v>
                </c:pt>
                <c:pt idx="148">
                  <c:v>0.60962034399999998</c:v>
                </c:pt>
                <c:pt idx="149">
                  <c:v>0.58413531333333402</c:v>
                </c:pt>
                <c:pt idx="150">
                  <c:v>0.86806397466666696</c:v>
                </c:pt>
                <c:pt idx="151">
                  <c:v>0.88412704400000097</c:v>
                </c:pt>
                <c:pt idx="152">
                  <c:v>0.81815425333333403</c:v>
                </c:pt>
                <c:pt idx="153">
                  <c:v>0.69254495866666699</c:v>
                </c:pt>
                <c:pt idx="154">
                  <c:v>0.63426094933333399</c:v>
                </c:pt>
                <c:pt idx="155">
                  <c:v>0.61283889866666696</c:v>
                </c:pt>
                <c:pt idx="156">
                  <c:v>0.63369554133333394</c:v>
                </c:pt>
                <c:pt idx="157">
                  <c:v>0.75963689066666695</c:v>
                </c:pt>
                <c:pt idx="158">
                  <c:v>0.806582470666667</c:v>
                </c:pt>
                <c:pt idx="159">
                  <c:v>1.68469130666666</c:v>
                </c:pt>
                <c:pt idx="160">
                  <c:v>2.3029300400000001</c:v>
                </c:pt>
                <c:pt idx="161">
                  <c:v>1.62193118</c:v>
                </c:pt>
                <c:pt idx="162">
                  <c:v>1.9584662533333299</c:v>
                </c:pt>
                <c:pt idx="163">
                  <c:v>1.8495387186666601</c:v>
                </c:pt>
                <c:pt idx="164">
                  <c:v>1.75635108533333</c:v>
                </c:pt>
                <c:pt idx="165">
                  <c:v>1.98575952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01-44F0-A5AE-7BB87FE2D814}"/>
            </c:ext>
          </c:extLst>
        </c:ser>
        <c:ser>
          <c:idx val="2"/>
          <c:order val="2"/>
          <c:tx>
            <c:strRef>
              <c:f>Spring!$N$1</c:f>
              <c:strCache>
                <c:ptCount val="1"/>
                <c:pt idx="0">
                  <c:v>Respective Site fDOM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381414404957246"/>
                  <c:y val="-0.4053536695650449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Spring!$J$2:$J$167</c:f>
              <c:numCache>
                <c:formatCode>General</c:formatCode>
                <c:ptCount val="166"/>
                <c:pt idx="0">
                  <c:v>3.7290000000000001</c:v>
                </c:pt>
                <c:pt idx="1">
                  <c:v>3.573</c:v>
                </c:pt>
                <c:pt idx="2">
                  <c:v>3.2410000000000001</c:v>
                </c:pt>
                <c:pt idx="3">
                  <c:v>3.202</c:v>
                </c:pt>
                <c:pt idx="4">
                  <c:v>3.234</c:v>
                </c:pt>
                <c:pt idx="5">
                  <c:v>3.2930000000000001</c:v>
                </c:pt>
                <c:pt idx="6">
                  <c:v>3.1789999999999998</c:v>
                </c:pt>
                <c:pt idx="7">
                  <c:v>3.1110000000000002</c:v>
                </c:pt>
                <c:pt idx="8">
                  <c:v>3.0259999999999998</c:v>
                </c:pt>
                <c:pt idx="9">
                  <c:v>3.0910000000000002</c:v>
                </c:pt>
                <c:pt idx="10">
                  <c:v>3.206</c:v>
                </c:pt>
                <c:pt idx="11">
                  <c:v>3.6629999999999998</c:v>
                </c:pt>
                <c:pt idx="12">
                  <c:v>3.806</c:v>
                </c:pt>
                <c:pt idx="13">
                  <c:v>3.391</c:v>
                </c:pt>
                <c:pt idx="14">
                  <c:v>3.3119999999999998</c:v>
                </c:pt>
                <c:pt idx="15">
                  <c:v>3.3530000000000002</c:v>
                </c:pt>
                <c:pt idx="16">
                  <c:v>3.5139999999999998</c:v>
                </c:pt>
                <c:pt idx="17">
                  <c:v>3.6539999999999999</c:v>
                </c:pt>
                <c:pt idx="18">
                  <c:v>3.5760000000000001</c:v>
                </c:pt>
                <c:pt idx="19">
                  <c:v>3.3889999999999998</c:v>
                </c:pt>
                <c:pt idx="20">
                  <c:v>3.226</c:v>
                </c:pt>
                <c:pt idx="21">
                  <c:v>3.552</c:v>
                </c:pt>
                <c:pt idx="22">
                  <c:v>3.323</c:v>
                </c:pt>
                <c:pt idx="23">
                  <c:v>3.3159999999999998</c:v>
                </c:pt>
                <c:pt idx="24">
                  <c:v>3.2069999999999999</c:v>
                </c:pt>
                <c:pt idx="25">
                  <c:v>3.153</c:v>
                </c:pt>
                <c:pt idx="26">
                  <c:v>3.2869999999999999</c:v>
                </c:pt>
                <c:pt idx="27">
                  <c:v>3.2440000000000002</c:v>
                </c:pt>
                <c:pt idx="28">
                  <c:v>3.3380000000000001</c:v>
                </c:pt>
                <c:pt idx="29">
                  <c:v>3.2010000000000001</c:v>
                </c:pt>
                <c:pt idx="30">
                  <c:v>3.056</c:v>
                </c:pt>
                <c:pt idx="31">
                  <c:v>3.0910000000000002</c:v>
                </c:pt>
                <c:pt idx="32">
                  <c:v>3.26</c:v>
                </c:pt>
                <c:pt idx="33">
                  <c:v>3.37</c:v>
                </c:pt>
                <c:pt idx="34">
                  <c:v>3.246</c:v>
                </c:pt>
                <c:pt idx="35">
                  <c:v>2.9489999999999998</c:v>
                </c:pt>
                <c:pt idx="36">
                  <c:v>3.0939999999999999</c:v>
                </c:pt>
                <c:pt idx="37">
                  <c:v>3.32</c:v>
                </c:pt>
                <c:pt idx="38">
                  <c:v>2.996</c:v>
                </c:pt>
                <c:pt idx="39">
                  <c:v>2.8530000000000002</c:v>
                </c:pt>
                <c:pt idx="40">
                  <c:v>3.2490000000000001</c:v>
                </c:pt>
                <c:pt idx="41">
                  <c:v>3.1539999999999999</c:v>
                </c:pt>
                <c:pt idx="42">
                  <c:v>3.069</c:v>
                </c:pt>
                <c:pt idx="43">
                  <c:v>2.8119999999999998</c:v>
                </c:pt>
                <c:pt idx="44">
                  <c:v>2.774</c:v>
                </c:pt>
                <c:pt idx="45">
                  <c:v>3.0510000000000002</c:v>
                </c:pt>
                <c:pt idx="46">
                  <c:v>3.2709999999999999</c:v>
                </c:pt>
                <c:pt idx="47">
                  <c:v>3.2989999999999999</c:v>
                </c:pt>
                <c:pt idx="48">
                  <c:v>2.8559999999999999</c:v>
                </c:pt>
                <c:pt idx="49">
                  <c:v>2.7429999999999999</c:v>
                </c:pt>
                <c:pt idx="50">
                  <c:v>2.7890000000000001</c:v>
                </c:pt>
                <c:pt idx="51">
                  <c:v>2.8090000000000002</c:v>
                </c:pt>
                <c:pt idx="52">
                  <c:v>2.6989999999999998</c:v>
                </c:pt>
                <c:pt idx="53">
                  <c:v>2.8239999999999998</c:v>
                </c:pt>
                <c:pt idx="54">
                  <c:v>2.6429999999999998</c:v>
                </c:pt>
                <c:pt idx="55">
                  <c:v>2.9510000000000001</c:v>
                </c:pt>
                <c:pt idx="56">
                  <c:v>3.1309999999999998</c:v>
                </c:pt>
                <c:pt idx="57">
                  <c:v>2.8330000000000002</c:v>
                </c:pt>
                <c:pt idx="58">
                  <c:v>2.7509999999999999</c:v>
                </c:pt>
                <c:pt idx="59">
                  <c:v>2.8889999999999998</c:v>
                </c:pt>
                <c:pt idx="60">
                  <c:v>3.7759999999999998</c:v>
                </c:pt>
                <c:pt idx="61">
                  <c:v>3.4470000000000001</c:v>
                </c:pt>
                <c:pt idx="62">
                  <c:v>3.1629999999999998</c:v>
                </c:pt>
                <c:pt idx="63">
                  <c:v>2.9590000000000001</c:v>
                </c:pt>
                <c:pt idx="64">
                  <c:v>3.1480000000000001</c:v>
                </c:pt>
                <c:pt idx="65">
                  <c:v>3.5409999999999999</c:v>
                </c:pt>
                <c:pt idx="66">
                  <c:v>3.0760000000000001</c:v>
                </c:pt>
                <c:pt idx="67">
                  <c:v>2.8559999999999999</c:v>
                </c:pt>
                <c:pt idx="68">
                  <c:v>2.9209999999999998</c:v>
                </c:pt>
                <c:pt idx="69">
                  <c:v>3.0609999999999999</c:v>
                </c:pt>
                <c:pt idx="70">
                  <c:v>2.823</c:v>
                </c:pt>
                <c:pt idx="71">
                  <c:v>2.923</c:v>
                </c:pt>
                <c:pt idx="72">
                  <c:v>3.5110000000000001</c:v>
                </c:pt>
                <c:pt idx="74">
                  <c:v>3.1459999999999999</c:v>
                </c:pt>
                <c:pt idx="76">
                  <c:v>2.8879999999999999</c:v>
                </c:pt>
                <c:pt idx="78">
                  <c:v>2.9329999999999998</c:v>
                </c:pt>
                <c:pt idx="79">
                  <c:v>3.1819999999999999</c:v>
                </c:pt>
                <c:pt idx="80">
                  <c:v>3.2719999999999998</c:v>
                </c:pt>
                <c:pt idx="81">
                  <c:v>3.0419999999999998</c:v>
                </c:pt>
                <c:pt idx="82">
                  <c:v>3.8290000000000002</c:v>
                </c:pt>
                <c:pt idx="83">
                  <c:v>3.4729999999999999</c:v>
                </c:pt>
                <c:pt idx="84">
                  <c:v>3.4209999999999998</c:v>
                </c:pt>
                <c:pt idx="85">
                  <c:v>3.3460000000000001</c:v>
                </c:pt>
                <c:pt idx="86">
                  <c:v>3.2709999999999999</c:v>
                </c:pt>
                <c:pt idx="87">
                  <c:v>3.4089999999999998</c:v>
                </c:pt>
                <c:pt idx="88">
                  <c:v>4.6630000000000003</c:v>
                </c:pt>
                <c:pt idx="89">
                  <c:v>3.581</c:v>
                </c:pt>
                <c:pt idx="90">
                  <c:v>3.5859999999999999</c:v>
                </c:pt>
                <c:pt idx="91">
                  <c:v>3.4009999999999998</c:v>
                </c:pt>
                <c:pt idx="92">
                  <c:v>3.1459999999999999</c:v>
                </c:pt>
                <c:pt idx="93">
                  <c:v>3.9940000000000002</c:v>
                </c:pt>
                <c:pt idx="94">
                  <c:v>3.5329999999999999</c:v>
                </c:pt>
                <c:pt idx="95">
                  <c:v>3.4340000000000002</c:v>
                </c:pt>
                <c:pt idx="96">
                  <c:v>3.4279999999999999</c:v>
                </c:pt>
                <c:pt idx="97">
                  <c:v>3.4809999999999999</c:v>
                </c:pt>
                <c:pt idx="98">
                  <c:v>3.2829999999999999</c:v>
                </c:pt>
                <c:pt idx="99">
                  <c:v>3.0840000000000001</c:v>
                </c:pt>
                <c:pt idx="100">
                  <c:v>3.2890000000000001</c:v>
                </c:pt>
                <c:pt idx="101">
                  <c:v>3.8639999999999999</c:v>
                </c:pt>
                <c:pt idx="102">
                  <c:v>3.3439999999999999</c:v>
                </c:pt>
                <c:pt idx="103">
                  <c:v>3.1840000000000002</c:v>
                </c:pt>
                <c:pt idx="104">
                  <c:v>3.246</c:v>
                </c:pt>
                <c:pt idx="105">
                  <c:v>3.8860000000000001</c:v>
                </c:pt>
                <c:pt idx="106">
                  <c:v>3.4710000000000001</c:v>
                </c:pt>
                <c:pt idx="107">
                  <c:v>3.3780000000000001</c:v>
                </c:pt>
                <c:pt idx="108">
                  <c:v>3.1680000000000001</c:v>
                </c:pt>
                <c:pt idx="109">
                  <c:v>3.7970000000000002</c:v>
                </c:pt>
                <c:pt idx="110">
                  <c:v>3.1840000000000002</c:v>
                </c:pt>
                <c:pt idx="111">
                  <c:v>3.399</c:v>
                </c:pt>
                <c:pt idx="112">
                  <c:v>3.23</c:v>
                </c:pt>
                <c:pt idx="113">
                  <c:v>3.6640000000000001</c:v>
                </c:pt>
                <c:pt idx="114">
                  <c:v>4.5410000000000004</c:v>
                </c:pt>
                <c:pt idx="115">
                  <c:v>3.4580000000000002</c:v>
                </c:pt>
                <c:pt idx="116">
                  <c:v>3.2360000000000002</c:v>
                </c:pt>
                <c:pt idx="117">
                  <c:v>3.2829999999999999</c:v>
                </c:pt>
                <c:pt idx="118">
                  <c:v>3.1280000000000001</c:v>
                </c:pt>
                <c:pt idx="119">
                  <c:v>3.044</c:v>
                </c:pt>
                <c:pt idx="120">
                  <c:v>3.0270000000000001</c:v>
                </c:pt>
                <c:pt idx="121">
                  <c:v>2.9550000000000001</c:v>
                </c:pt>
                <c:pt idx="122">
                  <c:v>2.5230000000000001</c:v>
                </c:pt>
                <c:pt idx="123">
                  <c:v>2.681</c:v>
                </c:pt>
                <c:pt idx="124">
                  <c:v>3.456</c:v>
                </c:pt>
                <c:pt idx="125">
                  <c:v>3.1459999999999999</c:v>
                </c:pt>
                <c:pt idx="126">
                  <c:v>3.0259999999999998</c:v>
                </c:pt>
                <c:pt idx="127">
                  <c:v>2.7909999999999999</c:v>
                </c:pt>
                <c:pt idx="128">
                  <c:v>2.6970000000000001</c:v>
                </c:pt>
                <c:pt idx="129">
                  <c:v>3.1160000000000001</c:v>
                </c:pt>
                <c:pt idx="130">
                  <c:v>2.9769999999999999</c:v>
                </c:pt>
                <c:pt idx="131">
                  <c:v>2.8260000000000001</c:v>
                </c:pt>
                <c:pt idx="132">
                  <c:v>2.944</c:v>
                </c:pt>
                <c:pt idx="133">
                  <c:v>4.681</c:v>
                </c:pt>
                <c:pt idx="134">
                  <c:v>3.395</c:v>
                </c:pt>
                <c:pt idx="135">
                  <c:v>3.1139999999999999</c:v>
                </c:pt>
                <c:pt idx="136">
                  <c:v>2.9430000000000001</c:v>
                </c:pt>
                <c:pt idx="137">
                  <c:v>4.1040000000000001</c:v>
                </c:pt>
                <c:pt idx="138">
                  <c:v>4.9790000000000001</c:v>
                </c:pt>
                <c:pt idx="139">
                  <c:v>3.871</c:v>
                </c:pt>
                <c:pt idx="140">
                  <c:v>3.4740000000000002</c:v>
                </c:pt>
                <c:pt idx="141">
                  <c:v>3.2690000000000001</c:v>
                </c:pt>
                <c:pt idx="142">
                  <c:v>4.6879999999999997</c:v>
                </c:pt>
                <c:pt idx="143">
                  <c:v>3.9550000000000001</c:v>
                </c:pt>
                <c:pt idx="144">
                  <c:v>3.2229999999999999</c:v>
                </c:pt>
                <c:pt idx="145">
                  <c:v>3.044</c:v>
                </c:pt>
                <c:pt idx="146">
                  <c:v>3.4780000000000002</c:v>
                </c:pt>
                <c:pt idx="147">
                  <c:v>3.1890000000000001</c:v>
                </c:pt>
                <c:pt idx="148">
                  <c:v>2.7290000000000001</c:v>
                </c:pt>
                <c:pt idx="149">
                  <c:v>3.419</c:v>
                </c:pt>
                <c:pt idx="150">
                  <c:v>4.0039999999999996</c:v>
                </c:pt>
                <c:pt idx="153">
                  <c:v>2.944</c:v>
                </c:pt>
                <c:pt idx="156">
                  <c:v>3.504</c:v>
                </c:pt>
                <c:pt idx="158">
                  <c:v>3.5750000000000002</c:v>
                </c:pt>
                <c:pt idx="159">
                  <c:v>3.2189999999999999</c:v>
                </c:pt>
                <c:pt idx="161">
                  <c:v>2.7109999999999999</c:v>
                </c:pt>
                <c:pt idx="163">
                  <c:v>2.7170000000000001</c:v>
                </c:pt>
                <c:pt idx="165">
                  <c:v>3.8330000000000002</c:v>
                </c:pt>
              </c:numCache>
            </c:numRef>
          </c:xVal>
          <c:yVal>
            <c:numRef>
              <c:f>Spring!$N$2:$N$167</c:f>
              <c:numCache>
                <c:formatCode>0.000</c:formatCode>
                <c:ptCount val="166"/>
                <c:pt idx="10">
                  <c:v>0.60768966400000002</c:v>
                </c:pt>
                <c:pt idx="11">
                  <c:v>0.67526825599999996</c:v>
                </c:pt>
                <c:pt idx="12">
                  <c:v>0.66271287999999995</c:v>
                </c:pt>
                <c:pt idx="13">
                  <c:v>0.63474413999999901</c:v>
                </c:pt>
                <c:pt idx="14">
                  <c:v>0.62033358800000005</c:v>
                </c:pt>
                <c:pt idx="15">
                  <c:v>0.57870333600000001</c:v>
                </c:pt>
                <c:pt idx="16">
                  <c:v>0.64280018799999905</c:v>
                </c:pt>
                <c:pt idx="17">
                  <c:v>0.75155197200000001</c:v>
                </c:pt>
                <c:pt idx="18">
                  <c:v>0.68398085200000003</c:v>
                </c:pt>
                <c:pt idx="19">
                  <c:v>0.63628065999999905</c:v>
                </c:pt>
                <c:pt idx="20">
                  <c:v>0.60410145599999998</c:v>
                </c:pt>
                <c:pt idx="21">
                  <c:v>0.59383253599999997</c:v>
                </c:pt>
                <c:pt idx="22">
                  <c:v>0.61654414000000002</c:v>
                </c:pt>
                <c:pt idx="23">
                  <c:v>0.59535333199999996</c:v>
                </c:pt>
                <c:pt idx="24">
                  <c:v>0.57885261200000004</c:v>
                </c:pt>
                <c:pt idx="25">
                  <c:v>0.56270766400000005</c:v>
                </c:pt>
                <c:pt idx="26">
                  <c:v>0.55456220000000001</c:v>
                </c:pt>
                <c:pt idx="27">
                  <c:v>0.60670676400000001</c:v>
                </c:pt>
                <c:pt idx="28">
                  <c:v>0.64345100399999999</c:v>
                </c:pt>
                <c:pt idx="29">
                  <c:v>0.61361535199999995</c:v>
                </c:pt>
                <c:pt idx="30">
                  <c:v>0.59474124799999994</c:v>
                </c:pt>
                <c:pt idx="31">
                  <c:v>0.54444331199999996</c:v>
                </c:pt>
                <c:pt idx="32">
                  <c:v>0.67745766399999996</c:v>
                </c:pt>
                <c:pt idx="33">
                  <c:v>0.69879289999999905</c:v>
                </c:pt>
                <c:pt idx="34">
                  <c:v>0.63710624000000005</c:v>
                </c:pt>
                <c:pt idx="35">
                  <c:v>0.61671400399999998</c:v>
                </c:pt>
                <c:pt idx="36">
                  <c:v>0.59804602399999995</c:v>
                </c:pt>
                <c:pt idx="37">
                  <c:v>0.61784086400000005</c:v>
                </c:pt>
                <c:pt idx="38">
                  <c:v>0.60023069200000001</c:v>
                </c:pt>
                <c:pt idx="39">
                  <c:v>0.58027925199999997</c:v>
                </c:pt>
                <c:pt idx="40">
                  <c:v>0.55574581999999995</c:v>
                </c:pt>
                <c:pt idx="41">
                  <c:v>0.59034808000000005</c:v>
                </c:pt>
                <c:pt idx="42">
                  <c:v>0.57754375599999996</c:v>
                </c:pt>
                <c:pt idx="43">
                  <c:v>0.56059426400000001</c:v>
                </c:pt>
                <c:pt idx="44">
                  <c:v>0.542822888</c:v>
                </c:pt>
                <c:pt idx="45">
                  <c:v>0.57702389599999904</c:v>
                </c:pt>
                <c:pt idx="46">
                  <c:v>0.69683061199999896</c:v>
                </c:pt>
                <c:pt idx="47">
                  <c:v>0.649056788</c:v>
                </c:pt>
                <c:pt idx="48">
                  <c:v>0.61863771199999995</c:v>
                </c:pt>
                <c:pt idx="49">
                  <c:v>0.55664535599999998</c:v>
                </c:pt>
                <c:pt idx="50">
                  <c:v>0.59644744000000005</c:v>
                </c:pt>
                <c:pt idx="51">
                  <c:v>0.61181387599999904</c:v>
                </c:pt>
                <c:pt idx="52">
                  <c:v>0.59254014799999999</c:v>
                </c:pt>
                <c:pt idx="53">
                  <c:v>0.57737382399999904</c:v>
                </c:pt>
                <c:pt idx="54">
                  <c:v>0.53414629599999996</c:v>
                </c:pt>
                <c:pt idx="55">
                  <c:v>0.66348383200000005</c:v>
                </c:pt>
                <c:pt idx="56">
                  <c:v>0.83292446799999997</c:v>
                </c:pt>
                <c:pt idx="57">
                  <c:v>0.71647227599999996</c:v>
                </c:pt>
                <c:pt idx="58">
                  <c:v>0.64374088399999996</c:v>
                </c:pt>
                <c:pt idx="59">
                  <c:v>0.60178064399999998</c:v>
                </c:pt>
                <c:pt idx="60">
                  <c:v>0.91321567999999997</c:v>
                </c:pt>
                <c:pt idx="61">
                  <c:v>0.98583381199999998</c:v>
                </c:pt>
                <c:pt idx="62">
                  <c:v>0.82808364799999901</c:v>
                </c:pt>
                <c:pt idx="63">
                  <c:v>0.70318841200000004</c:v>
                </c:pt>
                <c:pt idx="64">
                  <c:v>0.67487072000000004</c:v>
                </c:pt>
                <c:pt idx="65">
                  <c:v>0.97117030400000004</c:v>
                </c:pt>
                <c:pt idx="66">
                  <c:v>0.82063311999999999</c:v>
                </c:pt>
                <c:pt idx="67">
                  <c:v>0.66461490000000001</c:v>
                </c:pt>
                <c:pt idx="68">
                  <c:v>0.72370817200000004</c:v>
                </c:pt>
                <c:pt idx="69">
                  <c:v>0.771403536</c:v>
                </c:pt>
                <c:pt idx="70">
                  <c:v>0.65167801599999997</c:v>
                </c:pt>
                <c:pt idx="71">
                  <c:v>0.62427880800000002</c:v>
                </c:pt>
                <c:pt idx="72">
                  <c:v>0.93434271999999996</c:v>
                </c:pt>
                <c:pt idx="73">
                  <c:v>0.90266856799999995</c:v>
                </c:pt>
                <c:pt idx="74">
                  <c:v>0.81794674000000001</c:v>
                </c:pt>
                <c:pt idx="75">
                  <c:v>0.742938612</c:v>
                </c:pt>
                <c:pt idx="76">
                  <c:v>0.69204235599999997</c:v>
                </c:pt>
                <c:pt idx="77">
                  <c:v>0.62816207999999996</c:v>
                </c:pt>
                <c:pt idx="78">
                  <c:v>0.81794674000000001</c:v>
                </c:pt>
                <c:pt idx="79">
                  <c:v>0.78517861599999905</c:v>
                </c:pt>
                <c:pt idx="80">
                  <c:v>0.80451119999999998</c:v>
                </c:pt>
                <c:pt idx="81">
                  <c:v>0.72139595199999995</c:v>
                </c:pt>
                <c:pt idx="82">
                  <c:v>0.75582086533333404</c:v>
                </c:pt>
                <c:pt idx="83">
                  <c:v>0.91088503333333404</c:v>
                </c:pt>
                <c:pt idx="84">
                  <c:v>0.88109358000000004</c:v>
                </c:pt>
                <c:pt idx="85">
                  <c:v>0.81627632400000005</c:v>
                </c:pt>
                <c:pt idx="86">
                  <c:v>0.76243800799999994</c:v>
                </c:pt>
                <c:pt idx="87">
                  <c:v>0.67033505466666699</c:v>
                </c:pt>
                <c:pt idx="88">
                  <c:v>0.81158337733333397</c:v>
                </c:pt>
                <c:pt idx="89">
                  <c:v>0.95340234000000001</c:v>
                </c:pt>
                <c:pt idx="90">
                  <c:v>0.86879868266666704</c:v>
                </c:pt>
                <c:pt idx="91">
                  <c:v>0.78447287466666704</c:v>
                </c:pt>
                <c:pt idx="92">
                  <c:v>0.67365488266666695</c:v>
                </c:pt>
                <c:pt idx="93">
                  <c:v>0.84619563600000003</c:v>
                </c:pt>
                <c:pt idx="94">
                  <c:v>0.83329736266666699</c:v>
                </c:pt>
                <c:pt idx="95">
                  <c:v>0.74757178266666702</c:v>
                </c:pt>
                <c:pt idx="96">
                  <c:v>0.68585567866666697</c:v>
                </c:pt>
                <c:pt idx="97">
                  <c:v>0.69074627200000005</c:v>
                </c:pt>
                <c:pt idx="98">
                  <c:v>0.66556153733333401</c:v>
                </c:pt>
                <c:pt idx="99">
                  <c:v>0.62673250666666702</c:v>
                </c:pt>
                <c:pt idx="100">
                  <c:v>0.61314624799999995</c:v>
                </c:pt>
                <c:pt idx="101">
                  <c:v>0.67337176666666698</c:v>
                </c:pt>
                <c:pt idx="102">
                  <c:v>0.65291963600000003</c:v>
                </c:pt>
                <c:pt idx="103">
                  <c:v>0.63352483999999998</c:v>
                </c:pt>
                <c:pt idx="104">
                  <c:v>0.61422888399999997</c:v>
                </c:pt>
                <c:pt idx="105">
                  <c:v>0.62944473066666695</c:v>
                </c:pt>
                <c:pt idx="106">
                  <c:v>0.69673094933333402</c:v>
                </c:pt>
                <c:pt idx="107">
                  <c:v>0.66144730266666696</c:v>
                </c:pt>
                <c:pt idx="108">
                  <c:v>0.60295106133333398</c:v>
                </c:pt>
                <c:pt idx="109">
                  <c:v>0.67674274266666701</c:v>
                </c:pt>
                <c:pt idx="110">
                  <c:v>0.76992602399999999</c:v>
                </c:pt>
                <c:pt idx="111">
                  <c:v>0.68208074266666696</c:v>
                </c:pt>
                <c:pt idx="112">
                  <c:v>0.65887905199999997</c:v>
                </c:pt>
                <c:pt idx="113">
                  <c:v>0.62723157866666701</c:v>
                </c:pt>
                <c:pt idx="114">
                  <c:v>0.81189412133333405</c:v>
                </c:pt>
                <c:pt idx="115">
                  <c:v>0.72860548133333403</c:v>
                </c:pt>
                <c:pt idx="116">
                  <c:v>0.66229624266666698</c:v>
                </c:pt>
                <c:pt idx="117">
                  <c:v>0.64996640800000005</c:v>
                </c:pt>
                <c:pt idx="118">
                  <c:v>1.0381982133333301</c:v>
                </c:pt>
                <c:pt idx="119">
                  <c:v>0.58501505866666703</c:v>
                </c:pt>
                <c:pt idx="120">
                  <c:v>0.63423936000000003</c:v>
                </c:pt>
                <c:pt idx="121">
                  <c:v>0.56620714800000005</c:v>
                </c:pt>
                <c:pt idx="122">
                  <c:v>0.74199311066666696</c:v>
                </c:pt>
                <c:pt idx="123">
                  <c:v>0.77998544400000003</c:v>
                </c:pt>
                <c:pt idx="124">
                  <c:v>1.93208359333333</c:v>
                </c:pt>
                <c:pt idx="125">
                  <c:v>1.64547994</c:v>
                </c:pt>
                <c:pt idx="126">
                  <c:v>1.2684738933333299</c:v>
                </c:pt>
                <c:pt idx="127">
                  <c:v>2.4295241733333302</c:v>
                </c:pt>
                <c:pt idx="128">
                  <c:v>1.26424327333333</c:v>
                </c:pt>
                <c:pt idx="129">
                  <c:v>1.60427601066666</c:v>
                </c:pt>
                <c:pt idx="130">
                  <c:v>2.3765978666666601</c:v>
                </c:pt>
                <c:pt idx="131">
                  <c:v>1.9360101999999999</c:v>
                </c:pt>
                <c:pt idx="132">
                  <c:v>1.17248918933333</c:v>
                </c:pt>
                <c:pt idx="133">
                  <c:v>1.04979578</c:v>
                </c:pt>
                <c:pt idx="134">
                  <c:v>1.3618701613333299</c:v>
                </c:pt>
                <c:pt idx="135">
                  <c:v>1.19757845333333</c:v>
                </c:pt>
                <c:pt idx="136">
                  <c:v>1.26042132666666</c:v>
                </c:pt>
                <c:pt idx="137">
                  <c:v>1.0220899240000001</c:v>
                </c:pt>
                <c:pt idx="138">
                  <c:v>0.72509531466666699</c:v>
                </c:pt>
                <c:pt idx="139">
                  <c:v>0.75147322400000005</c:v>
                </c:pt>
                <c:pt idx="140">
                  <c:v>0.79717206666666696</c:v>
                </c:pt>
                <c:pt idx="141">
                  <c:v>1.5189193546666599</c:v>
                </c:pt>
                <c:pt idx="142">
                  <c:v>0.73912359866666699</c:v>
                </c:pt>
                <c:pt idx="143">
                  <c:v>0.903743569333334</c:v>
                </c:pt>
                <c:pt idx="144">
                  <c:v>0.69605300133333403</c:v>
                </c:pt>
                <c:pt idx="145">
                  <c:v>0.64806454800000002</c:v>
                </c:pt>
                <c:pt idx="146">
                  <c:v>0.66948233599999996</c:v>
                </c:pt>
                <c:pt idx="147">
                  <c:v>0.63945933466666705</c:v>
                </c:pt>
                <c:pt idx="148">
                  <c:v>0.60962034399999998</c:v>
                </c:pt>
                <c:pt idx="149">
                  <c:v>0.58413531333333402</c:v>
                </c:pt>
                <c:pt idx="150">
                  <c:v>0.86806397466666696</c:v>
                </c:pt>
                <c:pt idx="151">
                  <c:v>0.88412704400000097</c:v>
                </c:pt>
                <c:pt idx="152">
                  <c:v>0.81815425333333403</c:v>
                </c:pt>
                <c:pt idx="153">
                  <c:v>0.69254495866666699</c:v>
                </c:pt>
                <c:pt idx="154">
                  <c:v>0.63426094933333399</c:v>
                </c:pt>
                <c:pt idx="155">
                  <c:v>0.61283889866666696</c:v>
                </c:pt>
                <c:pt idx="156">
                  <c:v>0.63369554133333394</c:v>
                </c:pt>
                <c:pt idx="157">
                  <c:v>0.75963689066666695</c:v>
                </c:pt>
                <c:pt idx="158">
                  <c:v>0.806582470666667</c:v>
                </c:pt>
                <c:pt idx="159">
                  <c:v>1.68469130666666</c:v>
                </c:pt>
                <c:pt idx="160">
                  <c:v>2.3029300400000001</c:v>
                </c:pt>
                <c:pt idx="161">
                  <c:v>1.62193118</c:v>
                </c:pt>
                <c:pt idx="162">
                  <c:v>1.9584662533333299</c:v>
                </c:pt>
                <c:pt idx="163">
                  <c:v>1.8495387186666601</c:v>
                </c:pt>
                <c:pt idx="164">
                  <c:v>1.75635108533333</c:v>
                </c:pt>
                <c:pt idx="165">
                  <c:v>1.98575952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E01-44F0-A5AE-7BB87FE2D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22767"/>
        <c:axId val="734720847"/>
      </c:scatterChart>
      <c:valAx>
        <c:axId val="73472276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DOC </a:t>
                </a:r>
                <a:r>
                  <a:rPr lang="en-US" baseline="0"/>
                  <a:t>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0847"/>
        <c:crosses val="autoZero"/>
        <c:crossBetween val="midCat"/>
      </c:valAx>
      <c:valAx>
        <c:axId val="7347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Sonde fDOM (RFU)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2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vs Sonde</a:t>
            </a:r>
            <a:r>
              <a:rPr lang="en-US" baseline="0"/>
              <a:t> fDOM - Downstream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Spring!$P$1</c:f>
              <c:strCache>
                <c:ptCount val="1"/>
                <c:pt idx="0">
                  <c:v>Downstream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9133796586627984E-2"/>
                  <c:y val="-0.1297453174138611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Spring!$J$2:$J$83</c:f>
              <c:numCache>
                <c:formatCode>General</c:formatCode>
                <c:ptCount val="82"/>
                <c:pt idx="0">
                  <c:v>3.7290000000000001</c:v>
                </c:pt>
                <c:pt idx="1">
                  <c:v>3.573</c:v>
                </c:pt>
                <c:pt idx="2">
                  <c:v>3.2410000000000001</c:v>
                </c:pt>
                <c:pt idx="3">
                  <c:v>3.202</c:v>
                </c:pt>
                <c:pt idx="4">
                  <c:v>3.234</c:v>
                </c:pt>
                <c:pt idx="5">
                  <c:v>3.2930000000000001</c:v>
                </c:pt>
                <c:pt idx="6">
                  <c:v>3.1789999999999998</c:v>
                </c:pt>
                <c:pt idx="7">
                  <c:v>3.1110000000000002</c:v>
                </c:pt>
                <c:pt idx="8">
                  <c:v>3.0259999999999998</c:v>
                </c:pt>
                <c:pt idx="9">
                  <c:v>3.0910000000000002</c:v>
                </c:pt>
                <c:pt idx="10">
                  <c:v>3.206</c:v>
                </c:pt>
                <c:pt idx="11">
                  <c:v>3.6629999999999998</c:v>
                </c:pt>
                <c:pt idx="12">
                  <c:v>3.806</c:v>
                </c:pt>
                <c:pt idx="13">
                  <c:v>3.391</c:v>
                </c:pt>
                <c:pt idx="14">
                  <c:v>3.3119999999999998</c:v>
                </c:pt>
                <c:pt idx="15">
                  <c:v>3.3530000000000002</c:v>
                </c:pt>
                <c:pt idx="16">
                  <c:v>3.5139999999999998</c:v>
                </c:pt>
                <c:pt idx="17">
                  <c:v>3.6539999999999999</c:v>
                </c:pt>
                <c:pt idx="18">
                  <c:v>3.5760000000000001</c:v>
                </c:pt>
                <c:pt idx="19">
                  <c:v>3.3889999999999998</c:v>
                </c:pt>
                <c:pt idx="20">
                  <c:v>3.226</c:v>
                </c:pt>
                <c:pt idx="21">
                  <c:v>3.552</c:v>
                </c:pt>
                <c:pt idx="22">
                  <c:v>3.323</c:v>
                </c:pt>
                <c:pt idx="23">
                  <c:v>3.3159999999999998</c:v>
                </c:pt>
                <c:pt idx="24">
                  <c:v>3.2069999999999999</c:v>
                </c:pt>
                <c:pt idx="25">
                  <c:v>3.153</c:v>
                </c:pt>
                <c:pt idx="26">
                  <c:v>3.2869999999999999</c:v>
                </c:pt>
                <c:pt idx="27">
                  <c:v>3.2440000000000002</c:v>
                </c:pt>
                <c:pt idx="28">
                  <c:v>3.3380000000000001</c:v>
                </c:pt>
                <c:pt idx="29">
                  <c:v>3.2010000000000001</c:v>
                </c:pt>
                <c:pt idx="30">
                  <c:v>3.056</c:v>
                </c:pt>
                <c:pt idx="31">
                  <c:v>3.0910000000000002</c:v>
                </c:pt>
                <c:pt idx="32">
                  <c:v>3.26</c:v>
                </c:pt>
                <c:pt idx="33">
                  <c:v>3.37</c:v>
                </c:pt>
                <c:pt idx="34">
                  <c:v>3.246</c:v>
                </c:pt>
                <c:pt idx="35">
                  <c:v>2.9489999999999998</c:v>
                </c:pt>
                <c:pt idx="36">
                  <c:v>3.0939999999999999</c:v>
                </c:pt>
                <c:pt idx="37">
                  <c:v>3.32</c:v>
                </c:pt>
                <c:pt idx="38">
                  <c:v>2.996</c:v>
                </c:pt>
                <c:pt idx="39">
                  <c:v>2.8530000000000002</c:v>
                </c:pt>
                <c:pt idx="40">
                  <c:v>3.2490000000000001</c:v>
                </c:pt>
                <c:pt idx="41">
                  <c:v>3.1539999999999999</c:v>
                </c:pt>
                <c:pt idx="42">
                  <c:v>3.069</c:v>
                </c:pt>
                <c:pt idx="43">
                  <c:v>2.8119999999999998</c:v>
                </c:pt>
                <c:pt idx="44">
                  <c:v>2.774</c:v>
                </c:pt>
                <c:pt idx="45">
                  <c:v>3.0510000000000002</c:v>
                </c:pt>
                <c:pt idx="46">
                  <c:v>3.2709999999999999</c:v>
                </c:pt>
                <c:pt idx="47">
                  <c:v>3.2989999999999999</c:v>
                </c:pt>
                <c:pt idx="48">
                  <c:v>2.8559999999999999</c:v>
                </c:pt>
                <c:pt idx="49">
                  <c:v>2.7429999999999999</c:v>
                </c:pt>
                <c:pt idx="50">
                  <c:v>2.7890000000000001</c:v>
                </c:pt>
                <c:pt idx="51">
                  <c:v>2.8090000000000002</c:v>
                </c:pt>
                <c:pt idx="52">
                  <c:v>2.6989999999999998</c:v>
                </c:pt>
                <c:pt idx="53">
                  <c:v>2.8239999999999998</c:v>
                </c:pt>
                <c:pt idx="54">
                  <c:v>2.6429999999999998</c:v>
                </c:pt>
                <c:pt idx="55">
                  <c:v>2.9510000000000001</c:v>
                </c:pt>
                <c:pt idx="56">
                  <c:v>3.1309999999999998</c:v>
                </c:pt>
                <c:pt idx="57">
                  <c:v>2.8330000000000002</c:v>
                </c:pt>
                <c:pt idx="58">
                  <c:v>2.7509999999999999</c:v>
                </c:pt>
                <c:pt idx="59">
                  <c:v>2.8889999999999998</c:v>
                </c:pt>
                <c:pt idx="60">
                  <c:v>3.7759999999999998</c:v>
                </c:pt>
                <c:pt idx="61">
                  <c:v>3.4470000000000001</c:v>
                </c:pt>
                <c:pt idx="62">
                  <c:v>3.1629999999999998</c:v>
                </c:pt>
                <c:pt idx="63">
                  <c:v>2.9590000000000001</c:v>
                </c:pt>
                <c:pt idx="64">
                  <c:v>3.1480000000000001</c:v>
                </c:pt>
                <c:pt idx="65">
                  <c:v>3.5409999999999999</c:v>
                </c:pt>
                <c:pt idx="66">
                  <c:v>3.0760000000000001</c:v>
                </c:pt>
                <c:pt idx="67">
                  <c:v>2.8559999999999999</c:v>
                </c:pt>
                <c:pt idx="68">
                  <c:v>2.9209999999999998</c:v>
                </c:pt>
                <c:pt idx="69">
                  <c:v>3.0609999999999999</c:v>
                </c:pt>
                <c:pt idx="70">
                  <c:v>2.823</c:v>
                </c:pt>
                <c:pt idx="71">
                  <c:v>2.923</c:v>
                </c:pt>
                <c:pt idx="72">
                  <c:v>3.5110000000000001</c:v>
                </c:pt>
                <c:pt idx="74">
                  <c:v>3.1459999999999999</c:v>
                </c:pt>
                <c:pt idx="76">
                  <c:v>2.8879999999999999</c:v>
                </c:pt>
                <c:pt idx="78">
                  <c:v>2.9329999999999998</c:v>
                </c:pt>
                <c:pt idx="79">
                  <c:v>3.1819999999999999</c:v>
                </c:pt>
                <c:pt idx="80">
                  <c:v>3.2719999999999998</c:v>
                </c:pt>
                <c:pt idx="81">
                  <c:v>3.0419999999999998</c:v>
                </c:pt>
              </c:numCache>
            </c:numRef>
          </c:xVal>
          <c:yVal>
            <c:numRef>
              <c:f>Spring!$P$2:$P$83</c:f>
              <c:numCache>
                <c:formatCode>0.000</c:formatCode>
                <c:ptCount val="82"/>
                <c:pt idx="10">
                  <c:v>0.60768966400000002</c:v>
                </c:pt>
                <c:pt idx="11">
                  <c:v>0.67526825599999996</c:v>
                </c:pt>
                <c:pt idx="12">
                  <c:v>0.66271287999999995</c:v>
                </c:pt>
                <c:pt idx="13">
                  <c:v>0.63474413999999901</c:v>
                </c:pt>
                <c:pt idx="14">
                  <c:v>0.62033358800000005</c:v>
                </c:pt>
                <c:pt idx="15">
                  <c:v>0.57870333600000001</c:v>
                </c:pt>
                <c:pt idx="16">
                  <c:v>0.64280018799999905</c:v>
                </c:pt>
                <c:pt idx="17">
                  <c:v>0.75155197200000001</c:v>
                </c:pt>
                <c:pt idx="18">
                  <c:v>0.68398085200000003</c:v>
                </c:pt>
                <c:pt idx="19">
                  <c:v>0.63628065999999905</c:v>
                </c:pt>
                <c:pt idx="20">
                  <c:v>0.60410145599999998</c:v>
                </c:pt>
                <c:pt idx="21">
                  <c:v>0.59383253599999997</c:v>
                </c:pt>
                <c:pt idx="22">
                  <c:v>0.61654414000000002</c:v>
                </c:pt>
                <c:pt idx="23">
                  <c:v>0.59535333199999996</c:v>
                </c:pt>
                <c:pt idx="24">
                  <c:v>0.57885261200000004</c:v>
                </c:pt>
                <c:pt idx="25">
                  <c:v>0.56270766400000005</c:v>
                </c:pt>
                <c:pt idx="26">
                  <c:v>0.55456220000000001</c:v>
                </c:pt>
                <c:pt idx="27">
                  <c:v>0.60670676400000001</c:v>
                </c:pt>
                <c:pt idx="28">
                  <c:v>0.64345100399999999</c:v>
                </c:pt>
                <c:pt idx="29">
                  <c:v>0.61361535199999995</c:v>
                </c:pt>
                <c:pt idx="30">
                  <c:v>0.59474124799999994</c:v>
                </c:pt>
                <c:pt idx="31">
                  <c:v>0.54444331199999996</c:v>
                </c:pt>
                <c:pt idx="32">
                  <c:v>0.67745766399999996</c:v>
                </c:pt>
                <c:pt idx="33">
                  <c:v>0.69879289999999905</c:v>
                </c:pt>
                <c:pt idx="34">
                  <c:v>0.63710624000000005</c:v>
                </c:pt>
                <c:pt idx="35">
                  <c:v>0.61671400399999998</c:v>
                </c:pt>
                <c:pt idx="36">
                  <c:v>0.59804602399999995</c:v>
                </c:pt>
                <c:pt idx="37">
                  <c:v>0.61784086400000005</c:v>
                </c:pt>
                <c:pt idx="38">
                  <c:v>0.60023069200000001</c:v>
                </c:pt>
                <c:pt idx="39">
                  <c:v>0.58027925199999997</c:v>
                </c:pt>
                <c:pt idx="40">
                  <c:v>0.55574581999999995</c:v>
                </c:pt>
                <c:pt idx="41">
                  <c:v>0.59034808000000005</c:v>
                </c:pt>
                <c:pt idx="42">
                  <c:v>0.57754375599999996</c:v>
                </c:pt>
                <c:pt idx="43">
                  <c:v>0.56059426400000001</c:v>
                </c:pt>
                <c:pt idx="44">
                  <c:v>0.542822888</c:v>
                </c:pt>
                <c:pt idx="45">
                  <c:v>0.57702389599999904</c:v>
                </c:pt>
                <c:pt idx="46">
                  <c:v>0.69683061199999896</c:v>
                </c:pt>
                <c:pt idx="47">
                  <c:v>0.649056788</c:v>
                </c:pt>
                <c:pt idx="48">
                  <c:v>0.61863771199999995</c:v>
                </c:pt>
                <c:pt idx="49">
                  <c:v>0.55664535599999998</c:v>
                </c:pt>
                <c:pt idx="50">
                  <c:v>0.59644744000000005</c:v>
                </c:pt>
                <c:pt idx="51">
                  <c:v>0.61181387599999904</c:v>
                </c:pt>
                <c:pt idx="52">
                  <c:v>0.59254014799999999</c:v>
                </c:pt>
                <c:pt idx="53">
                  <c:v>0.57737382399999904</c:v>
                </c:pt>
                <c:pt idx="54">
                  <c:v>0.53414629599999996</c:v>
                </c:pt>
                <c:pt idx="55">
                  <c:v>0.66348383200000005</c:v>
                </c:pt>
                <c:pt idx="56">
                  <c:v>0.83292446799999997</c:v>
                </c:pt>
                <c:pt idx="57">
                  <c:v>0.71647227599999996</c:v>
                </c:pt>
                <c:pt idx="58">
                  <c:v>0.64374088399999996</c:v>
                </c:pt>
                <c:pt idx="59">
                  <c:v>0.60178064399999998</c:v>
                </c:pt>
                <c:pt idx="60">
                  <c:v>0.91321567999999997</c:v>
                </c:pt>
                <c:pt idx="61">
                  <c:v>0.98583381199999998</c:v>
                </c:pt>
                <c:pt idx="62">
                  <c:v>0.82808364799999901</c:v>
                </c:pt>
                <c:pt idx="63">
                  <c:v>0.70318841200000004</c:v>
                </c:pt>
                <c:pt idx="64">
                  <c:v>0.67487072000000004</c:v>
                </c:pt>
                <c:pt idx="65">
                  <c:v>0.97117030400000004</c:v>
                </c:pt>
                <c:pt idx="66">
                  <c:v>0.82063311999999999</c:v>
                </c:pt>
                <c:pt idx="67">
                  <c:v>0.66461490000000001</c:v>
                </c:pt>
                <c:pt idx="68">
                  <c:v>0.72370817200000004</c:v>
                </c:pt>
                <c:pt idx="69">
                  <c:v>0.771403536</c:v>
                </c:pt>
                <c:pt idx="70">
                  <c:v>0.65167801599999997</c:v>
                </c:pt>
                <c:pt idx="71">
                  <c:v>0.62427880800000002</c:v>
                </c:pt>
                <c:pt idx="72">
                  <c:v>0.93434271999999996</c:v>
                </c:pt>
                <c:pt idx="73">
                  <c:v>0.90266856799999995</c:v>
                </c:pt>
                <c:pt idx="74">
                  <c:v>0.81794674000000001</c:v>
                </c:pt>
                <c:pt idx="75">
                  <c:v>0.742938612</c:v>
                </c:pt>
                <c:pt idx="76">
                  <c:v>0.69204235599999997</c:v>
                </c:pt>
                <c:pt idx="77">
                  <c:v>0.62816207999999996</c:v>
                </c:pt>
                <c:pt idx="78">
                  <c:v>0.81794674000000001</c:v>
                </c:pt>
                <c:pt idx="79">
                  <c:v>0.78517861599999905</c:v>
                </c:pt>
                <c:pt idx="80">
                  <c:v>0.80451119999999998</c:v>
                </c:pt>
                <c:pt idx="81">
                  <c:v>0.72139595199999995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91-41E3-B127-8A5C1C106422}"/>
            </c:ext>
          </c:extLst>
        </c:ser>
        <c:ser>
          <c:idx val="1"/>
          <c:order val="1"/>
          <c:tx>
            <c:strRef>
              <c:f>Spring!$R$1</c:f>
              <c:strCache>
                <c:ptCount val="1"/>
                <c:pt idx="0">
                  <c:v>Upstream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4315372150144207E-2"/>
                  <c:y val="-0.3220051341215760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Spring!$J$2:$J$83</c:f>
              <c:numCache>
                <c:formatCode>General</c:formatCode>
                <c:ptCount val="82"/>
                <c:pt idx="0">
                  <c:v>3.7290000000000001</c:v>
                </c:pt>
                <c:pt idx="1">
                  <c:v>3.573</c:v>
                </c:pt>
                <c:pt idx="2">
                  <c:v>3.2410000000000001</c:v>
                </c:pt>
                <c:pt idx="3">
                  <c:v>3.202</c:v>
                </c:pt>
                <c:pt idx="4">
                  <c:v>3.234</c:v>
                </c:pt>
                <c:pt idx="5">
                  <c:v>3.2930000000000001</c:v>
                </c:pt>
                <c:pt idx="6">
                  <c:v>3.1789999999999998</c:v>
                </c:pt>
                <c:pt idx="7">
                  <c:v>3.1110000000000002</c:v>
                </c:pt>
                <c:pt idx="8">
                  <c:v>3.0259999999999998</c:v>
                </c:pt>
                <c:pt idx="9">
                  <c:v>3.0910000000000002</c:v>
                </c:pt>
                <c:pt idx="10">
                  <c:v>3.206</c:v>
                </c:pt>
                <c:pt idx="11">
                  <c:v>3.6629999999999998</c:v>
                </c:pt>
                <c:pt idx="12">
                  <c:v>3.806</c:v>
                </c:pt>
                <c:pt idx="13">
                  <c:v>3.391</c:v>
                </c:pt>
                <c:pt idx="14">
                  <c:v>3.3119999999999998</c:v>
                </c:pt>
                <c:pt idx="15">
                  <c:v>3.3530000000000002</c:v>
                </c:pt>
                <c:pt idx="16">
                  <c:v>3.5139999999999998</c:v>
                </c:pt>
                <c:pt idx="17">
                  <c:v>3.6539999999999999</c:v>
                </c:pt>
                <c:pt idx="18">
                  <c:v>3.5760000000000001</c:v>
                </c:pt>
                <c:pt idx="19">
                  <c:v>3.3889999999999998</c:v>
                </c:pt>
                <c:pt idx="20">
                  <c:v>3.226</c:v>
                </c:pt>
                <c:pt idx="21">
                  <c:v>3.552</c:v>
                </c:pt>
                <c:pt idx="22">
                  <c:v>3.323</c:v>
                </c:pt>
                <c:pt idx="23">
                  <c:v>3.3159999999999998</c:v>
                </c:pt>
                <c:pt idx="24">
                  <c:v>3.2069999999999999</c:v>
                </c:pt>
                <c:pt idx="25">
                  <c:v>3.153</c:v>
                </c:pt>
                <c:pt idx="26">
                  <c:v>3.2869999999999999</c:v>
                </c:pt>
                <c:pt idx="27">
                  <c:v>3.2440000000000002</c:v>
                </c:pt>
                <c:pt idx="28">
                  <c:v>3.3380000000000001</c:v>
                </c:pt>
                <c:pt idx="29">
                  <c:v>3.2010000000000001</c:v>
                </c:pt>
                <c:pt idx="30">
                  <c:v>3.056</c:v>
                </c:pt>
                <c:pt idx="31">
                  <c:v>3.0910000000000002</c:v>
                </c:pt>
                <c:pt idx="32">
                  <c:v>3.26</c:v>
                </c:pt>
                <c:pt idx="33">
                  <c:v>3.37</c:v>
                </c:pt>
                <c:pt idx="34">
                  <c:v>3.246</c:v>
                </c:pt>
                <c:pt idx="35">
                  <c:v>2.9489999999999998</c:v>
                </c:pt>
                <c:pt idx="36">
                  <c:v>3.0939999999999999</c:v>
                </c:pt>
                <c:pt idx="37">
                  <c:v>3.32</c:v>
                </c:pt>
                <c:pt idx="38">
                  <c:v>2.996</c:v>
                </c:pt>
                <c:pt idx="39">
                  <c:v>2.8530000000000002</c:v>
                </c:pt>
                <c:pt idx="40">
                  <c:v>3.2490000000000001</c:v>
                </c:pt>
                <c:pt idx="41">
                  <c:v>3.1539999999999999</c:v>
                </c:pt>
                <c:pt idx="42">
                  <c:v>3.069</c:v>
                </c:pt>
                <c:pt idx="43">
                  <c:v>2.8119999999999998</c:v>
                </c:pt>
                <c:pt idx="44">
                  <c:v>2.774</c:v>
                </c:pt>
                <c:pt idx="45">
                  <c:v>3.0510000000000002</c:v>
                </c:pt>
                <c:pt idx="46">
                  <c:v>3.2709999999999999</c:v>
                </c:pt>
                <c:pt idx="47">
                  <c:v>3.2989999999999999</c:v>
                </c:pt>
                <c:pt idx="48">
                  <c:v>2.8559999999999999</c:v>
                </c:pt>
                <c:pt idx="49">
                  <c:v>2.7429999999999999</c:v>
                </c:pt>
                <c:pt idx="50">
                  <c:v>2.7890000000000001</c:v>
                </c:pt>
                <c:pt idx="51">
                  <c:v>2.8090000000000002</c:v>
                </c:pt>
                <c:pt idx="52">
                  <c:v>2.6989999999999998</c:v>
                </c:pt>
                <c:pt idx="53">
                  <c:v>2.8239999999999998</c:v>
                </c:pt>
                <c:pt idx="54">
                  <c:v>2.6429999999999998</c:v>
                </c:pt>
                <c:pt idx="55">
                  <c:v>2.9510000000000001</c:v>
                </c:pt>
                <c:pt idx="56">
                  <c:v>3.1309999999999998</c:v>
                </c:pt>
                <c:pt idx="57">
                  <c:v>2.8330000000000002</c:v>
                </c:pt>
                <c:pt idx="58">
                  <c:v>2.7509999999999999</c:v>
                </c:pt>
                <c:pt idx="59">
                  <c:v>2.8889999999999998</c:v>
                </c:pt>
                <c:pt idx="60">
                  <c:v>3.7759999999999998</c:v>
                </c:pt>
                <c:pt idx="61">
                  <c:v>3.4470000000000001</c:v>
                </c:pt>
                <c:pt idx="62">
                  <c:v>3.1629999999999998</c:v>
                </c:pt>
                <c:pt idx="63">
                  <c:v>2.9590000000000001</c:v>
                </c:pt>
                <c:pt idx="64">
                  <c:v>3.1480000000000001</c:v>
                </c:pt>
                <c:pt idx="65">
                  <c:v>3.5409999999999999</c:v>
                </c:pt>
                <c:pt idx="66">
                  <c:v>3.0760000000000001</c:v>
                </c:pt>
                <c:pt idx="67">
                  <c:v>2.8559999999999999</c:v>
                </c:pt>
                <c:pt idx="68">
                  <c:v>2.9209999999999998</c:v>
                </c:pt>
                <c:pt idx="69">
                  <c:v>3.0609999999999999</c:v>
                </c:pt>
                <c:pt idx="70">
                  <c:v>2.823</c:v>
                </c:pt>
                <c:pt idx="71">
                  <c:v>2.923</c:v>
                </c:pt>
                <c:pt idx="72">
                  <c:v>3.5110000000000001</c:v>
                </c:pt>
                <c:pt idx="74">
                  <c:v>3.1459999999999999</c:v>
                </c:pt>
                <c:pt idx="76">
                  <c:v>2.8879999999999999</c:v>
                </c:pt>
                <c:pt idx="78">
                  <c:v>2.9329999999999998</c:v>
                </c:pt>
                <c:pt idx="79">
                  <c:v>3.1819999999999999</c:v>
                </c:pt>
                <c:pt idx="80">
                  <c:v>3.2719999999999998</c:v>
                </c:pt>
                <c:pt idx="81">
                  <c:v>3.0419999999999998</c:v>
                </c:pt>
              </c:numCache>
            </c:numRef>
          </c:xVal>
          <c:yVal>
            <c:numRef>
              <c:f>Spring!$R$2:$R$83</c:f>
              <c:numCache>
                <c:formatCode>0.000</c:formatCode>
                <c:ptCount val="82"/>
                <c:pt idx="10">
                  <c:v>0.75582086533333404</c:v>
                </c:pt>
                <c:pt idx="11">
                  <c:v>0.91088503333333404</c:v>
                </c:pt>
                <c:pt idx="12">
                  <c:v>0.88109358000000004</c:v>
                </c:pt>
                <c:pt idx="13">
                  <c:v>0.81627632400000005</c:v>
                </c:pt>
                <c:pt idx="14">
                  <c:v>0.76243800799999994</c:v>
                </c:pt>
                <c:pt idx="15">
                  <c:v>0.67033505466666699</c:v>
                </c:pt>
                <c:pt idx="16">
                  <c:v>0.81158337733333397</c:v>
                </c:pt>
                <c:pt idx="17">
                  <c:v>0.95340234000000001</c:v>
                </c:pt>
                <c:pt idx="18">
                  <c:v>0.86879868266666704</c:v>
                </c:pt>
                <c:pt idx="19">
                  <c:v>0.78447287466666704</c:v>
                </c:pt>
                <c:pt idx="20">
                  <c:v>0.67365488266666695</c:v>
                </c:pt>
                <c:pt idx="21">
                  <c:v>0.66390772799999997</c:v>
                </c:pt>
                <c:pt idx="22">
                  <c:v>0.69074627200000005</c:v>
                </c:pt>
                <c:pt idx="23">
                  <c:v>0.66556153733333401</c:v>
                </c:pt>
                <c:pt idx="24">
                  <c:v>0.64485797333333394</c:v>
                </c:pt>
                <c:pt idx="25">
                  <c:v>0.62673250666666702</c:v>
                </c:pt>
                <c:pt idx="26">
                  <c:v>0.61314624799999995</c:v>
                </c:pt>
                <c:pt idx="27">
                  <c:v>0.67674274266666701</c:v>
                </c:pt>
                <c:pt idx="28">
                  <c:v>0.76992602399999999</c:v>
                </c:pt>
                <c:pt idx="29">
                  <c:v>0.68208074266666696</c:v>
                </c:pt>
                <c:pt idx="30">
                  <c:v>0.65887905199999997</c:v>
                </c:pt>
                <c:pt idx="31">
                  <c:v>0.62723157866666701</c:v>
                </c:pt>
                <c:pt idx="32">
                  <c:v>0.81189412133333405</c:v>
                </c:pt>
                <c:pt idx="33">
                  <c:v>0.72860548133333403</c:v>
                </c:pt>
                <c:pt idx="34">
                  <c:v>0.66229624266666698</c:v>
                </c:pt>
                <c:pt idx="35">
                  <c:v>1.52773171733333</c:v>
                </c:pt>
                <c:pt idx="36">
                  <c:v>0.64996640800000005</c:v>
                </c:pt>
                <c:pt idx="37">
                  <c:v>1.0381982133333301</c:v>
                </c:pt>
                <c:pt idx="38">
                  <c:v>1.12973511866666</c:v>
                </c:pt>
                <c:pt idx="39">
                  <c:v>1.32009961333333</c:v>
                </c:pt>
                <c:pt idx="40">
                  <c:v>0.58136217866666695</c:v>
                </c:pt>
                <c:pt idx="41">
                  <c:v>0.63423936000000003</c:v>
                </c:pt>
                <c:pt idx="42">
                  <c:v>0.56620714800000005</c:v>
                </c:pt>
                <c:pt idx="43">
                  <c:v>0.74199311066666696</c:v>
                </c:pt>
                <c:pt idx="44">
                  <c:v>0.77998544400000003</c:v>
                </c:pt>
                <c:pt idx="45">
                  <c:v>1.93208359333333</c:v>
                </c:pt>
                <c:pt idx="46">
                  <c:v>1.64547994</c:v>
                </c:pt>
                <c:pt idx="47">
                  <c:v>1.2684738933333299</c:v>
                </c:pt>
                <c:pt idx="48">
                  <c:v>2.4295241733333302</c:v>
                </c:pt>
                <c:pt idx="49">
                  <c:v>1.26424327333333</c:v>
                </c:pt>
                <c:pt idx="50">
                  <c:v>1.60427601066666</c:v>
                </c:pt>
                <c:pt idx="51">
                  <c:v>2.3765978666666601</c:v>
                </c:pt>
                <c:pt idx="52">
                  <c:v>1.9360101999999999</c:v>
                </c:pt>
                <c:pt idx="53">
                  <c:v>0.94225200533333398</c:v>
                </c:pt>
                <c:pt idx="54">
                  <c:v>1.17248918933333</c:v>
                </c:pt>
                <c:pt idx="55">
                  <c:v>1.04979578</c:v>
                </c:pt>
                <c:pt idx="56">
                  <c:v>1.3618701613333299</c:v>
                </c:pt>
                <c:pt idx="57">
                  <c:v>1.19757845333333</c:v>
                </c:pt>
                <c:pt idx="58">
                  <c:v>1.26042132666666</c:v>
                </c:pt>
                <c:pt idx="59">
                  <c:v>1.0220899240000001</c:v>
                </c:pt>
                <c:pt idx="60">
                  <c:v>0.72509531466666699</c:v>
                </c:pt>
                <c:pt idx="61">
                  <c:v>0.75147322400000005</c:v>
                </c:pt>
                <c:pt idx="62">
                  <c:v>0.79717206666666696</c:v>
                </c:pt>
                <c:pt idx="63">
                  <c:v>1.5189193546666599</c:v>
                </c:pt>
                <c:pt idx="64">
                  <c:v>0.73912359866666699</c:v>
                </c:pt>
                <c:pt idx="65">
                  <c:v>0.903743569333334</c:v>
                </c:pt>
                <c:pt idx="66">
                  <c:v>0.69605300133333403</c:v>
                </c:pt>
                <c:pt idx="67">
                  <c:v>0.64806454800000002</c:v>
                </c:pt>
                <c:pt idx="68">
                  <c:v>0.66948233599999996</c:v>
                </c:pt>
                <c:pt idx="69">
                  <c:v>0.63945933466666705</c:v>
                </c:pt>
                <c:pt idx="70">
                  <c:v>0.60962034399999998</c:v>
                </c:pt>
                <c:pt idx="71">
                  <c:v>0.58413531333333402</c:v>
                </c:pt>
                <c:pt idx="72">
                  <c:v>0.86806397466666696</c:v>
                </c:pt>
                <c:pt idx="73">
                  <c:v>0.88412704400000097</c:v>
                </c:pt>
                <c:pt idx="74">
                  <c:v>0.81815425333333403</c:v>
                </c:pt>
                <c:pt idx="75">
                  <c:v>0.69254495866666699</c:v>
                </c:pt>
                <c:pt idx="76">
                  <c:v>0.63426094933333399</c:v>
                </c:pt>
                <c:pt idx="77">
                  <c:v>0.61283889866666696</c:v>
                </c:pt>
                <c:pt idx="78">
                  <c:v>0.81815425333333403</c:v>
                </c:pt>
                <c:pt idx="79">
                  <c:v>0.75963689066666695</c:v>
                </c:pt>
                <c:pt idx="80">
                  <c:v>1.68469130666666</c:v>
                </c:pt>
                <c:pt idx="81">
                  <c:v>2.3029300400000001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91-41E3-B127-8A5C1C106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22767"/>
        <c:axId val="734720847"/>
      </c:scatterChart>
      <c:valAx>
        <c:axId val="73472276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DOC </a:t>
                </a:r>
                <a:r>
                  <a:rPr lang="en-US" baseline="0"/>
                  <a:t>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0847"/>
        <c:crosses val="autoZero"/>
        <c:crossBetween val="midCat"/>
      </c:valAx>
      <c:valAx>
        <c:axId val="7347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Sonde fDOM (RFU)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2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vs Sonde</a:t>
            </a:r>
            <a:r>
              <a:rPr lang="en-US" baseline="0"/>
              <a:t> fDOM - Upstream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Spring!$P$1</c:f>
              <c:strCache>
                <c:ptCount val="1"/>
                <c:pt idx="0">
                  <c:v>Downstream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9133796586627984E-2"/>
                  <c:y val="-0.1297453174138611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Spring!$J$84:$J$167</c:f>
              <c:numCache>
                <c:formatCode>General</c:formatCode>
                <c:ptCount val="84"/>
                <c:pt idx="0">
                  <c:v>3.8290000000000002</c:v>
                </c:pt>
                <c:pt idx="1">
                  <c:v>3.4729999999999999</c:v>
                </c:pt>
                <c:pt idx="2">
                  <c:v>3.4209999999999998</c:v>
                </c:pt>
                <c:pt idx="3">
                  <c:v>3.3460000000000001</c:v>
                </c:pt>
                <c:pt idx="4">
                  <c:v>3.2709999999999999</c:v>
                </c:pt>
                <c:pt idx="5">
                  <c:v>3.4089999999999998</c:v>
                </c:pt>
                <c:pt idx="6">
                  <c:v>4.6630000000000003</c:v>
                </c:pt>
                <c:pt idx="7">
                  <c:v>3.581</c:v>
                </c:pt>
                <c:pt idx="8">
                  <c:v>3.5859999999999999</c:v>
                </c:pt>
                <c:pt idx="9">
                  <c:v>3.4009999999999998</c:v>
                </c:pt>
                <c:pt idx="10">
                  <c:v>3.1459999999999999</c:v>
                </c:pt>
                <c:pt idx="11">
                  <c:v>3.9940000000000002</c:v>
                </c:pt>
                <c:pt idx="12">
                  <c:v>3.5329999999999999</c:v>
                </c:pt>
                <c:pt idx="13">
                  <c:v>3.4340000000000002</c:v>
                </c:pt>
                <c:pt idx="14">
                  <c:v>3.4279999999999999</c:v>
                </c:pt>
                <c:pt idx="15">
                  <c:v>3.4809999999999999</c:v>
                </c:pt>
                <c:pt idx="16">
                  <c:v>3.2829999999999999</c:v>
                </c:pt>
                <c:pt idx="17">
                  <c:v>3.0840000000000001</c:v>
                </c:pt>
                <c:pt idx="18">
                  <c:v>3.2890000000000001</c:v>
                </c:pt>
                <c:pt idx="19">
                  <c:v>3.8639999999999999</c:v>
                </c:pt>
                <c:pt idx="20">
                  <c:v>3.3439999999999999</c:v>
                </c:pt>
                <c:pt idx="21">
                  <c:v>3.1840000000000002</c:v>
                </c:pt>
                <c:pt idx="22">
                  <c:v>3.246</c:v>
                </c:pt>
                <c:pt idx="23">
                  <c:v>3.8860000000000001</c:v>
                </c:pt>
                <c:pt idx="24">
                  <c:v>3.4710000000000001</c:v>
                </c:pt>
                <c:pt idx="25">
                  <c:v>3.3780000000000001</c:v>
                </c:pt>
                <c:pt idx="26">
                  <c:v>3.1680000000000001</c:v>
                </c:pt>
                <c:pt idx="27">
                  <c:v>3.7970000000000002</c:v>
                </c:pt>
                <c:pt idx="28">
                  <c:v>3.1840000000000002</c:v>
                </c:pt>
                <c:pt idx="29">
                  <c:v>3.399</c:v>
                </c:pt>
                <c:pt idx="30">
                  <c:v>3.23</c:v>
                </c:pt>
                <c:pt idx="31">
                  <c:v>3.6640000000000001</c:v>
                </c:pt>
                <c:pt idx="32">
                  <c:v>4.5410000000000004</c:v>
                </c:pt>
                <c:pt idx="33">
                  <c:v>3.4580000000000002</c:v>
                </c:pt>
                <c:pt idx="34">
                  <c:v>3.2360000000000002</c:v>
                </c:pt>
                <c:pt idx="35">
                  <c:v>3.2829999999999999</c:v>
                </c:pt>
                <c:pt idx="36">
                  <c:v>3.1280000000000001</c:v>
                </c:pt>
                <c:pt idx="37">
                  <c:v>3.044</c:v>
                </c:pt>
                <c:pt idx="38">
                  <c:v>3.0270000000000001</c:v>
                </c:pt>
                <c:pt idx="39">
                  <c:v>2.9550000000000001</c:v>
                </c:pt>
                <c:pt idx="40">
                  <c:v>2.5230000000000001</c:v>
                </c:pt>
                <c:pt idx="41">
                  <c:v>2.681</c:v>
                </c:pt>
                <c:pt idx="42">
                  <c:v>3.456</c:v>
                </c:pt>
                <c:pt idx="43">
                  <c:v>3.1459999999999999</c:v>
                </c:pt>
                <c:pt idx="44">
                  <c:v>3.0259999999999998</c:v>
                </c:pt>
                <c:pt idx="45">
                  <c:v>2.7909999999999999</c:v>
                </c:pt>
                <c:pt idx="46">
                  <c:v>2.6970000000000001</c:v>
                </c:pt>
                <c:pt idx="47">
                  <c:v>3.1160000000000001</c:v>
                </c:pt>
                <c:pt idx="48">
                  <c:v>2.9769999999999999</c:v>
                </c:pt>
                <c:pt idx="49">
                  <c:v>2.8260000000000001</c:v>
                </c:pt>
                <c:pt idx="50">
                  <c:v>2.944</c:v>
                </c:pt>
                <c:pt idx="51">
                  <c:v>4.681</c:v>
                </c:pt>
                <c:pt idx="52">
                  <c:v>3.395</c:v>
                </c:pt>
                <c:pt idx="53">
                  <c:v>3.1139999999999999</c:v>
                </c:pt>
                <c:pt idx="54">
                  <c:v>2.9430000000000001</c:v>
                </c:pt>
                <c:pt idx="55">
                  <c:v>4.1040000000000001</c:v>
                </c:pt>
                <c:pt idx="56">
                  <c:v>4.9790000000000001</c:v>
                </c:pt>
                <c:pt idx="57">
                  <c:v>3.871</c:v>
                </c:pt>
                <c:pt idx="58">
                  <c:v>3.4740000000000002</c:v>
                </c:pt>
                <c:pt idx="59">
                  <c:v>3.2690000000000001</c:v>
                </c:pt>
                <c:pt idx="60">
                  <c:v>4.6879999999999997</c:v>
                </c:pt>
                <c:pt idx="61">
                  <c:v>3.9550000000000001</c:v>
                </c:pt>
                <c:pt idx="62">
                  <c:v>3.2229999999999999</c:v>
                </c:pt>
                <c:pt idx="63">
                  <c:v>3.044</c:v>
                </c:pt>
                <c:pt idx="64">
                  <c:v>3.4780000000000002</c:v>
                </c:pt>
                <c:pt idx="65">
                  <c:v>3.1890000000000001</c:v>
                </c:pt>
                <c:pt idx="66">
                  <c:v>2.7290000000000001</c:v>
                </c:pt>
                <c:pt idx="67">
                  <c:v>3.419</c:v>
                </c:pt>
                <c:pt idx="68">
                  <c:v>4.0039999999999996</c:v>
                </c:pt>
                <c:pt idx="71">
                  <c:v>2.944</c:v>
                </c:pt>
                <c:pt idx="74">
                  <c:v>3.504</c:v>
                </c:pt>
                <c:pt idx="76">
                  <c:v>3.5750000000000002</c:v>
                </c:pt>
                <c:pt idx="77">
                  <c:v>3.2189999999999999</c:v>
                </c:pt>
                <c:pt idx="79">
                  <c:v>2.7109999999999999</c:v>
                </c:pt>
                <c:pt idx="81">
                  <c:v>2.7170000000000001</c:v>
                </c:pt>
                <c:pt idx="83">
                  <c:v>3.8330000000000002</c:v>
                </c:pt>
              </c:numCache>
            </c:numRef>
          </c:xVal>
          <c:yVal>
            <c:numRef>
              <c:f>Spring!$P$84:$P$167</c:f>
              <c:numCache>
                <c:formatCode>0.000</c:formatCode>
                <c:ptCount val="84"/>
                <c:pt idx="0">
                  <c:v>0.60768966400000002</c:v>
                </c:pt>
                <c:pt idx="1">
                  <c:v>0.67526825599999996</c:v>
                </c:pt>
                <c:pt idx="2">
                  <c:v>0.66271287999999995</c:v>
                </c:pt>
                <c:pt idx="3">
                  <c:v>0.63474413999999901</c:v>
                </c:pt>
                <c:pt idx="4">
                  <c:v>0.62033358800000005</c:v>
                </c:pt>
                <c:pt idx="5">
                  <c:v>0.57870333600000001</c:v>
                </c:pt>
                <c:pt idx="6">
                  <c:v>0.64280018799999905</c:v>
                </c:pt>
                <c:pt idx="7">
                  <c:v>0.75155197200000001</c:v>
                </c:pt>
                <c:pt idx="8">
                  <c:v>0.68398085200000003</c:v>
                </c:pt>
                <c:pt idx="9">
                  <c:v>0.63628065999999905</c:v>
                </c:pt>
                <c:pt idx="10">
                  <c:v>0.60410145599999998</c:v>
                </c:pt>
                <c:pt idx="11">
                  <c:v>0.67150981999999904</c:v>
                </c:pt>
                <c:pt idx="12">
                  <c:v>0.66694145599999999</c:v>
                </c:pt>
                <c:pt idx="13">
                  <c:v>0.62983861199999902</c:v>
                </c:pt>
                <c:pt idx="14">
                  <c:v>0.61001804000000004</c:v>
                </c:pt>
                <c:pt idx="15">
                  <c:v>0.61654414000000002</c:v>
                </c:pt>
                <c:pt idx="16">
                  <c:v>0.59535333199999996</c:v>
                </c:pt>
                <c:pt idx="17">
                  <c:v>0.56270766400000005</c:v>
                </c:pt>
                <c:pt idx="18">
                  <c:v>0.55456220000000001</c:v>
                </c:pt>
                <c:pt idx="19">
                  <c:v>0.60365951999999901</c:v>
                </c:pt>
                <c:pt idx="20">
                  <c:v>0.58347059199999995</c:v>
                </c:pt>
                <c:pt idx="21">
                  <c:v>0.56803161199999996</c:v>
                </c:pt>
                <c:pt idx="22">
                  <c:v>0.55254749999999997</c:v>
                </c:pt>
                <c:pt idx="23">
                  <c:v>0.56547555199999999</c:v>
                </c:pt>
                <c:pt idx="24">
                  <c:v>0.62016368799999999</c:v>
                </c:pt>
                <c:pt idx="25">
                  <c:v>0.59493480399999998</c:v>
                </c:pt>
                <c:pt idx="26">
                  <c:v>0.51793339999999999</c:v>
                </c:pt>
                <c:pt idx="27">
                  <c:v>0.60670676400000001</c:v>
                </c:pt>
                <c:pt idx="28">
                  <c:v>0.64345100399999999</c:v>
                </c:pt>
                <c:pt idx="29">
                  <c:v>0.61361535199999995</c:v>
                </c:pt>
                <c:pt idx="30">
                  <c:v>0.59474124799999994</c:v>
                </c:pt>
                <c:pt idx="31">
                  <c:v>0.54444331199999996</c:v>
                </c:pt>
                <c:pt idx="32">
                  <c:v>0.67745766399999996</c:v>
                </c:pt>
                <c:pt idx="33">
                  <c:v>0.69879289999999905</c:v>
                </c:pt>
                <c:pt idx="34">
                  <c:v>0.63710624000000005</c:v>
                </c:pt>
                <c:pt idx="35">
                  <c:v>0.59804602399999995</c:v>
                </c:pt>
                <c:pt idx="36">
                  <c:v>0.61784086400000005</c:v>
                </c:pt>
                <c:pt idx="37">
                  <c:v>0.55575588399999998</c:v>
                </c:pt>
                <c:pt idx="38">
                  <c:v>0.59034808000000005</c:v>
                </c:pt>
                <c:pt idx="39">
                  <c:v>0.57754375599999996</c:v>
                </c:pt>
                <c:pt idx="40">
                  <c:v>0.56059426400000001</c:v>
                </c:pt>
                <c:pt idx="41">
                  <c:v>0.542822888</c:v>
                </c:pt>
                <c:pt idx="42">
                  <c:v>0.57702389599999904</c:v>
                </c:pt>
                <c:pt idx="43">
                  <c:v>0.69683061199999896</c:v>
                </c:pt>
                <c:pt idx="44">
                  <c:v>0.649056788</c:v>
                </c:pt>
                <c:pt idx="45">
                  <c:v>0.61863771199999995</c:v>
                </c:pt>
                <c:pt idx="46">
                  <c:v>0.55664535599999998</c:v>
                </c:pt>
                <c:pt idx="47">
                  <c:v>0.59644744000000005</c:v>
                </c:pt>
                <c:pt idx="48">
                  <c:v>0.61181387599999904</c:v>
                </c:pt>
                <c:pt idx="49">
                  <c:v>0.59254014799999999</c:v>
                </c:pt>
                <c:pt idx="50">
                  <c:v>0.53414629599999996</c:v>
                </c:pt>
                <c:pt idx="51">
                  <c:v>0.66348383200000005</c:v>
                </c:pt>
                <c:pt idx="52">
                  <c:v>0.83292446799999997</c:v>
                </c:pt>
                <c:pt idx="53">
                  <c:v>0.71647227599999996</c:v>
                </c:pt>
                <c:pt idx="54">
                  <c:v>0.64374088399999996</c:v>
                </c:pt>
                <c:pt idx="55">
                  <c:v>0.60178064399999998</c:v>
                </c:pt>
                <c:pt idx="56">
                  <c:v>0.91321567999999997</c:v>
                </c:pt>
                <c:pt idx="57">
                  <c:v>0.98583381199999998</c:v>
                </c:pt>
                <c:pt idx="58">
                  <c:v>0.82808364799999901</c:v>
                </c:pt>
                <c:pt idx="59">
                  <c:v>0.70318841200000004</c:v>
                </c:pt>
                <c:pt idx="60">
                  <c:v>0.67487072000000004</c:v>
                </c:pt>
                <c:pt idx="61">
                  <c:v>0.97117030400000004</c:v>
                </c:pt>
                <c:pt idx="62">
                  <c:v>0.82063311999999999</c:v>
                </c:pt>
                <c:pt idx="63">
                  <c:v>0.66461490000000001</c:v>
                </c:pt>
                <c:pt idx="64">
                  <c:v>0.72370817200000004</c:v>
                </c:pt>
                <c:pt idx="65">
                  <c:v>0.771403536</c:v>
                </c:pt>
                <c:pt idx="66">
                  <c:v>0.65167801599999997</c:v>
                </c:pt>
                <c:pt idx="67">
                  <c:v>0.62427880800000002</c:v>
                </c:pt>
                <c:pt idx="68">
                  <c:v>0.93434271999999996</c:v>
                </c:pt>
                <c:pt idx="69">
                  <c:v>0.90266856799999995</c:v>
                </c:pt>
                <c:pt idx="70">
                  <c:v>0.81794674000000001</c:v>
                </c:pt>
                <c:pt idx="71">
                  <c:v>0.742938612</c:v>
                </c:pt>
                <c:pt idx="72">
                  <c:v>0.69204235599999997</c:v>
                </c:pt>
                <c:pt idx="73">
                  <c:v>0.62816207999999996</c:v>
                </c:pt>
                <c:pt idx="74">
                  <c:v>0.63526555200000001</c:v>
                </c:pt>
                <c:pt idx="75">
                  <c:v>0.78517861599999905</c:v>
                </c:pt>
                <c:pt idx="76">
                  <c:v>0.87536313200000004</c:v>
                </c:pt>
                <c:pt idx="77">
                  <c:v>0.80451119999999998</c:v>
                </c:pt>
                <c:pt idx="78">
                  <c:v>0.72139595199999995</c:v>
                </c:pt>
                <c:pt idx="79">
                  <c:v>0.65682395599999999</c:v>
                </c:pt>
                <c:pt idx="80">
                  <c:v>0.63590339600000001</c:v>
                </c:pt>
                <c:pt idx="81">
                  <c:v>0.58479850799999999</c:v>
                </c:pt>
                <c:pt idx="82">
                  <c:v>0.57238550399999999</c:v>
                </c:pt>
                <c:pt idx="83">
                  <c:v>0.66916045199999996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EE-4734-95BE-5ACB8A16C997}"/>
            </c:ext>
          </c:extLst>
        </c:ser>
        <c:ser>
          <c:idx val="1"/>
          <c:order val="1"/>
          <c:tx>
            <c:strRef>
              <c:f>Spring!$R$1</c:f>
              <c:strCache>
                <c:ptCount val="1"/>
                <c:pt idx="0">
                  <c:v>Upstream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4315372150144207E-2"/>
                  <c:y val="-0.3220051341215760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Spring!$J$84:$J$167</c:f>
              <c:numCache>
                <c:formatCode>General</c:formatCode>
                <c:ptCount val="84"/>
                <c:pt idx="0">
                  <c:v>3.8290000000000002</c:v>
                </c:pt>
                <c:pt idx="1">
                  <c:v>3.4729999999999999</c:v>
                </c:pt>
                <c:pt idx="2">
                  <c:v>3.4209999999999998</c:v>
                </c:pt>
                <c:pt idx="3">
                  <c:v>3.3460000000000001</c:v>
                </c:pt>
                <c:pt idx="4">
                  <c:v>3.2709999999999999</c:v>
                </c:pt>
                <c:pt idx="5">
                  <c:v>3.4089999999999998</c:v>
                </c:pt>
                <c:pt idx="6">
                  <c:v>4.6630000000000003</c:v>
                </c:pt>
                <c:pt idx="7">
                  <c:v>3.581</c:v>
                </c:pt>
                <c:pt idx="8">
                  <c:v>3.5859999999999999</c:v>
                </c:pt>
                <c:pt idx="9">
                  <c:v>3.4009999999999998</c:v>
                </c:pt>
                <c:pt idx="10">
                  <c:v>3.1459999999999999</c:v>
                </c:pt>
                <c:pt idx="11">
                  <c:v>3.9940000000000002</c:v>
                </c:pt>
                <c:pt idx="12">
                  <c:v>3.5329999999999999</c:v>
                </c:pt>
                <c:pt idx="13">
                  <c:v>3.4340000000000002</c:v>
                </c:pt>
                <c:pt idx="14">
                  <c:v>3.4279999999999999</c:v>
                </c:pt>
                <c:pt idx="15">
                  <c:v>3.4809999999999999</c:v>
                </c:pt>
                <c:pt idx="16">
                  <c:v>3.2829999999999999</c:v>
                </c:pt>
                <c:pt idx="17">
                  <c:v>3.0840000000000001</c:v>
                </c:pt>
                <c:pt idx="18">
                  <c:v>3.2890000000000001</c:v>
                </c:pt>
                <c:pt idx="19">
                  <c:v>3.8639999999999999</c:v>
                </c:pt>
                <c:pt idx="20">
                  <c:v>3.3439999999999999</c:v>
                </c:pt>
                <c:pt idx="21">
                  <c:v>3.1840000000000002</c:v>
                </c:pt>
                <c:pt idx="22">
                  <c:v>3.246</c:v>
                </c:pt>
                <c:pt idx="23">
                  <c:v>3.8860000000000001</c:v>
                </c:pt>
                <c:pt idx="24">
                  <c:v>3.4710000000000001</c:v>
                </c:pt>
                <c:pt idx="25">
                  <c:v>3.3780000000000001</c:v>
                </c:pt>
                <c:pt idx="26">
                  <c:v>3.1680000000000001</c:v>
                </c:pt>
                <c:pt idx="27">
                  <c:v>3.7970000000000002</c:v>
                </c:pt>
                <c:pt idx="28">
                  <c:v>3.1840000000000002</c:v>
                </c:pt>
                <c:pt idx="29">
                  <c:v>3.399</c:v>
                </c:pt>
                <c:pt idx="30">
                  <c:v>3.23</c:v>
                </c:pt>
                <c:pt idx="31">
                  <c:v>3.6640000000000001</c:v>
                </c:pt>
                <c:pt idx="32">
                  <c:v>4.5410000000000004</c:v>
                </c:pt>
                <c:pt idx="33">
                  <c:v>3.4580000000000002</c:v>
                </c:pt>
                <c:pt idx="34">
                  <c:v>3.2360000000000002</c:v>
                </c:pt>
                <c:pt idx="35">
                  <c:v>3.2829999999999999</c:v>
                </c:pt>
                <c:pt idx="36">
                  <c:v>3.1280000000000001</c:v>
                </c:pt>
                <c:pt idx="37">
                  <c:v>3.044</c:v>
                </c:pt>
                <c:pt idx="38">
                  <c:v>3.0270000000000001</c:v>
                </c:pt>
                <c:pt idx="39">
                  <c:v>2.9550000000000001</c:v>
                </c:pt>
                <c:pt idx="40">
                  <c:v>2.5230000000000001</c:v>
                </c:pt>
                <c:pt idx="41">
                  <c:v>2.681</c:v>
                </c:pt>
                <c:pt idx="42">
                  <c:v>3.456</c:v>
                </c:pt>
                <c:pt idx="43">
                  <c:v>3.1459999999999999</c:v>
                </c:pt>
                <c:pt idx="44">
                  <c:v>3.0259999999999998</c:v>
                </c:pt>
                <c:pt idx="45">
                  <c:v>2.7909999999999999</c:v>
                </c:pt>
                <c:pt idx="46">
                  <c:v>2.6970000000000001</c:v>
                </c:pt>
                <c:pt idx="47">
                  <c:v>3.1160000000000001</c:v>
                </c:pt>
                <c:pt idx="48">
                  <c:v>2.9769999999999999</c:v>
                </c:pt>
                <c:pt idx="49">
                  <c:v>2.8260000000000001</c:v>
                </c:pt>
                <c:pt idx="50">
                  <c:v>2.944</c:v>
                </c:pt>
                <c:pt idx="51">
                  <c:v>4.681</c:v>
                </c:pt>
                <c:pt idx="52">
                  <c:v>3.395</c:v>
                </c:pt>
                <c:pt idx="53">
                  <c:v>3.1139999999999999</c:v>
                </c:pt>
                <c:pt idx="54">
                  <c:v>2.9430000000000001</c:v>
                </c:pt>
                <c:pt idx="55">
                  <c:v>4.1040000000000001</c:v>
                </c:pt>
                <c:pt idx="56">
                  <c:v>4.9790000000000001</c:v>
                </c:pt>
                <c:pt idx="57">
                  <c:v>3.871</c:v>
                </c:pt>
                <c:pt idx="58">
                  <c:v>3.4740000000000002</c:v>
                </c:pt>
                <c:pt idx="59">
                  <c:v>3.2690000000000001</c:v>
                </c:pt>
                <c:pt idx="60">
                  <c:v>4.6879999999999997</c:v>
                </c:pt>
                <c:pt idx="61">
                  <c:v>3.9550000000000001</c:v>
                </c:pt>
                <c:pt idx="62">
                  <c:v>3.2229999999999999</c:v>
                </c:pt>
                <c:pt idx="63">
                  <c:v>3.044</c:v>
                </c:pt>
                <c:pt idx="64">
                  <c:v>3.4780000000000002</c:v>
                </c:pt>
                <c:pt idx="65">
                  <c:v>3.1890000000000001</c:v>
                </c:pt>
                <c:pt idx="66">
                  <c:v>2.7290000000000001</c:v>
                </c:pt>
                <c:pt idx="67">
                  <c:v>3.419</c:v>
                </c:pt>
                <c:pt idx="68">
                  <c:v>4.0039999999999996</c:v>
                </c:pt>
                <c:pt idx="71">
                  <c:v>2.944</c:v>
                </c:pt>
                <c:pt idx="74">
                  <c:v>3.504</c:v>
                </c:pt>
                <c:pt idx="76">
                  <c:v>3.5750000000000002</c:v>
                </c:pt>
                <c:pt idx="77">
                  <c:v>3.2189999999999999</c:v>
                </c:pt>
                <c:pt idx="79">
                  <c:v>2.7109999999999999</c:v>
                </c:pt>
                <c:pt idx="81">
                  <c:v>2.7170000000000001</c:v>
                </c:pt>
                <c:pt idx="83">
                  <c:v>3.8330000000000002</c:v>
                </c:pt>
              </c:numCache>
            </c:numRef>
          </c:xVal>
          <c:yVal>
            <c:numRef>
              <c:f>Spring!$R$84:$R$167</c:f>
              <c:numCache>
                <c:formatCode>0.000</c:formatCode>
                <c:ptCount val="84"/>
                <c:pt idx="0">
                  <c:v>0.75582086533333404</c:v>
                </c:pt>
                <c:pt idx="1">
                  <c:v>0.91088503333333404</c:v>
                </c:pt>
                <c:pt idx="2">
                  <c:v>0.88109358000000004</c:v>
                </c:pt>
                <c:pt idx="3">
                  <c:v>0.81627632400000005</c:v>
                </c:pt>
                <c:pt idx="4">
                  <c:v>0.76243800799999994</c:v>
                </c:pt>
                <c:pt idx="5">
                  <c:v>0.67033505466666699</c:v>
                </c:pt>
                <c:pt idx="6">
                  <c:v>0.81158337733333397</c:v>
                </c:pt>
                <c:pt idx="7">
                  <c:v>0.95340234000000001</c:v>
                </c:pt>
                <c:pt idx="8">
                  <c:v>0.86879868266666704</c:v>
                </c:pt>
                <c:pt idx="9">
                  <c:v>0.78447287466666704</c:v>
                </c:pt>
                <c:pt idx="10">
                  <c:v>0.67365488266666695</c:v>
                </c:pt>
                <c:pt idx="11">
                  <c:v>0.84619563600000003</c:v>
                </c:pt>
                <c:pt idx="12">
                  <c:v>0.83329736266666699</c:v>
                </c:pt>
                <c:pt idx="13">
                  <c:v>0.74757178266666702</c:v>
                </c:pt>
                <c:pt idx="14">
                  <c:v>0.68585567866666697</c:v>
                </c:pt>
                <c:pt idx="15">
                  <c:v>0.69074627200000005</c:v>
                </c:pt>
                <c:pt idx="16">
                  <c:v>0.66556153733333401</c:v>
                </c:pt>
                <c:pt idx="17">
                  <c:v>0.62673250666666702</c:v>
                </c:pt>
                <c:pt idx="18">
                  <c:v>0.61314624799999995</c:v>
                </c:pt>
                <c:pt idx="19">
                  <c:v>0.67337176666666698</c:v>
                </c:pt>
                <c:pt idx="20">
                  <c:v>0.65291963600000003</c:v>
                </c:pt>
                <c:pt idx="21">
                  <c:v>0.63352483999999998</c:v>
                </c:pt>
                <c:pt idx="22">
                  <c:v>0.61422888399999997</c:v>
                </c:pt>
                <c:pt idx="23">
                  <c:v>0.62944473066666695</c:v>
                </c:pt>
                <c:pt idx="24">
                  <c:v>0.69673094933333402</c:v>
                </c:pt>
                <c:pt idx="25">
                  <c:v>0.66144730266666696</c:v>
                </c:pt>
                <c:pt idx="26">
                  <c:v>0.60295106133333398</c:v>
                </c:pt>
                <c:pt idx="27">
                  <c:v>0.67674274266666701</c:v>
                </c:pt>
                <c:pt idx="28">
                  <c:v>0.76992602399999999</c:v>
                </c:pt>
                <c:pt idx="29">
                  <c:v>0.68208074266666696</c:v>
                </c:pt>
                <c:pt idx="30">
                  <c:v>0.65887905199999997</c:v>
                </c:pt>
                <c:pt idx="31">
                  <c:v>0.62723157866666701</c:v>
                </c:pt>
                <c:pt idx="32">
                  <c:v>0.81189412133333405</c:v>
                </c:pt>
                <c:pt idx="33">
                  <c:v>0.72860548133333403</c:v>
                </c:pt>
                <c:pt idx="34">
                  <c:v>0.66229624266666698</c:v>
                </c:pt>
                <c:pt idx="35">
                  <c:v>0.64996640800000005</c:v>
                </c:pt>
                <c:pt idx="36">
                  <c:v>1.0381982133333301</c:v>
                </c:pt>
                <c:pt idx="37">
                  <c:v>0.58501505866666703</c:v>
                </c:pt>
                <c:pt idx="38">
                  <c:v>0.63423936000000003</c:v>
                </c:pt>
                <c:pt idx="39">
                  <c:v>0.56620714800000005</c:v>
                </c:pt>
                <c:pt idx="40">
                  <c:v>0.74199311066666696</c:v>
                </c:pt>
                <c:pt idx="41">
                  <c:v>0.77998544400000003</c:v>
                </c:pt>
                <c:pt idx="42">
                  <c:v>1.93208359333333</c:v>
                </c:pt>
                <c:pt idx="43">
                  <c:v>1.64547994</c:v>
                </c:pt>
                <c:pt idx="44">
                  <c:v>1.2684738933333299</c:v>
                </c:pt>
                <c:pt idx="45">
                  <c:v>2.4295241733333302</c:v>
                </c:pt>
                <c:pt idx="46">
                  <c:v>1.26424327333333</c:v>
                </c:pt>
                <c:pt idx="47">
                  <c:v>1.60427601066666</c:v>
                </c:pt>
                <c:pt idx="48">
                  <c:v>2.3765978666666601</c:v>
                </c:pt>
                <c:pt idx="49">
                  <c:v>1.9360101999999999</c:v>
                </c:pt>
                <c:pt idx="50">
                  <c:v>1.17248918933333</c:v>
                </c:pt>
                <c:pt idx="51">
                  <c:v>1.04979578</c:v>
                </c:pt>
                <c:pt idx="52">
                  <c:v>1.3618701613333299</c:v>
                </c:pt>
                <c:pt idx="53">
                  <c:v>1.19757845333333</c:v>
                </c:pt>
                <c:pt idx="54">
                  <c:v>1.26042132666666</c:v>
                </c:pt>
                <c:pt idx="55">
                  <c:v>1.0220899240000001</c:v>
                </c:pt>
                <c:pt idx="56">
                  <c:v>0.72509531466666699</c:v>
                </c:pt>
                <c:pt idx="57">
                  <c:v>0.75147322400000005</c:v>
                </c:pt>
                <c:pt idx="58">
                  <c:v>0.79717206666666696</c:v>
                </c:pt>
                <c:pt idx="59">
                  <c:v>1.5189193546666599</c:v>
                </c:pt>
                <c:pt idx="60">
                  <c:v>0.73912359866666699</c:v>
                </c:pt>
                <c:pt idx="61">
                  <c:v>0.903743569333334</c:v>
                </c:pt>
                <c:pt idx="62">
                  <c:v>0.69605300133333403</c:v>
                </c:pt>
                <c:pt idx="63">
                  <c:v>0.64806454800000002</c:v>
                </c:pt>
                <c:pt idx="64">
                  <c:v>0.66948233599999996</c:v>
                </c:pt>
                <c:pt idx="65">
                  <c:v>0.63945933466666705</c:v>
                </c:pt>
                <c:pt idx="66">
                  <c:v>0.60962034399999998</c:v>
                </c:pt>
                <c:pt idx="67">
                  <c:v>0.58413531333333402</c:v>
                </c:pt>
                <c:pt idx="68">
                  <c:v>0.86806397466666696</c:v>
                </c:pt>
                <c:pt idx="69">
                  <c:v>0.88412704400000097</c:v>
                </c:pt>
                <c:pt idx="70">
                  <c:v>0.81815425333333403</c:v>
                </c:pt>
                <c:pt idx="71">
                  <c:v>0.69254495866666699</c:v>
                </c:pt>
                <c:pt idx="72">
                  <c:v>0.63426094933333399</c:v>
                </c:pt>
                <c:pt idx="73">
                  <c:v>0.61283889866666696</c:v>
                </c:pt>
                <c:pt idx="74">
                  <c:v>0.63369554133333394</c:v>
                </c:pt>
                <c:pt idx="75">
                  <c:v>0.75963689066666695</c:v>
                </c:pt>
                <c:pt idx="76">
                  <c:v>0.806582470666667</c:v>
                </c:pt>
                <c:pt idx="77">
                  <c:v>1.68469130666666</c:v>
                </c:pt>
                <c:pt idx="78">
                  <c:v>2.3029300400000001</c:v>
                </c:pt>
                <c:pt idx="79">
                  <c:v>1.62193118</c:v>
                </c:pt>
                <c:pt idx="80">
                  <c:v>1.9584662533333299</c:v>
                </c:pt>
                <c:pt idx="81">
                  <c:v>1.8495387186666601</c:v>
                </c:pt>
                <c:pt idx="82">
                  <c:v>1.75635108533333</c:v>
                </c:pt>
                <c:pt idx="83">
                  <c:v>1.98575952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EE-4734-95BE-5ACB8A16C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22767"/>
        <c:axId val="734720847"/>
      </c:scatterChart>
      <c:valAx>
        <c:axId val="73472276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DOC </a:t>
                </a:r>
                <a:r>
                  <a:rPr lang="en-US" baseline="0"/>
                  <a:t>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0847"/>
        <c:crosses val="autoZero"/>
        <c:crossBetween val="midCat"/>
      </c:valAx>
      <c:valAx>
        <c:axId val="7347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Sonde fDOM (RFU)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2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LISST vs Sonde Turbidity</a:t>
            </a:r>
            <a:r>
              <a:rPr lang="en-US" sz="1200" baseline="0"/>
              <a:t> - No zeros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Spring!$AJ$1</c:f>
              <c:strCache>
                <c:ptCount val="1"/>
                <c:pt idx="0">
                  <c:v>Downstream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981038836943856"/>
                  <c:y val="-0.263071469921319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Spring!$AH$4:$AH$46</c:f>
              <c:numCache>
                <c:formatCode>0.00</c:formatCode>
                <c:ptCount val="43"/>
                <c:pt idx="0">
                  <c:v>59.16</c:v>
                </c:pt>
                <c:pt idx="1">
                  <c:v>48.47</c:v>
                </c:pt>
                <c:pt idx="2">
                  <c:v>78.709999999999994</c:v>
                </c:pt>
                <c:pt idx="3">
                  <c:v>45.42</c:v>
                </c:pt>
                <c:pt idx="4">
                  <c:v>74.75</c:v>
                </c:pt>
                <c:pt idx="5">
                  <c:v>56.59</c:v>
                </c:pt>
                <c:pt idx="6">
                  <c:v>63.56</c:v>
                </c:pt>
                <c:pt idx="7">
                  <c:v>85.89</c:v>
                </c:pt>
                <c:pt idx="8">
                  <c:v>50.13</c:v>
                </c:pt>
                <c:pt idx="9">
                  <c:v>44.99</c:v>
                </c:pt>
                <c:pt idx="10">
                  <c:v>35.729999999999997</c:v>
                </c:pt>
                <c:pt idx="11">
                  <c:v>31.62</c:v>
                </c:pt>
                <c:pt idx="12">
                  <c:v>25.42</c:v>
                </c:pt>
                <c:pt idx="13">
                  <c:v>68.760000000000005</c:v>
                </c:pt>
                <c:pt idx="14">
                  <c:v>50.92</c:v>
                </c:pt>
                <c:pt idx="15">
                  <c:v>33.08</c:v>
                </c:pt>
                <c:pt idx="16">
                  <c:v>77.489999999999995</c:v>
                </c:pt>
                <c:pt idx="17">
                  <c:v>103.31</c:v>
                </c:pt>
                <c:pt idx="18">
                  <c:v>65.48</c:v>
                </c:pt>
                <c:pt idx="19">
                  <c:v>73.680000000000007</c:v>
                </c:pt>
                <c:pt idx="20">
                  <c:v>93.48</c:v>
                </c:pt>
                <c:pt idx="21">
                  <c:v>53.79</c:v>
                </c:pt>
                <c:pt idx="22">
                  <c:v>47.58</c:v>
                </c:pt>
                <c:pt idx="23">
                  <c:v>30.72</c:v>
                </c:pt>
                <c:pt idx="24">
                  <c:v>22.36</c:v>
                </c:pt>
                <c:pt idx="25">
                  <c:v>30.83</c:v>
                </c:pt>
                <c:pt idx="26">
                  <c:v>24.91</c:v>
                </c:pt>
                <c:pt idx="27">
                  <c:v>67.13</c:v>
                </c:pt>
                <c:pt idx="28">
                  <c:v>51.68</c:v>
                </c:pt>
                <c:pt idx="29">
                  <c:v>57.56</c:v>
                </c:pt>
                <c:pt idx="30">
                  <c:v>63.54</c:v>
                </c:pt>
                <c:pt idx="31">
                  <c:v>66.59</c:v>
                </c:pt>
                <c:pt idx="32">
                  <c:v>27.12</c:v>
                </c:pt>
                <c:pt idx="33">
                  <c:v>14.59</c:v>
                </c:pt>
                <c:pt idx="34">
                  <c:v>56.02</c:v>
                </c:pt>
                <c:pt idx="35">
                  <c:v>43.66</c:v>
                </c:pt>
                <c:pt idx="36">
                  <c:v>85.5</c:v>
                </c:pt>
                <c:pt idx="37">
                  <c:v>64.14</c:v>
                </c:pt>
                <c:pt idx="38">
                  <c:v>39.619999999999997</c:v>
                </c:pt>
                <c:pt idx="39">
                  <c:v>87.1</c:v>
                </c:pt>
                <c:pt idx="40">
                  <c:v>25.16</c:v>
                </c:pt>
                <c:pt idx="41">
                  <c:v>15.19</c:v>
                </c:pt>
                <c:pt idx="42">
                  <c:v>25.61</c:v>
                </c:pt>
              </c:numCache>
            </c:numRef>
          </c:xVal>
          <c:yVal>
            <c:numRef>
              <c:f>Spring!$AJ$4:$AJ$46</c:f>
              <c:numCache>
                <c:formatCode>0.000</c:formatCode>
                <c:ptCount val="43"/>
                <c:pt idx="0">
                  <c:v>12.815805599999999</c:v>
                </c:pt>
                <c:pt idx="1">
                  <c:v>12.0457119999999</c:v>
                </c:pt>
                <c:pt idx="2">
                  <c:v>21.1627592</c:v>
                </c:pt>
                <c:pt idx="3">
                  <c:v>14.5804768</c:v>
                </c:pt>
                <c:pt idx="4">
                  <c:v>12.4211408</c:v>
                </c:pt>
                <c:pt idx="5">
                  <c:v>12.41495316</c:v>
                </c:pt>
                <c:pt idx="6">
                  <c:v>43.856735999999998</c:v>
                </c:pt>
                <c:pt idx="7">
                  <c:v>16.958527199999999</c:v>
                </c:pt>
                <c:pt idx="8">
                  <c:v>13.655055599999899</c:v>
                </c:pt>
                <c:pt idx="9">
                  <c:v>22.0529236</c:v>
                </c:pt>
                <c:pt idx="10">
                  <c:v>12.440960799999999</c:v>
                </c:pt>
                <c:pt idx="11">
                  <c:v>9.0430761999999998</c:v>
                </c:pt>
                <c:pt idx="12">
                  <c:v>11.007816999999999</c:v>
                </c:pt>
                <c:pt idx="13">
                  <c:v>20.03069</c:v>
                </c:pt>
                <c:pt idx="14">
                  <c:v>10.664316599999999</c:v>
                </c:pt>
                <c:pt idx="15">
                  <c:v>9.9651312127999994</c:v>
                </c:pt>
                <c:pt idx="16">
                  <c:v>8.4859850784000006</c:v>
                </c:pt>
                <c:pt idx="19">
                  <c:v>12.815805599999999</c:v>
                </c:pt>
                <c:pt idx="20">
                  <c:v>21.1627592</c:v>
                </c:pt>
                <c:pt idx="21">
                  <c:v>14.5804768</c:v>
                </c:pt>
                <c:pt idx="22">
                  <c:v>12.4211408</c:v>
                </c:pt>
                <c:pt idx="23">
                  <c:v>10.916756999999899</c:v>
                </c:pt>
                <c:pt idx="24">
                  <c:v>11.1057975</c:v>
                </c:pt>
                <c:pt idx="25">
                  <c:v>9.7756285599999995</c:v>
                </c:pt>
                <c:pt idx="26">
                  <c:v>8.6639274400000001</c:v>
                </c:pt>
                <c:pt idx="27">
                  <c:v>10.23910416</c:v>
                </c:pt>
                <c:pt idx="28">
                  <c:v>7.6684761000000004</c:v>
                </c:pt>
                <c:pt idx="29">
                  <c:v>11.663247200000001</c:v>
                </c:pt>
                <c:pt idx="30">
                  <c:v>8.1688235799999998</c:v>
                </c:pt>
                <c:pt idx="31">
                  <c:v>6.6271815599999897</c:v>
                </c:pt>
                <c:pt idx="32">
                  <c:v>13.7088416</c:v>
                </c:pt>
                <c:pt idx="33">
                  <c:v>10.1428473999999</c:v>
                </c:pt>
                <c:pt idx="34">
                  <c:v>6.8345387903999999</c:v>
                </c:pt>
                <c:pt idx="35">
                  <c:v>8.3597602844000001</c:v>
                </c:pt>
                <c:pt idx="36">
                  <c:v>43.856735999999998</c:v>
                </c:pt>
                <c:pt idx="37">
                  <c:v>22.0529236</c:v>
                </c:pt>
                <c:pt idx="38">
                  <c:v>10.11803948328</c:v>
                </c:pt>
                <c:pt idx="39">
                  <c:v>20.03069</c:v>
                </c:pt>
                <c:pt idx="40">
                  <c:v>11.863201948</c:v>
                </c:pt>
                <c:pt idx="41">
                  <c:v>9.9651312127999994</c:v>
                </c:pt>
                <c:pt idx="42">
                  <c:v>7.6637165200000004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EA-4705-AEE7-80655073D770}"/>
            </c:ext>
          </c:extLst>
        </c:ser>
        <c:ser>
          <c:idx val="1"/>
          <c:order val="1"/>
          <c:tx>
            <c:strRef>
              <c:f>Spring!$AK$1</c:f>
              <c:strCache>
                <c:ptCount val="1"/>
                <c:pt idx="0">
                  <c:v>Upstream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6946368735601376"/>
                  <c:y val="-0.152001046248410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Spring!$AH$3:$AH$46</c:f>
              <c:numCache>
                <c:formatCode>0.00</c:formatCode>
                <c:ptCount val="44"/>
                <c:pt idx="0">
                  <c:v>51.232999999999997</c:v>
                </c:pt>
                <c:pt idx="1">
                  <c:v>59.16</c:v>
                </c:pt>
                <c:pt idx="2">
                  <c:v>48.47</c:v>
                </c:pt>
                <c:pt idx="3">
                  <c:v>78.709999999999994</c:v>
                </c:pt>
                <c:pt idx="4">
                  <c:v>45.42</c:v>
                </c:pt>
                <c:pt idx="5">
                  <c:v>74.75</c:v>
                </c:pt>
                <c:pt idx="6">
                  <c:v>56.59</c:v>
                </c:pt>
                <c:pt idx="7">
                  <c:v>63.56</c:v>
                </c:pt>
                <c:pt idx="8">
                  <c:v>85.89</c:v>
                </c:pt>
                <c:pt idx="9">
                  <c:v>50.13</c:v>
                </c:pt>
                <c:pt idx="10">
                  <c:v>44.99</c:v>
                </c:pt>
                <c:pt idx="11">
                  <c:v>35.729999999999997</c:v>
                </c:pt>
                <c:pt idx="12">
                  <c:v>31.62</c:v>
                </c:pt>
                <c:pt idx="13">
                  <c:v>25.42</c:v>
                </c:pt>
                <c:pt idx="14">
                  <c:v>68.760000000000005</c:v>
                </c:pt>
                <c:pt idx="15">
                  <c:v>50.92</c:v>
                </c:pt>
                <c:pt idx="16">
                  <c:v>33.08</c:v>
                </c:pt>
                <c:pt idx="17">
                  <c:v>77.489999999999995</c:v>
                </c:pt>
                <c:pt idx="18">
                  <c:v>103.31</c:v>
                </c:pt>
                <c:pt idx="19">
                  <c:v>65.48</c:v>
                </c:pt>
                <c:pt idx="20">
                  <c:v>73.680000000000007</c:v>
                </c:pt>
                <c:pt idx="21">
                  <c:v>93.48</c:v>
                </c:pt>
                <c:pt idx="22">
                  <c:v>53.79</c:v>
                </c:pt>
                <c:pt idx="23">
                  <c:v>47.58</c:v>
                </c:pt>
                <c:pt idx="24">
                  <c:v>30.72</c:v>
                </c:pt>
                <c:pt idx="25">
                  <c:v>22.36</c:v>
                </c:pt>
                <c:pt idx="26">
                  <c:v>30.83</c:v>
                </c:pt>
                <c:pt idx="27">
                  <c:v>24.91</c:v>
                </c:pt>
                <c:pt idx="28">
                  <c:v>67.13</c:v>
                </c:pt>
                <c:pt idx="29">
                  <c:v>51.68</c:v>
                </c:pt>
                <c:pt idx="30">
                  <c:v>57.56</c:v>
                </c:pt>
                <c:pt idx="31">
                  <c:v>63.54</c:v>
                </c:pt>
                <c:pt idx="32">
                  <c:v>66.59</c:v>
                </c:pt>
                <c:pt idx="33">
                  <c:v>27.12</c:v>
                </c:pt>
                <c:pt idx="34">
                  <c:v>14.59</c:v>
                </c:pt>
                <c:pt idx="35">
                  <c:v>56.02</c:v>
                </c:pt>
                <c:pt idx="36">
                  <c:v>43.66</c:v>
                </c:pt>
                <c:pt idx="37">
                  <c:v>85.5</c:v>
                </c:pt>
                <c:pt idx="38">
                  <c:v>64.14</c:v>
                </c:pt>
                <c:pt idx="39">
                  <c:v>39.619999999999997</c:v>
                </c:pt>
                <c:pt idx="40">
                  <c:v>87.1</c:v>
                </c:pt>
                <c:pt idx="41">
                  <c:v>25.16</c:v>
                </c:pt>
                <c:pt idx="42">
                  <c:v>15.19</c:v>
                </c:pt>
                <c:pt idx="43">
                  <c:v>25.61</c:v>
                </c:pt>
              </c:numCache>
            </c:numRef>
          </c:xVal>
          <c:yVal>
            <c:numRef>
              <c:f>Spring!$AK$3:$AK$46</c:f>
              <c:numCache>
                <c:formatCode>0.000</c:formatCode>
                <c:ptCount val="44"/>
                <c:pt idx="0">
                  <c:v>17.909116588666599</c:v>
                </c:pt>
                <c:pt idx="1">
                  <c:v>12.5026276</c:v>
                </c:pt>
                <c:pt idx="2">
                  <c:v>12.258317999999999</c:v>
                </c:pt>
                <c:pt idx="3">
                  <c:v>25.906272033333298</c:v>
                </c:pt>
                <c:pt idx="4">
                  <c:v>15.555403466666601</c:v>
                </c:pt>
                <c:pt idx="5">
                  <c:v>12.1499004</c:v>
                </c:pt>
                <c:pt idx="6">
                  <c:v>10.979372994666599</c:v>
                </c:pt>
                <c:pt idx="7">
                  <c:v>38.639293733333297</c:v>
                </c:pt>
                <c:pt idx="8">
                  <c:v>21.475960133333299</c:v>
                </c:pt>
                <c:pt idx="9">
                  <c:v>16.170986133333301</c:v>
                </c:pt>
                <c:pt idx="11">
                  <c:v>12.641193039999999</c:v>
                </c:pt>
                <c:pt idx="12">
                  <c:v>10.0303982666666</c:v>
                </c:pt>
                <c:pt idx="14">
                  <c:v>22.228124099999999</c:v>
                </c:pt>
                <c:pt idx="15">
                  <c:v>12.378681706666599</c:v>
                </c:pt>
                <c:pt idx="16">
                  <c:v>9.3933083066666594</c:v>
                </c:pt>
                <c:pt idx="17">
                  <c:v>7.5067932800000001</c:v>
                </c:pt>
                <c:pt idx="19">
                  <c:v>17.909116588666599</c:v>
                </c:pt>
                <c:pt idx="20">
                  <c:v>12.5026276</c:v>
                </c:pt>
                <c:pt idx="21">
                  <c:v>25.906272033333298</c:v>
                </c:pt>
                <c:pt idx="22">
                  <c:v>15.555403466666601</c:v>
                </c:pt>
                <c:pt idx="23">
                  <c:v>12.1499004</c:v>
                </c:pt>
                <c:pt idx="24">
                  <c:v>11.5306084666666</c:v>
                </c:pt>
                <c:pt idx="25">
                  <c:v>11.7061532666666</c:v>
                </c:pt>
                <c:pt idx="26">
                  <c:v>10.3695922</c:v>
                </c:pt>
                <c:pt idx="27">
                  <c:v>10.587694328</c:v>
                </c:pt>
                <c:pt idx="28">
                  <c:v>11.028182213333301</c:v>
                </c:pt>
                <c:pt idx="29">
                  <c:v>7.7667874933333296</c:v>
                </c:pt>
                <c:pt idx="30">
                  <c:v>9.6661808800000006</c:v>
                </c:pt>
                <c:pt idx="31">
                  <c:v>9.1230036933333292</c:v>
                </c:pt>
                <c:pt idx="32">
                  <c:v>8.16305281333333</c:v>
                </c:pt>
                <c:pt idx="33">
                  <c:v>12.273739984000001</c:v>
                </c:pt>
                <c:pt idx="34">
                  <c:v>9.9380790066666602</c:v>
                </c:pt>
                <c:pt idx="35">
                  <c:v>8.0249351333333294</c:v>
                </c:pt>
                <c:pt idx="36">
                  <c:v>8.7500032893333302</c:v>
                </c:pt>
                <c:pt idx="37">
                  <c:v>38.639293733333297</c:v>
                </c:pt>
                <c:pt idx="39">
                  <c:v>9.8354738279999996</c:v>
                </c:pt>
                <c:pt idx="40">
                  <c:v>22.228124099999999</c:v>
                </c:pt>
                <c:pt idx="41">
                  <c:v>13.3637106666666</c:v>
                </c:pt>
                <c:pt idx="42">
                  <c:v>9.3933083066666594</c:v>
                </c:pt>
                <c:pt idx="43">
                  <c:v>6.5764189999999996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EA-4705-AEE7-80655073D770}"/>
            </c:ext>
          </c:extLst>
        </c:ser>
        <c:ser>
          <c:idx val="2"/>
          <c:order val="2"/>
          <c:tx>
            <c:strRef>
              <c:f>Spring!$AI$1</c:f>
              <c:strCache>
                <c:ptCount val="1"/>
                <c:pt idx="0">
                  <c:v>Respective Reach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038305376657238"/>
                  <c:y val="-7.5241031400915079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Spring!$AH$4:$AH$46</c:f>
              <c:numCache>
                <c:formatCode>0.00</c:formatCode>
                <c:ptCount val="43"/>
                <c:pt idx="0">
                  <c:v>59.16</c:v>
                </c:pt>
                <c:pt idx="1">
                  <c:v>48.47</c:v>
                </c:pt>
                <c:pt idx="2">
                  <c:v>78.709999999999994</c:v>
                </c:pt>
                <c:pt idx="3">
                  <c:v>45.42</c:v>
                </c:pt>
                <c:pt idx="4">
                  <c:v>74.75</c:v>
                </c:pt>
                <c:pt idx="5">
                  <c:v>56.59</c:v>
                </c:pt>
                <c:pt idx="6">
                  <c:v>63.56</c:v>
                </c:pt>
                <c:pt idx="7">
                  <c:v>85.89</c:v>
                </c:pt>
                <c:pt idx="8">
                  <c:v>50.13</c:v>
                </c:pt>
                <c:pt idx="9">
                  <c:v>44.99</c:v>
                </c:pt>
                <c:pt idx="10">
                  <c:v>35.729999999999997</c:v>
                </c:pt>
                <c:pt idx="11">
                  <c:v>31.62</c:v>
                </c:pt>
                <c:pt idx="12">
                  <c:v>25.42</c:v>
                </c:pt>
                <c:pt idx="13">
                  <c:v>68.760000000000005</c:v>
                </c:pt>
                <c:pt idx="14">
                  <c:v>50.92</c:v>
                </c:pt>
                <c:pt idx="15">
                  <c:v>33.08</c:v>
                </c:pt>
                <c:pt idx="16">
                  <c:v>77.489999999999995</c:v>
                </c:pt>
                <c:pt idx="17">
                  <c:v>103.31</c:v>
                </c:pt>
                <c:pt idx="18">
                  <c:v>65.48</c:v>
                </c:pt>
                <c:pt idx="19">
                  <c:v>73.680000000000007</c:v>
                </c:pt>
                <c:pt idx="20">
                  <c:v>93.48</c:v>
                </c:pt>
                <c:pt idx="21">
                  <c:v>53.79</c:v>
                </c:pt>
                <c:pt idx="22">
                  <c:v>47.58</c:v>
                </c:pt>
                <c:pt idx="23">
                  <c:v>30.72</c:v>
                </c:pt>
                <c:pt idx="24">
                  <c:v>22.36</c:v>
                </c:pt>
                <c:pt idx="25">
                  <c:v>30.83</c:v>
                </c:pt>
                <c:pt idx="26">
                  <c:v>24.91</c:v>
                </c:pt>
                <c:pt idx="27">
                  <c:v>67.13</c:v>
                </c:pt>
                <c:pt idx="28">
                  <c:v>51.68</c:v>
                </c:pt>
                <c:pt idx="29">
                  <c:v>57.56</c:v>
                </c:pt>
                <c:pt idx="30">
                  <c:v>63.54</c:v>
                </c:pt>
                <c:pt idx="31">
                  <c:v>66.59</c:v>
                </c:pt>
                <c:pt idx="32">
                  <c:v>27.12</c:v>
                </c:pt>
                <c:pt idx="33">
                  <c:v>14.59</c:v>
                </c:pt>
                <c:pt idx="34">
                  <c:v>56.02</c:v>
                </c:pt>
                <c:pt idx="35">
                  <c:v>43.66</c:v>
                </c:pt>
                <c:pt idx="36">
                  <c:v>85.5</c:v>
                </c:pt>
                <c:pt idx="37">
                  <c:v>64.14</c:v>
                </c:pt>
                <c:pt idx="38">
                  <c:v>39.619999999999997</c:v>
                </c:pt>
                <c:pt idx="39">
                  <c:v>87.1</c:v>
                </c:pt>
                <c:pt idx="40">
                  <c:v>25.16</c:v>
                </c:pt>
                <c:pt idx="41">
                  <c:v>15.19</c:v>
                </c:pt>
                <c:pt idx="42">
                  <c:v>25.61</c:v>
                </c:pt>
              </c:numCache>
            </c:numRef>
          </c:xVal>
          <c:yVal>
            <c:numRef>
              <c:f>Spring!$AI$4:$AI$46</c:f>
              <c:numCache>
                <c:formatCode>0.000</c:formatCode>
                <c:ptCount val="43"/>
                <c:pt idx="0">
                  <c:v>12.815805599999999</c:v>
                </c:pt>
                <c:pt idx="1">
                  <c:v>12.0457119999999</c:v>
                </c:pt>
                <c:pt idx="2">
                  <c:v>21.1627592</c:v>
                </c:pt>
                <c:pt idx="3">
                  <c:v>14.5804768</c:v>
                </c:pt>
                <c:pt idx="4">
                  <c:v>12.4211408</c:v>
                </c:pt>
                <c:pt idx="5">
                  <c:v>12.41495316</c:v>
                </c:pt>
                <c:pt idx="6">
                  <c:v>43.856735999999998</c:v>
                </c:pt>
                <c:pt idx="7">
                  <c:v>16.958527199999999</c:v>
                </c:pt>
                <c:pt idx="8">
                  <c:v>13.655055599999899</c:v>
                </c:pt>
                <c:pt idx="9">
                  <c:v>22.0529236</c:v>
                </c:pt>
                <c:pt idx="10">
                  <c:v>12.440960799999999</c:v>
                </c:pt>
                <c:pt idx="11">
                  <c:v>9.0430761999999998</c:v>
                </c:pt>
                <c:pt idx="12">
                  <c:v>11.007816999999999</c:v>
                </c:pt>
                <c:pt idx="13">
                  <c:v>20.03069</c:v>
                </c:pt>
                <c:pt idx="14">
                  <c:v>10.664316599999999</c:v>
                </c:pt>
                <c:pt idx="15">
                  <c:v>9.9651312127999994</c:v>
                </c:pt>
                <c:pt idx="16">
                  <c:v>8.4859850784000006</c:v>
                </c:pt>
                <c:pt idx="18">
                  <c:v>17.909116588666599</c:v>
                </c:pt>
                <c:pt idx="19">
                  <c:v>12.5026276</c:v>
                </c:pt>
                <c:pt idx="20">
                  <c:v>25.906272033333298</c:v>
                </c:pt>
                <c:pt idx="21">
                  <c:v>15.555403466666601</c:v>
                </c:pt>
                <c:pt idx="22">
                  <c:v>12.1499004</c:v>
                </c:pt>
                <c:pt idx="23">
                  <c:v>11.5306084666666</c:v>
                </c:pt>
                <c:pt idx="24">
                  <c:v>11.7061532666666</c:v>
                </c:pt>
                <c:pt idx="25">
                  <c:v>10.3695922</c:v>
                </c:pt>
                <c:pt idx="26">
                  <c:v>10.587694328</c:v>
                </c:pt>
                <c:pt idx="27">
                  <c:v>11.028182213333301</c:v>
                </c:pt>
                <c:pt idx="28">
                  <c:v>7.7667874933333296</c:v>
                </c:pt>
                <c:pt idx="29">
                  <c:v>9.6661808800000006</c:v>
                </c:pt>
                <c:pt idx="30">
                  <c:v>9.1230036933333292</c:v>
                </c:pt>
                <c:pt idx="31">
                  <c:v>8.16305281333333</c:v>
                </c:pt>
                <c:pt idx="32">
                  <c:v>12.273739984000001</c:v>
                </c:pt>
                <c:pt idx="33">
                  <c:v>9.9380790066666602</c:v>
                </c:pt>
                <c:pt idx="34">
                  <c:v>8.0249351333333294</c:v>
                </c:pt>
                <c:pt idx="35">
                  <c:v>8.7500032893333302</c:v>
                </c:pt>
                <c:pt idx="36">
                  <c:v>38.639293733333297</c:v>
                </c:pt>
                <c:pt idx="38">
                  <c:v>9.8354738279999996</c:v>
                </c:pt>
                <c:pt idx="39">
                  <c:v>22.228124099999999</c:v>
                </c:pt>
                <c:pt idx="40">
                  <c:v>13.3637106666666</c:v>
                </c:pt>
                <c:pt idx="41">
                  <c:v>9.3933083066666594</c:v>
                </c:pt>
                <c:pt idx="42">
                  <c:v>6.5764189999999996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EA-4705-AEE7-80655073D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530095"/>
        <c:axId val="1387521935"/>
      </c:scatterChart>
      <c:valAx>
        <c:axId val="138753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 concentration</a:t>
                </a:r>
                <a:r>
                  <a:rPr lang="en-US" baseline="0"/>
                  <a:t> (uL.L)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21935"/>
        <c:crosses val="autoZero"/>
        <c:crossBetween val="midCat"/>
      </c:valAx>
      <c:valAx>
        <c:axId val="138752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Sonde Turbidity (NTU)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3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SSC vs Sonde Turbidity</a:t>
            </a:r>
            <a:r>
              <a:rPr lang="en-US" sz="1200" baseline="0"/>
              <a:t> - No zeros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Spring!$AJ$1</c:f>
              <c:strCache>
                <c:ptCount val="1"/>
                <c:pt idx="0">
                  <c:v>Downstream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1318554735737217"/>
                  <c:y val="3.43055408261187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Spring!$AG$4:$AG$46</c:f>
              <c:numCache>
                <c:formatCode>0.00</c:formatCode>
                <c:ptCount val="43"/>
                <c:pt idx="0">
                  <c:v>8.9473684210526692</c:v>
                </c:pt>
                <c:pt idx="1">
                  <c:v>9.4999999999999254</c:v>
                </c:pt>
                <c:pt idx="2">
                  <c:v>23.000000000000103</c:v>
                </c:pt>
                <c:pt idx="3">
                  <c:v>15.000000000000014</c:v>
                </c:pt>
                <c:pt idx="4">
                  <c:v>9.0909090909090988</c:v>
                </c:pt>
                <c:pt idx="5">
                  <c:v>4.3750000000000382</c:v>
                </c:pt>
                <c:pt idx="6">
                  <c:v>41.999999999999993</c:v>
                </c:pt>
                <c:pt idx="7">
                  <c:v>17.419354838709729</c:v>
                </c:pt>
                <c:pt idx="8">
                  <c:v>6.000000000000079</c:v>
                </c:pt>
                <c:pt idx="9">
                  <c:v>22.142857142857082</c:v>
                </c:pt>
                <c:pt idx="10">
                  <c:v>10.000000000000009</c:v>
                </c:pt>
                <c:pt idx="11">
                  <c:v>6.4285714285713151</c:v>
                </c:pt>
                <c:pt idx="12">
                  <c:v>18.000000000000053</c:v>
                </c:pt>
                <c:pt idx="13">
                  <c:v>20.666666666666611</c:v>
                </c:pt>
                <c:pt idx="14">
                  <c:v>11.87500000000008</c:v>
                </c:pt>
                <c:pt idx="15">
                  <c:v>9.3333333333334156</c:v>
                </c:pt>
                <c:pt idx="16">
                  <c:v>7.1428571428571495</c:v>
                </c:pt>
                <c:pt idx="17">
                  <c:v>16.000000000000043</c:v>
                </c:pt>
                <c:pt idx="18">
                  <c:v>0.49999999999994493</c:v>
                </c:pt>
                <c:pt idx="19">
                  <c:v>6.3157894736842453</c:v>
                </c:pt>
                <c:pt idx="20">
                  <c:v>21.499999999999993</c:v>
                </c:pt>
                <c:pt idx="21">
                  <c:v>11.05263157894732</c:v>
                </c:pt>
                <c:pt idx="22">
                  <c:v>17.999999999999961</c:v>
                </c:pt>
                <c:pt idx="23">
                  <c:v>6.4999999999999778</c:v>
                </c:pt>
                <c:pt idx="24">
                  <c:v>5.9999999999998943</c:v>
                </c:pt>
                <c:pt idx="25">
                  <c:v>8.888888888888836</c:v>
                </c:pt>
                <c:pt idx="26">
                  <c:v>4.6666666666667078</c:v>
                </c:pt>
                <c:pt idx="27">
                  <c:v>17.857142857142676</c:v>
                </c:pt>
                <c:pt idx="28">
                  <c:v>6.6666666666666723</c:v>
                </c:pt>
                <c:pt idx="29">
                  <c:v>5.3333333333334858</c:v>
                </c:pt>
                <c:pt idx="30">
                  <c:v>8.0000000000000444</c:v>
                </c:pt>
                <c:pt idx="31">
                  <c:v>8.6666666666666377</c:v>
                </c:pt>
                <c:pt idx="32">
                  <c:v>15.000000000000083</c:v>
                </c:pt>
                <c:pt idx="33">
                  <c:v>7.1428571428571495</c:v>
                </c:pt>
                <c:pt idx="34">
                  <c:v>6.6666666666666723</c:v>
                </c:pt>
                <c:pt idx="35">
                  <c:v>12.666666666666751</c:v>
                </c:pt>
                <c:pt idx="36">
                  <c:v>45.000000000000007</c:v>
                </c:pt>
                <c:pt idx="37">
                  <c:v>20.000000000000018</c:v>
                </c:pt>
                <c:pt idx="38">
                  <c:v>10.666666666666602</c:v>
                </c:pt>
                <c:pt idx="39">
                  <c:v>24.374999999999918</c:v>
                </c:pt>
                <c:pt idx="40">
                  <c:v>0.71428571428583387</c:v>
                </c:pt>
                <c:pt idx="41">
                  <c:v>5.7142857142856798</c:v>
                </c:pt>
                <c:pt idx="42">
                  <c:v>0.66666666666677832</c:v>
                </c:pt>
              </c:numCache>
            </c:numRef>
          </c:xVal>
          <c:yVal>
            <c:numRef>
              <c:f>Spring!$AJ$4:$AJ$46</c:f>
              <c:numCache>
                <c:formatCode>0.000</c:formatCode>
                <c:ptCount val="43"/>
                <c:pt idx="0">
                  <c:v>12.815805599999999</c:v>
                </c:pt>
                <c:pt idx="1">
                  <c:v>12.0457119999999</c:v>
                </c:pt>
                <c:pt idx="2">
                  <c:v>21.1627592</c:v>
                </c:pt>
                <c:pt idx="3">
                  <c:v>14.5804768</c:v>
                </c:pt>
                <c:pt idx="4">
                  <c:v>12.4211408</c:v>
                </c:pt>
                <c:pt idx="5">
                  <c:v>12.41495316</c:v>
                </c:pt>
                <c:pt idx="6">
                  <c:v>43.856735999999998</c:v>
                </c:pt>
                <c:pt idx="7">
                  <c:v>16.958527199999999</c:v>
                </c:pt>
                <c:pt idx="8">
                  <c:v>13.655055599999899</c:v>
                </c:pt>
                <c:pt idx="9">
                  <c:v>22.0529236</c:v>
                </c:pt>
                <c:pt idx="10">
                  <c:v>12.440960799999999</c:v>
                </c:pt>
                <c:pt idx="11">
                  <c:v>9.0430761999999998</c:v>
                </c:pt>
                <c:pt idx="12">
                  <c:v>11.007816999999999</c:v>
                </c:pt>
                <c:pt idx="13">
                  <c:v>20.03069</c:v>
                </c:pt>
                <c:pt idx="14">
                  <c:v>10.664316599999999</c:v>
                </c:pt>
                <c:pt idx="15">
                  <c:v>9.9651312127999994</c:v>
                </c:pt>
                <c:pt idx="16">
                  <c:v>8.4859850784000006</c:v>
                </c:pt>
                <c:pt idx="19">
                  <c:v>12.815805599999999</c:v>
                </c:pt>
                <c:pt idx="20">
                  <c:v>21.1627592</c:v>
                </c:pt>
                <c:pt idx="21">
                  <c:v>14.5804768</c:v>
                </c:pt>
                <c:pt idx="22">
                  <c:v>12.4211408</c:v>
                </c:pt>
                <c:pt idx="23">
                  <c:v>10.916756999999899</c:v>
                </c:pt>
                <c:pt idx="24">
                  <c:v>11.1057975</c:v>
                </c:pt>
                <c:pt idx="25">
                  <c:v>9.7756285599999995</c:v>
                </c:pt>
                <c:pt idx="26">
                  <c:v>8.6639274400000001</c:v>
                </c:pt>
                <c:pt idx="27">
                  <c:v>10.23910416</c:v>
                </c:pt>
                <c:pt idx="28">
                  <c:v>7.6684761000000004</c:v>
                </c:pt>
                <c:pt idx="29">
                  <c:v>11.663247200000001</c:v>
                </c:pt>
                <c:pt idx="30">
                  <c:v>8.1688235799999998</c:v>
                </c:pt>
                <c:pt idx="31">
                  <c:v>6.6271815599999897</c:v>
                </c:pt>
                <c:pt idx="32">
                  <c:v>13.7088416</c:v>
                </c:pt>
                <c:pt idx="33">
                  <c:v>10.1428473999999</c:v>
                </c:pt>
                <c:pt idx="34">
                  <c:v>6.8345387903999999</c:v>
                </c:pt>
                <c:pt idx="35">
                  <c:v>8.3597602844000001</c:v>
                </c:pt>
                <c:pt idx="36">
                  <c:v>43.856735999999998</c:v>
                </c:pt>
                <c:pt idx="37">
                  <c:v>22.0529236</c:v>
                </c:pt>
                <c:pt idx="38">
                  <c:v>10.11803948328</c:v>
                </c:pt>
                <c:pt idx="39">
                  <c:v>20.03069</c:v>
                </c:pt>
                <c:pt idx="40">
                  <c:v>11.863201948</c:v>
                </c:pt>
                <c:pt idx="41">
                  <c:v>9.9651312127999994</c:v>
                </c:pt>
                <c:pt idx="42">
                  <c:v>7.6637165200000004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29-48D2-924C-5223CF9204FF}"/>
            </c:ext>
          </c:extLst>
        </c:ser>
        <c:ser>
          <c:idx val="1"/>
          <c:order val="1"/>
          <c:tx>
            <c:strRef>
              <c:f>Spring!$AK$1</c:f>
              <c:strCache>
                <c:ptCount val="1"/>
                <c:pt idx="0">
                  <c:v>Upstream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7534769387503089"/>
                  <c:y val="-5.140609358954793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Spring!$AG$3:$AG$46</c:f>
              <c:numCache>
                <c:formatCode>0.00</c:formatCode>
                <c:ptCount val="44"/>
                <c:pt idx="0">
                  <c:v>15.000000000000014</c:v>
                </c:pt>
                <c:pt idx="1">
                  <c:v>8.9473684210526692</c:v>
                </c:pt>
                <c:pt idx="2">
                  <c:v>9.4999999999999254</c:v>
                </c:pt>
                <c:pt idx="3">
                  <c:v>23.000000000000103</c:v>
                </c:pt>
                <c:pt idx="4">
                  <c:v>15.000000000000014</c:v>
                </c:pt>
                <c:pt idx="5">
                  <c:v>9.0909090909090988</c:v>
                </c:pt>
                <c:pt idx="6">
                  <c:v>4.3750000000000382</c:v>
                </c:pt>
                <c:pt idx="7">
                  <c:v>41.999999999999993</c:v>
                </c:pt>
                <c:pt idx="8">
                  <c:v>17.419354838709729</c:v>
                </c:pt>
                <c:pt idx="9">
                  <c:v>6.000000000000079</c:v>
                </c:pt>
                <c:pt idx="10">
                  <c:v>22.142857142857082</c:v>
                </c:pt>
                <c:pt idx="11">
                  <c:v>10.000000000000009</c:v>
                </c:pt>
                <c:pt idx="12">
                  <c:v>6.4285714285713151</c:v>
                </c:pt>
                <c:pt idx="13">
                  <c:v>18.000000000000053</c:v>
                </c:pt>
                <c:pt idx="14">
                  <c:v>20.666666666666611</c:v>
                </c:pt>
                <c:pt idx="15">
                  <c:v>11.87500000000008</c:v>
                </c:pt>
                <c:pt idx="16">
                  <c:v>9.3333333333334156</c:v>
                </c:pt>
                <c:pt idx="17">
                  <c:v>7.1428571428571495</c:v>
                </c:pt>
                <c:pt idx="18">
                  <c:v>16.000000000000043</c:v>
                </c:pt>
                <c:pt idx="19">
                  <c:v>0.49999999999994493</c:v>
                </c:pt>
                <c:pt idx="20">
                  <c:v>6.3157894736842453</c:v>
                </c:pt>
                <c:pt idx="21">
                  <c:v>21.499999999999993</c:v>
                </c:pt>
                <c:pt idx="22">
                  <c:v>11.05263157894732</c:v>
                </c:pt>
                <c:pt idx="23">
                  <c:v>17.999999999999961</c:v>
                </c:pt>
                <c:pt idx="24">
                  <c:v>6.4999999999999778</c:v>
                </c:pt>
                <c:pt idx="25">
                  <c:v>5.9999999999998943</c:v>
                </c:pt>
                <c:pt idx="26">
                  <c:v>8.888888888888836</c:v>
                </c:pt>
                <c:pt idx="27">
                  <c:v>4.6666666666667078</c:v>
                </c:pt>
                <c:pt idx="28">
                  <c:v>17.857142857142676</c:v>
                </c:pt>
                <c:pt idx="29">
                  <c:v>6.6666666666666723</c:v>
                </c:pt>
                <c:pt idx="30">
                  <c:v>5.3333333333334858</c:v>
                </c:pt>
                <c:pt idx="31">
                  <c:v>8.0000000000000444</c:v>
                </c:pt>
                <c:pt idx="32">
                  <c:v>8.6666666666666377</c:v>
                </c:pt>
                <c:pt idx="33">
                  <c:v>15.000000000000083</c:v>
                </c:pt>
                <c:pt idx="34">
                  <c:v>7.1428571428571495</c:v>
                </c:pt>
                <c:pt idx="35">
                  <c:v>6.6666666666666723</c:v>
                </c:pt>
                <c:pt idx="36">
                  <c:v>12.666666666666751</c:v>
                </c:pt>
                <c:pt idx="37">
                  <c:v>45.000000000000007</c:v>
                </c:pt>
                <c:pt idx="38">
                  <c:v>20.000000000000018</c:v>
                </c:pt>
                <c:pt idx="39">
                  <c:v>10.666666666666602</c:v>
                </c:pt>
                <c:pt idx="40">
                  <c:v>24.374999999999918</c:v>
                </c:pt>
                <c:pt idx="41">
                  <c:v>0.71428571428583387</c:v>
                </c:pt>
                <c:pt idx="42">
                  <c:v>5.7142857142856798</c:v>
                </c:pt>
                <c:pt idx="43">
                  <c:v>0.66666666666677832</c:v>
                </c:pt>
              </c:numCache>
            </c:numRef>
          </c:xVal>
          <c:yVal>
            <c:numRef>
              <c:f>Spring!$AK$3:$AK$46</c:f>
              <c:numCache>
                <c:formatCode>0.000</c:formatCode>
                <c:ptCount val="44"/>
                <c:pt idx="0">
                  <c:v>17.909116588666599</c:v>
                </c:pt>
                <c:pt idx="1">
                  <c:v>12.5026276</c:v>
                </c:pt>
                <c:pt idx="2">
                  <c:v>12.258317999999999</c:v>
                </c:pt>
                <c:pt idx="3">
                  <c:v>25.906272033333298</c:v>
                </c:pt>
                <c:pt idx="4">
                  <c:v>15.555403466666601</c:v>
                </c:pt>
                <c:pt idx="5">
                  <c:v>12.1499004</c:v>
                </c:pt>
                <c:pt idx="6">
                  <c:v>10.979372994666599</c:v>
                </c:pt>
                <c:pt idx="7">
                  <c:v>38.639293733333297</c:v>
                </c:pt>
                <c:pt idx="8">
                  <c:v>21.475960133333299</c:v>
                </c:pt>
                <c:pt idx="9">
                  <c:v>16.170986133333301</c:v>
                </c:pt>
                <c:pt idx="11">
                  <c:v>12.641193039999999</c:v>
                </c:pt>
                <c:pt idx="12">
                  <c:v>10.0303982666666</c:v>
                </c:pt>
                <c:pt idx="14">
                  <c:v>22.228124099999999</c:v>
                </c:pt>
                <c:pt idx="15">
                  <c:v>12.378681706666599</c:v>
                </c:pt>
                <c:pt idx="16">
                  <c:v>9.3933083066666594</c:v>
                </c:pt>
                <c:pt idx="17">
                  <c:v>7.5067932800000001</c:v>
                </c:pt>
                <c:pt idx="19">
                  <c:v>17.909116588666599</c:v>
                </c:pt>
                <c:pt idx="20">
                  <c:v>12.5026276</c:v>
                </c:pt>
                <c:pt idx="21">
                  <c:v>25.906272033333298</c:v>
                </c:pt>
                <c:pt idx="22">
                  <c:v>15.555403466666601</c:v>
                </c:pt>
                <c:pt idx="23">
                  <c:v>12.1499004</c:v>
                </c:pt>
                <c:pt idx="24">
                  <c:v>11.5306084666666</c:v>
                </c:pt>
                <c:pt idx="25">
                  <c:v>11.7061532666666</c:v>
                </c:pt>
                <c:pt idx="26">
                  <c:v>10.3695922</c:v>
                </c:pt>
                <c:pt idx="27">
                  <c:v>10.587694328</c:v>
                </c:pt>
                <c:pt idx="28">
                  <c:v>11.028182213333301</c:v>
                </c:pt>
                <c:pt idx="29">
                  <c:v>7.7667874933333296</c:v>
                </c:pt>
                <c:pt idx="30">
                  <c:v>9.6661808800000006</c:v>
                </c:pt>
                <c:pt idx="31">
                  <c:v>9.1230036933333292</c:v>
                </c:pt>
                <c:pt idx="32">
                  <c:v>8.16305281333333</c:v>
                </c:pt>
                <c:pt idx="33">
                  <c:v>12.273739984000001</c:v>
                </c:pt>
                <c:pt idx="34">
                  <c:v>9.9380790066666602</c:v>
                </c:pt>
                <c:pt idx="35">
                  <c:v>8.0249351333333294</c:v>
                </c:pt>
                <c:pt idx="36">
                  <c:v>8.7500032893333302</c:v>
                </c:pt>
                <c:pt idx="37">
                  <c:v>38.639293733333297</c:v>
                </c:pt>
                <c:pt idx="39">
                  <c:v>9.8354738279999996</c:v>
                </c:pt>
                <c:pt idx="40">
                  <c:v>22.228124099999999</c:v>
                </c:pt>
                <c:pt idx="41">
                  <c:v>13.3637106666666</c:v>
                </c:pt>
                <c:pt idx="42">
                  <c:v>9.3933083066666594</c:v>
                </c:pt>
                <c:pt idx="43">
                  <c:v>6.5764189999999996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29-48D2-924C-5223CF9204FF}"/>
            </c:ext>
          </c:extLst>
        </c:ser>
        <c:ser>
          <c:idx val="2"/>
          <c:order val="2"/>
          <c:tx>
            <c:strRef>
              <c:f>Spring!$AI$1</c:f>
              <c:strCache>
                <c:ptCount val="1"/>
                <c:pt idx="0">
                  <c:v>Respective Reach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1606839651765868"/>
                  <c:y val="-7.4577150203180009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Spring!$AG$4:$AG$46</c:f>
              <c:numCache>
                <c:formatCode>0.00</c:formatCode>
                <c:ptCount val="43"/>
                <c:pt idx="0">
                  <c:v>8.9473684210526692</c:v>
                </c:pt>
                <c:pt idx="1">
                  <c:v>9.4999999999999254</c:v>
                </c:pt>
                <c:pt idx="2">
                  <c:v>23.000000000000103</c:v>
                </c:pt>
                <c:pt idx="3">
                  <c:v>15.000000000000014</c:v>
                </c:pt>
                <c:pt idx="4">
                  <c:v>9.0909090909090988</c:v>
                </c:pt>
                <c:pt idx="5">
                  <c:v>4.3750000000000382</c:v>
                </c:pt>
                <c:pt idx="6">
                  <c:v>41.999999999999993</c:v>
                </c:pt>
                <c:pt idx="7">
                  <c:v>17.419354838709729</c:v>
                </c:pt>
                <c:pt idx="8">
                  <c:v>6.000000000000079</c:v>
                </c:pt>
                <c:pt idx="9">
                  <c:v>22.142857142857082</c:v>
                </c:pt>
                <c:pt idx="10">
                  <c:v>10.000000000000009</c:v>
                </c:pt>
                <c:pt idx="11">
                  <c:v>6.4285714285713151</c:v>
                </c:pt>
                <c:pt idx="12">
                  <c:v>18.000000000000053</c:v>
                </c:pt>
                <c:pt idx="13">
                  <c:v>20.666666666666611</c:v>
                </c:pt>
                <c:pt idx="14">
                  <c:v>11.87500000000008</c:v>
                </c:pt>
                <c:pt idx="15">
                  <c:v>9.3333333333334156</c:v>
                </c:pt>
                <c:pt idx="16">
                  <c:v>7.1428571428571495</c:v>
                </c:pt>
                <c:pt idx="17">
                  <c:v>16.000000000000043</c:v>
                </c:pt>
                <c:pt idx="18">
                  <c:v>0.49999999999994493</c:v>
                </c:pt>
                <c:pt idx="19">
                  <c:v>6.3157894736842453</c:v>
                </c:pt>
                <c:pt idx="20">
                  <c:v>21.499999999999993</c:v>
                </c:pt>
                <c:pt idx="21">
                  <c:v>11.05263157894732</c:v>
                </c:pt>
                <c:pt idx="22">
                  <c:v>17.999999999999961</c:v>
                </c:pt>
                <c:pt idx="23">
                  <c:v>6.4999999999999778</c:v>
                </c:pt>
                <c:pt idx="24">
                  <c:v>5.9999999999998943</c:v>
                </c:pt>
                <c:pt idx="25">
                  <c:v>8.888888888888836</c:v>
                </c:pt>
                <c:pt idx="26">
                  <c:v>4.6666666666667078</c:v>
                </c:pt>
                <c:pt idx="27">
                  <c:v>17.857142857142676</c:v>
                </c:pt>
                <c:pt idx="28">
                  <c:v>6.6666666666666723</c:v>
                </c:pt>
                <c:pt idx="29">
                  <c:v>5.3333333333334858</c:v>
                </c:pt>
                <c:pt idx="30">
                  <c:v>8.0000000000000444</c:v>
                </c:pt>
                <c:pt idx="31">
                  <c:v>8.6666666666666377</c:v>
                </c:pt>
                <c:pt idx="32">
                  <c:v>15.000000000000083</c:v>
                </c:pt>
                <c:pt idx="33">
                  <c:v>7.1428571428571495</c:v>
                </c:pt>
                <c:pt idx="34">
                  <c:v>6.6666666666666723</c:v>
                </c:pt>
                <c:pt idx="35">
                  <c:v>12.666666666666751</c:v>
                </c:pt>
                <c:pt idx="36">
                  <c:v>45.000000000000007</c:v>
                </c:pt>
                <c:pt idx="37">
                  <c:v>20.000000000000018</c:v>
                </c:pt>
                <c:pt idx="38">
                  <c:v>10.666666666666602</c:v>
                </c:pt>
                <c:pt idx="39">
                  <c:v>24.374999999999918</c:v>
                </c:pt>
                <c:pt idx="40">
                  <c:v>0.71428571428583387</c:v>
                </c:pt>
                <c:pt idx="41">
                  <c:v>5.7142857142856798</c:v>
                </c:pt>
                <c:pt idx="42">
                  <c:v>0.66666666666677832</c:v>
                </c:pt>
              </c:numCache>
            </c:numRef>
          </c:xVal>
          <c:yVal>
            <c:numRef>
              <c:f>Spring!$AI$4:$AI$46</c:f>
              <c:numCache>
                <c:formatCode>0.000</c:formatCode>
                <c:ptCount val="43"/>
                <c:pt idx="0">
                  <c:v>12.815805599999999</c:v>
                </c:pt>
                <c:pt idx="1">
                  <c:v>12.0457119999999</c:v>
                </c:pt>
                <c:pt idx="2">
                  <c:v>21.1627592</c:v>
                </c:pt>
                <c:pt idx="3">
                  <c:v>14.5804768</c:v>
                </c:pt>
                <c:pt idx="4">
                  <c:v>12.4211408</c:v>
                </c:pt>
                <c:pt idx="5">
                  <c:v>12.41495316</c:v>
                </c:pt>
                <c:pt idx="6">
                  <c:v>43.856735999999998</c:v>
                </c:pt>
                <c:pt idx="7">
                  <c:v>16.958527199999999</c:v>
                </c:pt>
                <c:pt idx="8">
                  <c:v>13.655055599999899</c:v>
                </c:pt>
                <c:pt idx="9">
                  <c:v>22.0529236</c:v>
                </c:pt>
                <c:pt idx="10">
                  <c:v>12.440960799999999</c:v>
                </c:pt>
                <c:pt idx="11">
                  <c:v>9.0430761999999998</c:v>
                </c:pt>
                <c:pt idx="12">
                  <c:v>11.007816999999999</c:v>
                </c:pt>
                <c:pt idx="13">
                  <c:v>20.03069</c:v>
                </c:pt>
                <c:pt idx="14">
                  <c:v>10.664316599999999</c:v>
                </c:pt>
                <c:pt idx="15">
                  <c:v>9.9651312127999994</c:v>
                </c:pt>
                <c:pt idx="16">
                  <c:v>8.4859850784000006</c:v>
                </c:pt>
                <c:pt idx="18">
                  <c:v>17.909116588666599</c:v>
                </c:pt>
                <c:pt idx="19">
                  <c:v>12.5026276</c:v>
                </c:pt>
                <c:pt idx="20">
                  <c:v>25.906272033333298</c:v>
                </c:pt>
                <c:pt idx="21">
                  <c:v>15.555403466666601</c:v>
                </c:pt>
                <c:pt idx="22">
                  <c:v>12.1499004</c:v>
                </c:pt>
                <c:pt idx="23">
                  <c:v>11.5306084666666</c:v>
                </c:pt>
                <c:pt idx="24">
                  <c:v>11.7061532666666</c:v>
                </c:pt>
                <c:pt idx="25">
                  <c:v>10.3695922</c:v>
                </c:pt>
                <c:pt idx="26">
                  <c:v>10.587694328</c:v>
                </c:pt>
                <c:pt idx="27">
                  <c:v>11.028182213333301</c:v>
                </c:pt>
                <c:pt idx="28">
                  <c:v>7.7667874933333296</c:v>
                </c:pt>
                <c:pt idx="29">
                  <c:v>9.6661808800000006</c:v>
                </c:pt>
                <c:pt idx="30">
                  <c:v>9.1230036933333292</c:v>
                </c:pt>
                <c:pt idx="31">
                  <c:v>8.16305281333333</c:v>
                </c:pt>
                <c:pt idx="32">
                  <c:v>12.273739984000001</c:v>
                </c:pt>
                <c:pt idx="33">
                  <c:v>9.9380790066666602</c:v>
                </c:pt>
                <c:pt idx="34">
                  <c:v>8.0249351333333294</c:v>
                </c:pt>
                <c:pt idx="35">
                  <c:v>8.7500032893333302</c:v>
                </c:pt>
                <c:pt idx="36">
                  <c:v>38.639293733333297</c:v>
                </c:pt>
                <c:pt idx="38">
                  <c:v>9.8354738279999996</c:v>
                </c:pt>
                <c:pt idx="39">
                  <c:v>22.228124099999999</c:v>
                </c:pt>
                <c:pt idx="40">
                  <c:v>13.3637106666666</c:v>
                </c:pt>
                <c:pt idx="41">
                  <c:v>9.3933083066666594</c:v>
                </c:pt>
                <c:pt idx="42">
                  <c:v>6.5764189999999996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29-48D2-924C-5223CF920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530095"/>
        <c:axId val="1387521935"/>
      </c:scatterChart>
      <c:valAx>
        <c:axId val="138753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</a:t>
                </a:r>
                <a:r>
                  <a:rPr lang="en-US" baseline="0"/>
                  <a:t> </a:t>
                </a:r>
                <a:r>
                  <a:rPr lang="en-US"/>
                  <a:t>concentration</a:t>
                </a:r>
                <a:r>
                  <a:rPr lang="en-US" baseline="0"/>
                  <a:t> (mg.L)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21935"/>
        <c:crosses val="autoZero"/>
        <c:crossBetween val="midCat"/>
      </c:valAx>
      <c:valAx>
        <c:axId val="138752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Sonde Turbidity (NTU)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3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LISST vs Sonde Turbidity</a:t>
            </a:r>
            <a:r>
              <a:rPr lang="en-US" sz="1200" baseline="0"/>
              <a:t> - No zeros - Downstream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Spring!$AJ$1</c:f>
              <c:strCache>
                <c:ptCount val="1"/>
                <c:pt idx="0">
                  <c:v>Downstream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981038836943856"/>
                  <c:y val="-0.263071469921319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Spring!$AH$4:$AH$20</c:f>
              <c:numCache>
                <c:formatCode>0.00</c:formatCode>
                <c:ptCount val="17"/>
                <c:pt idx="0">
                  <c:v>59.16</c:v>
                </c:pt>
                <c:pt idx="1">
                  <c:v>48.47</c:v>
                </c:pt>
                <c:pt idx="2">
                  <c:v>78.709999999999994</c:v>
                </c:pt>
                <c:pt idx="3">
                  <c:v>45.42</c:v>
                </c:pt>
                <c:pt idx="4">
                  <c:v>74.75</c:v>
                </c:pt>
                <c:pt idx="5">
                  <c:v>56.59</c:v>
                </c:pt>
                <c:pt idx="6">
                  <c:v>63.56</c:v>
                </c:pt>
                <c:pt idx="7">
                  <c:v>85.89</c:v>
                </c:pt>
                <c:pt idx="8">
                  <c:v>50.13</c:v>
                </c:pt>
                <c:pt idx="9">
                  <c:v>44.99</c:v>
                </c:pt>
                <c:pt idx="10">
                  <c:v>35.729999999999997</c:v>
                </c:pt>
                <c:pt idx="11">
                  <c:v>31.62</c:v>
                </c:pt>
                <c:pt idx="12">
                  <c:v>25.42</c:v>
                </c:pt>
                <c:pt idx="13">
                  <c:v>68.760000000000005</c:v>
                </c:pt>
                <c:pt idx="14">
                  <c:v>50.92</c:v>
                </c:pt>
                <c:pt idx="15">
                  <c:v>33.08</c:v>
                </c:pt>
                <c:pt idx="16">
                  <c:v>77.489999999999995</c:v>
                </c:pt>
              </c:numCache>
            </c:numRef>
          </c:xVal>
          <c:yVal>
            <c:numRef>
              <c:f>Spring!$AJ$4:$AJ$20</c:f>
              <c:numCache>
                <c:formatCode>0.000</c:formatCode>
                <c:ptCount val="17"/>
                <c:pt idx="0">
                  <c:v>12.815805599999999</c:v>
                </c:pt>
                <c:pt idx="1">
                  <c:v>12.0457119999999</c:v>
                </c:pt>
                <c:pt idx="2">
                  <c:v>21.1627592</c:v>
                </c:pt>
                <c:pt idx="3">
                  <c:v>14.5804768</c:v>
                </c:pt>
                <c:pt idx="4">
                  <c:v>12.4211408</c:v>
                </c:pt>
                <c:pt idx="5">
                  <c:v>12.41495316</c:v>
                </c:pt>
                <c:pt idx="6">
                  <c:v>43.856735999999998</c:v>
                </c:pt>
                <c:pt idx="7">
                  <c:v>16.958527199999999</c:v>
                </c:pt>
                <c:pt idx="8">
                  <c:v>13.655055599999899</c:v>
                </c:pt>
                <c:pt idx="9">
                  <c:v>22.0529236</c:v>
                </c:pt>
                <c:pt idx="10">
                  <c:v>12.440960799999999</c:v>
                </c:pt>
                <c:pt idx="11">
                  <c:v>9.0430761999999998</c:v>
                </c:pt>
                <c:pt idx="12">
                  <c:v>11.007816999999999</c:v>
                </c:pt>
                <c:pt idx="13">
                  <c:v>20.03069</c:v>
                </c:pt>
                <c:pt idx="14">
                  <c:v>10.664316599999999</c:v>
                </c:pt>
                <c:pt idx="15">
                  <c:v>9.9651312127999994</c:v>
                </c:pt>
                <c:pt idx="16">
                  <c:v>8.4859850784000006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D2-44B1-BD35-59D6EB4253CC}"/>
            </c:ext>
          </c:extLst>
        </c:ser>
        <c:ser>
          <c:idx val="1"/>
          <c:order val="1"/>
          <c:tx>
            <c:strRef>
              <c:f>Spring!$AK$1</c:f>
              <c:strCache>
                <c:ptCount val="1"/>
                <c:pt idx="0">
                  <c:v>Upstream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6946368735601376"/>
                  <c:y val="-0.152001046248410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Spring!$AH$3:$AH$20</c:f>
              <c:numCache>
                <c:formatCode>0.00</c:formatCode>
                <c:ptCount val="18"/>
                <c:pt idx="0">
                  <c:v>51.232999999999997</c:v>
                </c:pt>
                <c:pt idx="1">
                  <c:v>59.16</c:v>
                </c:pt>
                <c:pt idx="2">
                  <c:v>48.47</c:v>
                </c:pt>
                <c:pt idx="3">
                  <c:v>78.709999999999994</c:v>
                </c:pt>
                <c:pt idx="4">
                  <c:v>45.42</c:v>
                </c:pt>
                <c:pt idx="5">
                  <c:v>74.75</c:v>
                </c:pt>
                <c:pt idx="6">
                  <c:v>56.59</c:v>
                </c:pt>
                <c:pt idx="7">
                  <c:v>63.56</c:v>
                </c:pt>
                <c:pt idx="8">
                  <c:v>85.89</c:v>
                </c:pt>
                <c:pt idx="9">
                  <c:v>50.13</c:v>
                </c:pt>
                <c:pt idx="10">
                  <c:v>44.99</c:v>
                </c:pt>
                <c:pt idx="11">
                  <c:v>35.729999999999997</c:v>
                </c:pt>
                <c:pt idx="12">
                  <c:v>31.62</c:v>
                </c:pt>
                <c:pt idx="13">
                  <c:v>25.42</c:v>
                </c:pt>
                <c:pt idx="14">
                  <c:v>68.760000000000005</c:v>
                </c:pt>
                <c:pt idx="15">
                  <c:v>50.92</c:v>
                </c:pt>
                <c:pt idx="16">
                  <c:v>33.08</c:v>
                </c:pt>
                <c:pt idx="17">
                  <c:v>77.489999999999995</c:v>
                </c:pt>
              </c:numCache>
            </c:numRef>
          </c:xVal>
          <c:yVal>
            <c:numRef>
              <c:f>Spring!$AK$3:$AK$20</c:f>
              <c:numCache>
                <c:formatCode>0.000</c:formatCode>
                <c:ptCount val="18"/>
                <c:pt idx="0">
                  <c:v>17.909116588666599</c:v>
                </c:pt>
                <c:pt idx="1">
                  <c:v>12.5026276</c:v>
                </c:pt>
                <c:pt idx="2">
                  <c:v>12.258317999999999</c:v>
                </c:pt>
                <c:pt idx="3">
                  <c:v>25.906272033333298</c:v>
                </c:pt>
                <c:pt idx="4">
                  <c:v>15.555403466666601</c:v>
                </c:pt>
                <c:pt idx="5">
                  <c:v>12.1499004</c:v>
                </c:pt>
                <c:pt idx="6">
                  <c:v>10.979372994666599</c:v>
                </c:pt>
                <c:pt idx="7">
                  <c:v>38.639293733333297</c:v>
                </c:pt>
                <c:pt idx="8">
                  <c:v>21.475960133333299</c:v>
                </c:pt>
                <c:pt idx="9">
                  <c:v>16.170986133333301</c:v>
                </c:pt>
                <c:pt idx="11">
                  <c:v>12.641193039999999</c:v>
                </c:pt>
                <c:pt idx="12">
                  <c:v>10.0303982666666</c:v>
                </c:pt>
                <c:pt idx="14">
                  <c:v>22.228124099999999</c:v>
                </c:pt>
                <c:pt idx="15">
                  <c:v>12.378681706666599</c:v>
                </c:pt>
                <c:pt idx="16">
                  <c:v>9.3933083066666594</c:v>
                </c:pt>
                <c:pt idx="17">
                  <c:v>7.5067932800000001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D2-44B1-BD35-59D6EB425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530095"/>
        <c:axId val="1387521935"/>
      </c:scatterChart>
      <c:valAx>
        <c:axId val="138753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 concentration</a:t>
                </a:r>
                <a:r>
                  <a:rPr lang="en-US" baseline="0"/>
                  <a:t> (uL.L)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21935"/>
        <c:crosses val="autoZero"/>
        <c:crossBetween val="midCat"/>
      </c:valAx>
      <c:valAx>
        <c:axId val="138752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Sonde Turbidity (NTU)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3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LISST vs Sonde Turbidity</a:t>
            </a:r>
            <a:r>
              <a:rPr lang="en-US" sz="1200" baseline="0"/>
              <a:t> - No zeros - Upstream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Spring!$AJ$1</c:f>
              <c:strCache>
                <c:ptCount val="1"/>
                <c:pt idx="0">
                  <c:v>Downstream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981038836943856"/>
                  <c:y val="-0.263071469921319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Spring!$AH$23:$AH$46</c:f>
              <c:numCache>
                <c:formatCode>0.00</c:formatCode>
                <c:ptCount val="24"/>
                <c:pt idx="0">
                  <c:v>73.680000000000007</c:v>
                </c:pt>
                <c:pt idx="1">
                  <c:v>93.48</c:v>
                </c:pt>
                <c:pt idx="2">
                  <c:v>53.79</c:v>
                </c:pt>
                <c:pt idx="3">
                  <c:v>47.58</c:v>
                </c:pt>
                <c:pt idx="4">
                  <c:v>30.72</c:v>
                </c:pt>
                <c:pt idx="5">
                  <c:v>22.36</c:v>
                </c:pt>
                <c:pt idx="6">
                  <c:v>30.83</c:v>
                </c:pt>
                <c:pt idx="7">
                  <c:v>24.91</c:v>
                </c:pt>
                <c:pt idx="8">
                  <c:v>67.13</c:v>
                </c:pt>
                <c:pt idx="9">
                  <c:v>51.68</c:v>
                </c:pt>
                <c:pt idx="10">
                  <c:v>57.56</c:v>
                </c:pt>
                <c:pt idx="11">
                  <c:v>63.54</c:v>
                </c:pt>
                <c:pt idx="12">
                  <c:v>66.59</c:v>
                </c:pt>
                <c:pt idx="13">
                  <c:v>27.12</c:v>
                </c:pt>
                <c:pt idx="14">
                  <c:v>14.59</c:v>
                </c:pt>
                <c:pt idx="15">
                  <c:v>56.02</c:v>
                </c:pt>
                <c:pt idx="16">
                  <c:v>43.66</c:v>
                </c:pt>
                <c:pt idx="17">
                  <c:v>85.5</c:v>
                </c:pt>
                <c:pt idx="18">
                  <c:v>64.14</c:v>
                </c:pt>
                <c:pt idx="19">
                  <c:v>39.619999999999997</c:v>
                </c:pt>
                <c:pt idx="20">
                  <c:v>87.1</c:v>
                </c:pt>
                <c:pt idx="21">
                  <c:v>25.16</c:v>
                </c:pt>
                <c:pt idx="22">
                  <c:v>15.19</c:v>
                </c:pt>
                <c:pt idx="23">
                  <c:v>25.61</c:v>
                </c:pt>
              </c:numCache>
            </c:numRef>
          </c:xVal>
          <c:yVal>
            <c:numRef>
              <c:f>Spring!$AJ$23:$AJ$46</c:f>
              <c:numCache>
                <c:formatCode>0.000</c:formatCode>
                <c:ptCount val="24"/>
                <c:pt idx="0">
                  <c:v>12.815805599999999</c:v>
                </c:pt>
                <c:pt idx="1">
                  <c:v>21.1627592</c:v>
                </c:pt>
                <c:pt idx="2">
                  <c:v>14.5804768</c:v>
                </c:pt>
                <c:pt idx="3">
                  <c:v>12.4211408</c:v>
                </c:pt>
                <c:pt idx="4">
                  <c:v>10.916756999999899</c:v>
                </c:pt>
                <c:pt idx="5">
                  <c:v>11.1057975</c:v>
                </c:pt>
                <c:pt idx="6">
                  <c:v>9.7756285599999995</c:v>
                </c:pt>
                <c:pt idx="7">
                  <c:v>8.6639274400000001</c:v>
                </c:pt>
                <c:pt idx="8">
                  <c:v>10.23910416</c:v>
                </c:pt>
                <c:pt idx="9">
                  <c:v>7.6684761000000004</c:v>
                </c:pt>
                <c:pt idx="10">
                  <c:v>11.663247200000001</c:v>
                </c:pt>
                <c:pt idx="11">
                  <c:v>8.1688235799999998</c:v>
                </c:pt>
                <c:pt idx="12">
                  <c:v>6.6271815599999897</c:v>
                </c:pt>
                <c:pt idx="13">
                  <c:v>13.7088416</c:v>
                </c:pt>
                <c:pt idx="14">
                  <c:v>10.1428473999999</c:v>
                </c:pt>
                <c:pt idx="15">
                  <c:v>6.8345387903999999</c:v>
                </c:pt>
                <c:pt idx="16">
                  <c:v>8.3597602844000001</c:v>
                </c:pt>
                <c:pt idx="17">
                  <c:v>43.856735999999998</c:v>
                </c:pt>
                <c:pt idx="18">
                  <c:v>22.0529236</c:v>
                </c:pt>
                <c:pt idx="19">
                  <c:v>10.11803948328</c:v>
                </c:pt>
                <c:pt idx="20">
                  <c:v>20.03069</c:v>
                </c:pt>
                <c:pt idx="21">
                  <c:v>11.863201948</c:v>
                </c:pt>
                <c:pt idx="22">
                  <c:v>9.9651312127999994</c:v>
                </c:pt>
                <c:pt idx="23">
                  <c:v>7.6637165200000004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57-46A0-AD49-6654C0D289DF}"/>
            </c:ext>
          </c:extLst>
        </c:ser>
        <c:ser>
          <c:idx val="1"/>
          <c:order val="1"/>
          <c:tx>
            <c:strRef>
              <c:f>Spring!$AK$1</c:f>
              <c:strCache>
                <c:ptCount val="1"/>
                <c:pt idx="0">
                  <c:v>Upstream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6946368735601376"/>
                  <c:y val="-0.152001046248410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Spring!$AH$22:$AH$46</c:f>
              <c:numCache>
                <c:formatCode>0.00</c:formatCode>
                <c:ptCount val="25"/>
                <c:pt idx="0">
                  <c:v>65.48</c:v>
                </c:pt>
                <c:pt idx="1">
                  <c:v>73.680000000000007</c:v>
                </c:pt>
                <c:pt idx="2">
                  <c:v>93.48</c:v>
                </c:pt>
                <c:pt idx="3">
                  <c:v>53.79</c:v>
                </c:pt>
                <c:pt idx="4">
                  <c:v>47.58</c:v>
                </c:pt>
                <c:pt idx="5">
                  <c:v>30.72</c:v>
                </c:pt>
                <c:pt idx="6">
                  <c:v>22.36</c:v>
                </c:pt>
                <c:pt idx="7">
                  <c:v>30.83</c:v>
                </c:pt>
                <c:pt idx="8">
                  <c:v>24.91</c:v>
                </c:pt>
                <c:pt idx="9">
                  <c:v>67.13</c:v>
                </c:pt>
                <c:pt idx="10">
                  <c:v>51.68</c:v>
                </c:pt>
                <c:pt idx="11">
                  <c:v>57.56</c:v>
                </c:pt>
                <c:pt idx="12">
                  <c:v>63.54</c:v>
                </c:pt>
                <c:pt idx="13">
                  <c:v>66.59</c:v>
                </c:pt>
                <c:pt idx="14">
                  <c:v>27.12</c:v>
                </c:pt>
                <c:pt idx="15">
                  <c:v>14.59</c:v>
                </c:pt>
                <c:pt idx="16">
                  <c:v>56.02</c:v>
                </c:pt>
                <c:pt idx="17">
                  <c:v>43.66</c:v>
                </c:pt>
                <c:pt idx="18">
                  <c:v>85.5</c:v>
                </c:pt>
                <c:pt idx="19">
                  <c:v>64.14</c:v>
                </c:pt>
                <c:pt idx="20">
                  <c:v>39.619999999999997</c:v>
                </c:pt>
                <c:pt idx="21">
                  <c:v>87.1</c:v>
                </c:pt>
                <c:pt idx="22">
                  <c:v>25.16</c:v>
                </c:pt>
                <c:pt idx="23">
                  <c:v>15.19</c:v>
                </c:pt>
                <c:pt idx="24">
                  <c:v>25.61</c:v>
                </c:pt>
              </c:numCache>
            </c:numRef>
          </c:xVal>
          <c:yVal>
            <c:numRef>
              <c:f>Spring!$AK$22:$AK$46</c:f>
              <c:numCache>
                <c:formatCode>0.000</c:formatCode>
                <c:ptCount val="25"/>
                <c:pt idx="0">
                  <c:v>17.909116588666599</c:v>
                </c:pt>
                <c:pt idx="1">
                  <c:v>12.5026276</c:v>
                </c:pt>
                <c:pt idx="2">
                  <c:v>25.906272033333298</c:v>
                </c:pt>
                <c:pt idx="3">
                  <c:v>15.555403466666601</c:v>
                </c:pt>
                <c:pt idx="4">
                  <c:v>12.1499004</c:v>
                </c:pt>
                <c:pt idx="5">
                  <c:v>11.5306084666666</c:v>
                </c:pt>
                <c:pt idx="6">
                  <c:v>11.7061532666666</c:v>
                </c:pt>
                <c:pt idx="7">
                  <c:v>10.3695922</c:v>
                </c:pt>
                <c:pt idx="8">
                  <c:v>10.587694328</c:v>
                </c:pt>
                <c:pt idx="9">
                  <c:v>11.028182213333301</c:v>
                </c:pt>
                <c:pt idx="10">
                  <c:v>7.7667874933333296</c:v>
                </c:pt>
                <c:pt idx="11">
                  <c:v>9.6661808800000006</c:v>
                </c:pt>
                <c:pt idx="12">
                  <c:v>9.1230036933333292</c:v>
                </c:pt>
                <c:pt idx="13">
                  <c:v>8.16305281333333</c:v>
                </c:pt>
                <c:pt idx="14">
                  <c:v>12.273739984000001</c:v>
                </c:pt>
                <c:pt idx="15">
                  <c:v>9.9380790066666602</c:v>
                </c:pt>
                <c:pt idx="16">
                  <c:v>8.0249351333333294</c:v>
                </c:pt>
                <c:pt idx="17">
                  <c:v>8.7500032893333302</c:v>
                </c:pt>
                <c:pt idx="18">
                  <c:v>38.639293733333297</c:v>
                </c:pt>
                <c:pt idx="20">
                  <c:v>9.8354738279999996</c:v>
                </c:pt>
                <c:pt idx="21">
                  <c:v>22.228124099999999</c:v>
                </c:pt>
                <c:pt idx="22">
                  <c:v>13.3637106666666</c:v>
                </c:pt>
                <c:pt idx="23">
                  <c:v>9.3933083066666594</c:v>
                </c:pt>
                <c:pt idx="24">
                  <c:v>6.5764189999999996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57-46A0-AD49-6654C0D28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530095"/>
        <c:axId val="1387521935"/>
      </c:scatterChart>
      <c:valAx>
        <c:axId val="138753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 concentration</a:t>
                </a:r>
                <a:r>
                  <a:rPr lang="en-US" baseline="0"/>
                  <a:t> (uL.L)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21935"/>
        <c:crosses val="autoZero"/>
        <c:crossBetween val="midCat"/>
      </c:valAx>
      <c:valAx>
        <c:axId val="138752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Sonde Turbidity (NTU)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3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LISST vs Sonde Turbidity</a:t>
            </a:r>
            <a:r>
              <a:rPr lang="en-US" sz="1200" baseline="0"/>
              <a:t> - No zeros - Downstream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Spring!$AJ$1</c:f>
              <c:strCache>
                <c:ptCount val="1"/>
                <c:pt idx="0">
                  <c:v>Downstream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651253588849099"/>
                  <c:y val="-3.5438162662990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Spring!$AG$4:$AG$20</c:f>
              <c:numCache>
                <c:formatCode>0.00</c:formatCode>
                <c:ptCount val="17"/>
                <c:pt idx="0">
                  <c:v>8.9473684210526692</c:v>
                </c:pt>
                <c:pt idx="1">
                  <c:v>9.4999999999999254</c:v>
                </c:pt>
                <c:pt idx="2">
                  <c:v>23.000000000000103</c:v>
                </c:pt>
                <c:pt idx="3">
                  <c:v>15.000000000000014</c:v>
                </c:pt>
                <c:pt idx="4">
                  <c:v>9.0909090909090988</c:v>
                </c:pt>
                <c:pt idx="5">
                  <c:v>4.3750000000000382</c:v>
                </c:pt>
                <c:pt idx="6">
                  <c:v>41.999999999999993</c:v>
                </c:pt>
                <c:pt idx="7">
                  <c:v>17.419354838709729</c:v>
                </c:pt>
                <c:pt idx="8">
                  <c:v>6.000000000000079</c:v>
                </c:pt>
                <c:pt idx="9">
                  <c:v>22.142857142857082</c:v>
                </c:pt>
                <c:pt idx="10">
                  <c:v>10.000000000000009</c:v>
                </c:pt>
                <c:pt idx="11">
                  <c:v>6.4285714285713151</c:v>
                </c:pt>
                <c:pt idx="12">
                  <c:v>18.000000000000053</c:v>
                </c:pt>
                <c:pt idx="13">
                  <c:v>20.666666666666611</c:v>
                </c:pt>
                <c:pt idx="14">
                  <c:v>11.87500000000008</c:v>
                </c:pt>
                <c:pt idx="15">
                  <c:v>9.3333333333334156</c:v>
                </c:pt>
                <c:pt idx="16">
                  <c:v>7.1428571428571495</c:v>
                </c:pt>
              </c:numCache>
            </c:numRef>
          </c:xVal>
          <c:yVal>
            <c:numRef>
              <c:f>Spring!$AJ$4:$AJ$20</c:f>
              <c:numCache>
                <c:formatCode>0.000</c:formatCode>
                <c:ptCount val="17"/>
                <c:pt idx="0">
                  <c:v>12.815805599999999</c:v>
                </c:pt>
                <c:pt idx="1">
                  <c:v>12.0457119999999</c:v>
                </c:pt>
                <c:pt idx="2">
                  <c:v>21.1627592</c:v>
                </c:pt>
                <c:pt idx="3">
                  <c:v>14.5804768</c:v>
                </c:pt>
                <c:pt idx="4">
                  <c:v>12.4211408</c:v>
                </c:pt>
                <c:pt idx="5">
                  <c:v>12.41495316</c:v>
                </c:pt>
                <c:pt idx="6">
                  <c:v>43.856735999999998</c:v>
                </c:pt>
                <c:pt idx="7">
                  <c:v>16.958527199999999</c:v>
                </c:pt>
                <c:pt idx="8">
                  <c:v>13.655055599999899</c:v>
                </c:pt>
                <c:pt idx="9">
                  <c:v>22.0529236</c:v>
                </c:pt>
                <c:pt idx="10">
                  <c:v>12.440960799999999</c:v>
                </c:pt>
                <c:pt idx="11">
                  <c:v>9.0430761999999998</c:v>
                </c:pt>
                <c:pt idx="12">
                  <c:v>11.007816999999999</c:v>
                </c:pt>
                <c:pt idx="13">
                  <c:v>20.03069</c:v>
                </c:pt>
                <c:pt idx="14">
                  <c:v>10.664316599999999</c:v>
                </c:pt>
                <c:pt idx="15">
                  <c:v>9.9651312127999994</c:v>
                </c:pt>
                <c:pt idx="16">
                  <c:v>8.4859850784000006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4E-49DC-9798-691B3A8CC3B1}"/>
            </c:ext>
          </c:extLst>
        </c:ser>
        <c:ser>
          <c:idx val="1"/>
          <c:order val="1"/>
          <c:tx>
            <c:strRef>
              <c:f>Spring!$AK$1</c:f>
              <c:strCache>
                <c:ptCount val="1"/>
                <c:pt idx="0">
                  <c:v>Upstream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17377844066436"/>
                  <c:y val="-3.9304855368427045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Spring!$AG$3:$AG$20</c:f>
              <c:numCache>
                <c:formatCode>0.00</c:formatCode>
                <c:ptCount val="18"/>
                <c:pt idx="0">
                  <c:v>15.000000000000014</c:v>
                </c:pt>
                <c:pt idx="1">
                  <c:v>8.9473684210526692</c:v>
                </c:pt>
                <c:pt idx="2">
                  <c:v>9.4999999999999254</c:v>
                </c:pt>
                <c:pt idx="3">
                  <c:v>23.000000000000103</c:v>
                </c:pt>
                <c:pt idx="4">
                  <c:v>15.000000000000014</c:v>
                </c:pt>
                <c:pt idx="5">
                  <c:v>9.0909090909090988</c:v>
                </c:pt>
                <c:pt idx="6">
                  <c:v>4.3750000000000382</c:v>
                </c:pt>
                <c:pt idx="7">
                  <c:v>41.999999999999993</c:v>
                </c:pt>
                <c:pt idx="8">
                  <c:v>17.419354838709729</c:v>
                </c:pt>
                <c:pt idx="9">
                  <c:v>6.000000000000079</c:v>
                </c:pt>
                <c:pt idx="10">
                  <c:v>22.142857142857082</c:v>
                </c:pt>
                <c:pt idx="11">
                  <c:v>10.000000000000009</c:v>
                </c:pt>
                <c:pt idx="12">
                  <c:v>6.4285714285713151</c:v>
                </c:pt>
                <c:pt idx="13">
                  <c:v>18.000000000000053</c:v>
                </c:pt>
                <c:pt idx="14">
                  <c:v>20.666666666666611</c:v>
                </c:pt>
                <c:pt idx="15">
                  <c:v>11.87500000000008</c:v>
                </c:pt>
                <c:pt idx="16">
                  <c:v>9.3333333333334156</c:v>
                </c:pt>
                <c:pt idx="17">
                  <c:v>7.1428571428571495</c:v>
                </c:pt>
              </c:numCache>
            </c:numRef>
          </c:xVal>
          <c:yVal>
            <c:numRef>
              <c:f>Spring!$AK$3:$AK$20</c:f>
              <c:numCache>
                <c:formatCode>0.000</c:formatCode>
                <c:ptCount val="18"/>
                <c:pt idx="0">
                  <c:v>17.909116588666599</c:v>
                </c:pt>
                <c:pt idx="1">
                  <c:v>12.5026276</c:v>
                </c:pt>
                <c:pt idx="2">
                  <c:v>12.258317999999999</c:v>
                </c:pt>
                <c:pt idx="3">
                  <c:v>25.906272033333298</c:v>
                </c:pt>
                <c:pt idx="4">
                  <c:v>15.555403466666601</c:v>
                </c:pt>
                <c:pt idx="5">
                  <c:v>12.1499004</c:v>
                </c:pt>
                <c:pt idx="6">
                  <c:v>10.979372994666599</c:v>
                </c:pt>
                <c:pt idx="7">
                  <c:v>38.639293733333297</c:v>
                </c:pt>
                <c:pt idx="8">
                  <c:v>21.475960133333299</c:v>
                </c:pt>
                <c:pt idx="9">
                  <c:v>16.170986133333301</c:v>
                </c:pt>
                <c:pt idx="11">
                  <c:v>12.641193039999999</c:v>
                </c:pt>
                <c:pt idx="12">
                  <c:v>10.0303982666666</c:v>
                </c:pt>
                <c:pt idx="14">
                  <c:v>22.228124099999999</c:v>
                </c:pt>
                <c:pt idx="15">
                  <c:v>12.378681706666599</c:v>
                </c:pt>
                <c:pt idx="16">
                  <c:v>9.3933083066666594</c:v>
                </c:pt>
                <c:pt idx="17">
                  <c:v>7.5067932800000001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4E-49DC-9798-691B3A8CC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530095"/>
        <c:axId val="1387521935"/>
      </c:scatterChart>
      <c:valAx>
        <c:axId val="138753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concentration</a:t>
                </a:r>
                <a:r>
                  <a:rPr lang="en-US" baseline="0"/>
                  <a:t> (mg.L)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21935"/>
        <c:crosses val="autoZero"/>
        <c:crossBetween val="midCat"/>
      </c:valAx>
      <c:valAx>
        <c:axId val="138752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Sonde Turbidity (NTU)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3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LISST vs Sonde Turbidity</a:t>
            </a:r>
            <a:r>
              <a:rPr lang="en-US" sz="1200" baseline="0"/>
              <a:t> - No zeros - Upstream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Spring!$AJ$1</c:f>
              <c:strCache>
                <c:ptCount val="1"/>
                <c:pt idx="0">
                  <c:v>Downstream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471705976784386"/>
                  <c:y val="-1.50926790531889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Spring!$AG$23:$AG$46</c:f>
              <c:numCache>
                <c:formatCode>0.00</c:formatCode>
                <c:ptCount val="24"/>
                <c:pt idx="0">
                  <c:v>6.3157894736842453</c:v>
                </c:pt>
                <c:pt idx="1">
                  <c:v>21.499999999999993</c:v>
                </c:pt>
                <c:pt idx="2">
                  <c:v>11.05263157894732</c:v>
                </c:pt>
                <c:pt idx="3">
                  <c:v>17.999999999999961</c:v>
                </c:pt>
                <c:pt idx="4">
                  <c:v>6.4999999999999778</c:v>
                </c:pt>
                <c:pt idx="5">
                  <c:v>5.9999999999998943</c:v>
                </c:pt>
                <c:pt idx="6">
                  <c:v>8.888888888888836</c:v>
                </c:pt>
                <c:pt idx="7">
                  <c:v>4.6666666666667078</c:v>
                </c:pt>
                <c:pt idx="8">
                  <c:v>17.857142857142676</c:v>
                </c:pt>
                <c:pt idx="9">
                  <c:v>6.6666666666666723</c:v>
                </c:pt>
                <c:pt idx="10">
                  <c:v>5.3333333333334858</c:v>
                </c:pt>
                <c:pt idx="11">
                  <c:v>8.0000000000000444</c:v>
                </c:pt>
                <c:pt idx="12">
                  <c:v>8.6666666666666377</c:v>
                </c:pt>
                <c:pt idx="13">
                  <c:v>15.000000000000083</c:v>
                </c:pt>
                <c:pt idx="14">
                  <c:v>7.1428571428571495</c:v>
                </c:pt>
                <c:pt idx="15">
                  <c:v>6.6666666666666723</c:v>
                </c:pt>
                <c:pt idx="16">
                  <c:v>12.666666666666751</c:v>
                </c:pt>
                <c:pt idx="17">
                  <c:v>45.000000000000007</c:v>
                </c:pt>
                <c:pt idx="18">
                  <c:v>20.000000000000018</c:v>
                </c:pt>
                <c:pt idx="19">
                  <c:v>10.666666666666602</c:v>
                </c:pt>
                <c:pt idx="20">
                  <c:v>24.374999999999918</c:v>
                </c:pt>
                <c:pt idx="21">
                  <c:v>0.71428571428583387</c:v>
                </c:pt>
                <c:pt idx="22">
                  <c:v>5.7142857142856798</c:v>
                </c:pt>
                <c:pt idx="23">
                  <c:v>0.66666666666677832</c:v>
                </c:pt>
              </c:numCache>
            </c:numRef>
          </c:xVal>
          <c:yVal>
            <c:numRef>
              <c:f>Spring!$AJ$23:$AJ$46</c:f>
              <c:numCache>
                <c:formatCode>0.000</c:formatCode>
                <c:ptCount val="24"/>
                <c:pt idx="0">
                  <c:v>12.815805599999999</c:v>
                </c:pt>
                <c:pt idx="1">
                  <c:v>21.1627592</c:v>
                </c:pt>
                <c:pt idx="2">
                  <c:v>14.5804768</c:v>
                </c:pt>
                <c:pt idx="3">
                  <c:v>12.4211408</c:v>
                </c:pt>
                <c:pt idx="4">
                  <c:v>10.916756999999899</c:v>
                </c:pt>
                <c:pt idx="5">
                  <c:v>11.1057975</c:v>
                </c:pt>
                <c:pt idx="6">
                  <c:v>9.7756285599999995</c:v>
                </c:pt>
                <c:pt idx="7">
                  <c:v>8.6639274400000001</c:v>
                </c:pt>
                <c:pt idx="8">
                  <c:v>10.23910416</c:v>
                </c:pt>
                <c:pt idx="9">
                  <c:v>7.6684761000000004</c:v>
                </c:pt>
                <c:pt idx="10">
                  <c:v>11.663247200000001</c:v>
                </c:pt>
                <c:pt idx="11">
                  <c:v>8.1688235799999998</c:v>
                </c:pt>
                <c:pt idx="12">
                  <c:v>6.6271815599999897</c:v>
                </c:pt>
                <c:pt idx="13">
                  <c:v>13.7088416</c:v>
                </c:pt>
                <c:pt idx="14">
                  <c:v>10.1428473999999</c:v>
                </c:pt>
                <c:pt idx="15">
                  <c:v>6.8345387903999999</c:v>
                </c:pt>
                <c:pt idx="16">
                  <c:v>8.3597602844000001</c:v>
                </c:pt>
                <c:pt idx="17">
                  <c:v>43.856735999999998</c:v>
                </c:pt>
                <c:pt idx="18">
                  <c:v>22.0529236</c:v>
                </c:pt>
                <c:pt idx="19">
                  <c:v>10.11803948328</c:v>
                </c:pt>
                <c:pt idx="20">
                  <c:v>20.03069</c:v>
                </c:pt>
                <c:pt idx="21">
                  <c:v>11.863201948</c:v>
                </c:pt>
                <c:pt idx="22">
                  <c:v>9.9651312127999994</c:v>
                </c:pt>
                <c:pt idx="23">
                  <c:v>7.6637165200000004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A4-49E5-924E-13FA702C80AA}"/>
            </c:ext>
          </c:extLst>
        </c:ser>
        <c:ser>
          <c:idx val="1"/>
          <c:order val="1"/>
          <c:tx>
            <c:strRef>
              <c:f>Spring!$AK$1</c:f>
              <c:strCache>
                <c:ptCount val="1"/>
                <c:pt idx="0">
                  <c:v>Upstream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075311805384043"/>
                  <c:y val="-3.0537786825244502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Spring!$AG$22:$AG$46</c:f>
              <c:numCache>
                <c:formatCode>0.00</c:formatCode>
                <c:ptCount val="25"/>
                <c:pt idx="0">
                  <c:v>0.49999999999994493</c:v>
                </c:pt>
                <c:pt idx="1">
                  <c:v>6.3157894736842453</c:v>
                </c:pt>
                <c:pt idx="2">
                  <c:v>21.499999999999993</c:v>
                </c:pt>
                <c:pt idx="3">
                  <c:v>11.05263157894732</c:v>
                </c:pt>
                <c:pt idx="4">
                  <c:v>17.999999999999961</c:v>
                </c:pt>
                <c:pt idx="5">
                  <c:v>6.4999999999999778</c:v>
                </c:pt>
                <c:pt idx="6">
                  <c:v>5.9999999999998943</c:v>
                </c:pt>
                <c:pt idx="7">
                  <c:v>8.888888888888836</c:v>
                </c:pt>
                <c:pt idx="8">
                  <c:v>4.6666666666667078</c:v>
                </c:pt>
                <c:pt idx="9">
                  <c:v>17.857142857142676</c:v>
                </c:pt>
                <c:pt idx="10">
                  <c:v>6.6666666666666723</c:v>
                </c:pt>
                <c:pt idx="11">
                  <c:v>5.3333333333334858</c:v>
                </c:pt>
                <c:pt idx="12">
                  <c:v>8.0000000000000444</c:v>
                </c:pt>
                <c:pt idx="13">
                  <c:v>8.6666666666666377</c:v>
                </c:pt>
                <c:pt idx="14">
                  <c:v>15.000000000000083</c:v>
                </c:pt>
                <c:pt idx="15">
                  <c:v>7.1428571428571495</c:v>
                </c:pt>
                <c:pt idx="16">
                  <c:v>6.6666666666666723</c:v>
                </c:pt>
                <c:pt idx="17">
                  <c:v>12.666666666666751</c:v>
                </c:pt>
                <c:pt idx="18">
                  <c:v>45.000000000000007</c:v>
                </c:pt>
                <c:pt idx="19">
                  <c:v>20.000000000000018</c:v>
                </c:pt>
                <c:pt idx="20">
                  <c:v>10.666666666666602</c:v>
                </c:pt>
                <c:pt idx="21">
                  <c:v>24.374999999999918</c:v>
                </c:pt>
                <c:pt idx="22">
                  <c:v>0.71428571428583387</c:v>
                </c:pt>
                <c:pt idx="23">
                  <c:v>5.7142857142856798</c:v>
                </c:pt>
                <c:pt idx="24">
                  <c:v>0.66666666666677832</c:v>
                </c:pt>
              </c:numCache>
            </c:numRef>
          </c:xVal>
          <c:yVal>
            <c:numRef>
              <c:f>Spring!$AK$22:$AK$46</c:f>
              <c:numCache>
                <c:formatCode>0.000</c:formatCode>
                <c:ptCount val="25"/>
                <c:pt idx="0">
                  <c:v>17.909116588666599</c:v>
                </c:pt>
                <c:pt idx="1">
                  <c:v>12.5026276</c:v>
                </c:pt>
                <c:pt idx="2">
                  <c:v>25.906272033333298</c:v>
                </c:pt>
                <c:pt idx="3">
                  <c:v>15.555403466666601</c:v>
                </c:pt>
                <c:pt idx="4">
                  <c:v>12.1499004</c:v>
                </c:pt>
                <c:pt idx="5">
                  <c:v>11.5306084666666</c:v>
                </c:pt>
                <c:pt idx="6">
                  <c:v>11.7061532666666</c:v>
                </c:pt>
                <c:pt idx="7">
                  <c:v>10.3695922</c:v>
                </c:pt>
                <c:pt idx="8">
                  <c:v>10.587694328</c:v>
                </c:pt>
                <c:pt idx="9">
                  <c:v>11.028182213333301</c:v>
                </c:pt>
                <c:pt idx="10">
                  <c:v>7.7667874933333296</c:v>
                </c:pt>
                <c:pt idx="11">
                  <c:v>9.6661808800000006</c:v>
                </c:pt>
                <c:pt idx="12">
                  <c:v>9.1230036933333292</c:v>
                </c:pt>
                <c:pt idx="13">
                  <c:v>8.16305281333333</c:v>
                </c:pt>
                <c:pt idx="14">
                  <c:v>12.273739984000001</c:v>
                </c:pt>
                <c:pt idx="15">
                  <c:v>9.9380790066666602</c:v>
                </c:pt>
                <c:pt idx="16">
                  <c:v>8.0249351333333294</c:v>
                </c:pt>
                <c:pt idx="17">
                  <c:v>8.7500032893333302</c:v>
                </c:pt>
                <c:pt idx="18">
                  <c:v>38.639293733333297</c:v>
                </c:pt>
                <c:pt idx="20">
                  <c:v>9.8354738279999996</c:v>
                </c:pt>
                <c:pt idx="21">
                  <c:v>22.228124099999999</c:v>
                </c:pt>
                <c:pt idx="22">
                  <c:v>13.3637106666666</c:v>
                </c:pt>
                <c:pt idx="23">
                  <c:v>9.3933083066666594</c:v>
                </c:pt>
                <c:pt idx="24">
                  <c:v>6.5764189999999996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A4-49E5-924E-13FA702C8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530095"/>
        <c:axId val="1387521935"/>
      </c:scatterChart>
      <c:valAx>
        <c:axId val="138753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 concentration</a:t>
                </a:r>
                <a:r>
                  <a:rPr lang="en-US" baseline="0"/>
                  <a:t> (uL.L)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21935"/>
        <c:crosses val="autoZero"/>
        <c:crossBetween val="midCat"/>
      </c:valAx>
      <c:valAx>
        <c:axId val="138752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Sonde Turbidity (NTU)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3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vs Sonde</a:t>
            </a:r>
            <a:r>
              <a:rPr lang="en-US" baseline="0"/>
              <a:t> Turbidity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Spring!$O$1</c:f>
              <c:strCache>
                <c:ptCount val="1"/>
                <c:pt idx="0">
                  <c:v>Downstream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1481207342379586"/>
                  <c:y val="-2.1690902077275365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Spring!$I$2:$I$167</c:f>
              <c:numCache>
                <c:formatCode>0.00</c:formatCode>
                <c:ptCount val="166"/>
                <c:pt idx="12" formatCode="0.00000">
                  <c:v>1.3945106373630132</c:v>
                </c:pt>
                <c:pt idx="65" formatCode="0.00000">
                  <c:v>2.2897902812448567</c:v>
                </c:pt>
                <c:pt idx="72" formatCode="0.00000">
                  <c:v>3.1546349152673332</c:v>
                </c:pt>
                <c:pt idx="74" formatCode="0.00000">
                  <c:v>2.2311544928160623</c:v>
                </c:pt>
                <c:pt idx="90" formatCode="0.00000">
                  <c:v>1.5765099664454998</c:v>
                </c:pt>
                <c:pt idx="103" formatCode="0.00000">
                  <c:v>1.065221454930475</c:v>
                </c:pt>
                <c:pt idx="113" formatCode="0.00000">
                  <c:v>1.2632195191816917</c:v>
                </c:pt>
                <c:pt idx="114" formatCode="0.00000">
                  <c:v>1.6271141897455623</c:v>
                </c:pt>
                <c:pt idx="115" formatCode="0.00000">
                  <c:v>1.637056086651107</c:v>
                </c:pt>
                <c:pt idx="158" formatCode="0.00000">
                  <c:v>2.2917188381886424</c:v>
                </c:pt>
                <c:pt idx="159" formatCode="0.00000">
                  <c:v>1.6907657585107856</c:v>
                </c:pt>
                <c:pt idx="163" formatCode="0.00000">
                  <c:v>1.3564826527265335</c:v>
                </c:pt>
                <c:pt idx="165" formatCode="0.00000">
                  <c:v>1.7097837435932666</c:v>
                </c:pt>
              </c:numCache>
            </c:numRef>
          </c:xVal>
          <c:yVal>
            <c:numRef>
              <c:f>Spring!$O$2:$O$167</c:f>
              <c:numCache>
                <c:formatCode>0.000</c:formatCode>
                <c:ptCount val="166"/>
                <c:pt idx="0">
                  <c:v>6.3695391092076497</c:v>
                </c:pt>
                <c:pt idx="1">
                  <c:v>6.3686278197342103</c:v>
                </c:pt>
                <c:pt idx="2">
                  <c:v>6.3677165302607701</c:v>
                </c:pt>
                <c:pt idx="3">
                  <c:v>6.3668052407873201</c:v>
                </c:pt>
                <c:pt idx="4">
                  <c:v>6.3640713723669897</c:v>
                </c:pt>
                <c:pt idx="5">
                  <c:v>6.3631600828935397</c:v>
                </c:pt>
                <c:pt idx="6">
                  <c:v>6.3613375039466602</c:v>
                </c:pt>
                <c:pt idx="7">
                  <c:v>6.3604262144732102</c:v>
                </c:pt>
                <c:pt idx="8">
                  <c:v>6.35951492499977</c:v>
                </c:pt>
                <c:pt idx="9">
                  <c:v>5.28249032</c:v>
                </c:pt>
                <c:pt idx="12">
                  <c:v>12.815805599999999</c:v>
                </c:pt>
                <c:pt idx="13">
                  <c:v>12.0457119999999</c:v>
                </c:pt>
                <c:pt idx="14">
                  <c:v>10.67219704</c:v>
                </c:pt>
                <c:pt idx="15">
                  <c:v>12.4510858</c:v>
                </c:pt>
                <c:pt idx="16">
                  <c:v>21.1627592</c:v>
                </c:pt>
                <c:pt idx="17">
                  <c:v>14.5804768</c:v>
                </c:pt>
                <c:pt idx="18">
                  <c:v>12.4211408</c:v>
                </c:pt>
                <c:pt idx="19">
                  <c:v>10.916756999999899</c:v>
                </c:pt>
                <c:pt idx="20">
                  <c:v>12.41495316</c:v>
                </c:pt>
                <c:pt idx="21">
                  <c:v>10.38733716</c:v>
                </c:pt>
                <c:pt idx="22">
                  <c:v>9.4103997199999991</c:v>
                </c:pt>
                <c:pt idx="23">
                  <c:v>8.6639274400000001</c:v>
                </c:pt>
                <c:pt idx="24">
                  <c:v>8.1745655151999994</c:v>
                </c:pt>
                <c:pt idx="25">
                  <c:v>8.8986113000000007</c:v>
                </c:pt>
                <c:pt idx="26">
                  <c:v>8.95110431999999</c:v>
                </c:pt>
                <c:pt idx="27">
                  <c:v>9.3171799199999992</c:v>
                </c:pt>
                <c:pt idx="28">
                  <c:v>9.2401945999999899</c:v>
                </c:pt>
                <c:pt idx="29">
                  <c:v>6.6271815599999897</c:v>
                </c:pt>
                <c:pt idx="30">
                  <c:v>6.83403183999999</c:v>
                </c:pt>
                <c:pt idx="31">
                  <c:v>8.1550506400000007</c:v>
                </c:pt>
                <c:pt idx="32">
                  <c:v>13.7088416</c:v>
                </c:pt>
                <c:pt idx="33">
                  <c:v>10.1428473999999</c:v>
                </c:pt>
                <c:pt idx="34">
                  <c:v>8.9488770800000008</c:v>
                </c:pt>
                <c:pt idx="35">
                  <c:v>8.6484638799999995</c:v>
                </c:pt>
                <c:pt idx="36">
                  <c:v>9.1187322399999999</c:v>
                </c:pt>
                <c:pt idx="37">
                  <c:v>8.1289062039999997</c:v>
                </c:pt>
                <c:pt idx="38">
                  <c:v>7.2309412399999999</c:v>
                </c:pt>
                <c:pt idx="39">
                  <c:v>6.1800801999999999</c:v>
                </c:pt>
                <c:pt idx="40">
                  <c:v>7.1972571599999897</c:v>
                </c:pt>
                <c:pt idx="41">
                  <c:v>7.6360871199999902</c:v>
                </c:pt>
                <c:pt idx="42">
                  <c:v>6.68355736</c:v>
                </c:pt>
                <c:pt idx="43">
                  <c:v>6.0356489199999999</c:v>
                </c:pt>
                <c:pt idx="44">
                  <c:v>7.2851257199999999</c:v>
                </c:pt>
                <c:pt idx="45">
                  <c:v>8.6648960400000004</c:v>
                </c:pt>
                <c:pt idx="46">
                  <c:v>10.076955359999999</c:v>
                </c:pt>
                <c:pt idx="47">
                  <c:v>7.5388328024</c:v>
                </c:pt>
                <c:pt idx="48">
                  <c:v>8.1453577599999996</c:v>
                </c:pt>
                <c:pt idx="49">
                  <c:v>7.4115104000000001</c:v>
                </c:pt>
                <c:pt idx="50">
                  <c:v>6.8345387903999999</c:v>
                </c:pt>
                <c:pt idx="51">
                  <c:v>7.9445271199999903</c:v>
                </c:pt>
                <c:pt idx="52">
                  <c:v>7.4290512799999897</c:v>
                </c:pt>
                <c:pt idx="53">
                  <c:v>5.25875556</c:v>
                </c:pt>
                <c:pt idx="54">
                  <c:v>6.4666904799999898</c:v>
                </c:pt>
                <c:pt idx="55">
                  <c:v>14.551988908</c:v>
                </c:pt>
                <c:pt idx="56">
                  <c:v>8.8853135287999994</c:v>
                </c:pt>
                <c:pt idx="57">
                  <c:v>11.209641884</c:v>
                </c:pt>
                <c:pt idx="58">
                  <c:v>10.423064119999999</c:v>
                </c:pt>
                <c:pt idx="59">
                  <c:v>8.3597602844000001</c:v>
                </c:pt>
                <c:pt idx="60">
                  <c:v>43.856735999999998</c:v>
                </c:pt>
                <c:pt idx="61">
                  <c:v>16.958527199999999</c:v>
                </c:pt>
                <c:pt idx="62">
                  <c:v>12.384886399999999</c:v>
                </c:pt>
                <c:pt idx="63">
                  <c:v>11.245605614480001</c:v>
                </c:pt>
                <c:pt idx="64">
                  <c:v>13.655055599999899</c:v>
                </c:pt>
                <c:pt idx="65">
                  <c:v>22.0529236</c:v>
                </c:pt>
                <c:pt idx="66">
                  <c:v>12.440960799999999</c:v>
                </c:pt>
                <c:pt idx="67">
                  <c:v>9.0430761999999998</c:v>
                </c:pt>
                <c:pt idx="68">
                  <c:v>11.007816999999999</c:v>
                </c:pt>
                <c:pt idx="69">
                  <c:v>9.7772273199999997</c:v>
                </c:pt>
                <c:pt idx="70">
                  <c:v>8.0378636399999994</c:v>
                </c:pt>
                <c:pt idx="71">
                  <c:v>10.11803948328</c:v>
                </c:pt>
                <c:pt idx="72">
                  <c:v>20.03069</c:v>
                </c:pt>
                <c:pt idx="73">
                  <c:v>14.313794400000001</c:v>
                </c:pt>
                <c:pt idx="74">
                  <c:v>10.664316599999999</c:v>
                </c:pt>
                <c:pt idx="75">
                  <c:v>8.5506115000000005</c:v>
                </c:pt>
                <c:pt idx="76">
                  <c:v>9.0879493359999994</c:v>
                </c:pt>
                <c:pt idx="77">
                  <c:v>8.8480133999999993</c:v>
                </c:pt>
                <c:pt idx="78">
                  <c:v>10.664316599999999</c:v>
                </c:pt>
                <c:pt idx="79">
                  <c:v>15.2589617119999</c:v>
                </c:pt>
                <c:pt idx="80">
                  <c:v>9.9651312127999994</c:v>
                </c:pt>
                <c:pt idx="81">
                  <c:v>8.4859850784000006</c:v>
                </c:pt>
                <c:pt idx="84">
                  <c:v>12.815805599999999</c:v>
                </c:pt>
                <c:pt idx="85">
                  <c:v>12.0457119999999</c:v>
                </c:pt>
                <c:pt idx="86">
                  <c:v>10.67219704</c:v>
                </c:pt>
                <c:pt idx="87">
                  <c:v>12.4510858</c:v>
                </c:pt>
                <c:pt idx="88">
                  <c:v>21.1627592</c:v>
                </c:pt>
                <c:pt idx="89">
                  <c:v>14.5804768</c:v>
                </c:pt>
                <c:pt idx="90">
                  <c:v>12.4211408</c:v>
                </c:pt>
                <c:pt idx="91">
                  <c:v>10.916756999999899</c:v>
                </c:pt>
                <c:pt idx="92">
                  <c:v>12.41495316</c:v>
                </c:pt>
                <c:pt idx="93">
                  <c:v>14.767932800000001</c:v>
                </c:pt>
                <c:pt idx="94">
                  <c:v>11.1057975</c:v>
                </c:pt>
                <c:pt idx="95">
                  <c:v>9.7756285599999995</c:v>
                </c:pt>
                <c:pt idx="96">
                  <c:v>10.018984959999999</c:v>
                </c:pt>
                <c:pt idx="97">
                  <c:v>9.4103997199999991</c:v>
                </c:pt>
                <c:pt idx="98">
                  <c:v>8.6639274400000001</c:v>
                </c:pt>
                <c:pt idx="99">
                  <c:v>8.8986113000000007</c:v>
                </c:pt>
                <c:pt idx="100">
                  <c:v>8.95110431999999</c:v>
                </c:pt>
                <c:pt idx="101">
                  <c:v>10.23910416</c:v>
                </c:pt>
                <c:pt idx="102">
                  <c:v>7.9644718799999996</c:v>
                </c:pt>
                <c:pt idx="103">
                  <c:v>7.6684761000000004</c:v>
                </c:pt>
                <c:pt idx="104">
                  <c:v>7.1552944799999896</c:v>
                </c:pt>
                <c:pt idx="105">
                  <c:v>11.663247200000001</c:v>
                </c:pt>
                <c:pt idx="106">
                  <c:v>8.1688235799999998</c:v>
                </c:pt>
                <c:pt idx="107">
                  <c:v>7.2320616399999897</c:v>
                </c:pt>
                <c:pt idx="108">
                  <c:v>7.1852926031999997</c:v>
                </c:pt>
                <c:pt idx="109">
                  <c:v>9.3171799199999992</c:v>
                </c:pt>
                <c:pt idx="110">
                  <c:v>9.2401945999999899</c:v>
                </c:pt>
                <c:pt idx="111">
                  <c:v>6.6271815599999897</c:v>
                </c:pt>
                <c:pt idx="112">
                  <c:v>6.83403183999999</c:v>
                </c:pt>
                <c:pt idx="113">
                  <c:v>8.1550506400000007</c:v>
                </c:pt>
                <c:pt idx="114">
                  <c:v>13.7088416</c:v>
                </c:pt>
                <c:pt idx="115">
                  <c:v>10.1428473999999</c:v>
                </c:pt>
                <c:pt idx="116">
                  <c:v>8.9488770800000008</c:v>
                </c:pt>
                <c:pt idx="117">
                  <c:v>9.1187322399999999</c:v>
                </c:pt>
                <c:pt idx="118">
                  <c:v>8.1289062039999997</c:v>
                </c:pt>
                <c:pt idx="119">
                  <c:v>6.5828858800000001</c:v>
                </c:pt>
                <c:pt idx="120">
                  <c:v>7.6360871199999902</c:v>
                </c:pt>
                <c:pt idx="121">
                  <c:v>6.68355736</c:v>
                </c:pt>
                <c:pt idx="122">
                  <c:v>6.0356489199999999</c:v>
                </c:pt>
                <c:pt idx="123">
                  <c:v>7.2851257199999999</c:v>
                </c:pt>
                <c:pt idx="124">
                  <c:v>8.6648960400000004</c:v>
                </c:pt>
                <c:pt idx="125">
                  <c:v>10.076955359999999</c:v>
                </c:pt>
                <c:pt idx="126">
                  <c:v>7.5388328024</c:v>
                </c:pt>
                <c:pt idx="127">
                  <c:v>8.1453577599999996</c:v>
                </c:pt>
                <c:pt idx="128">
                  <c:v>7.4115104000000001</c:v>
                </c:pt>
                <c:pt idx="129">
                  <c:v>6.8345387903999999</c:v>
                </c:pt>
                <c:pt idx="130">
                  <c:v>7.9445271199999903</c:v>
                </c:pt>
                <c:pt idx="131">
                  <c:v>7.4290512799999897</c:v>
                </c:pt>
                <c:pt idx="132">
                  <c:v>6.4666904799999898</c:v>
                </c:pt>
                <c:pt idx="133">
                  <c:v>14.551988908</c:v>
                </c:pt>
                <c:pt idx="134">
                  <c:v>8.8853135287999994</c:v>
                </c:pt>
                <c:pt idx="135">
                  <c:v>11.209641884</c:v>
                </c:pt>
                <c:pt idx="136">
                  <c:v>10.423064119999999</c:v>
                </c:pt>
                <c:pt idx="137">
                  <c:v>8.3597602844000001</c:v>
                </c:pt>
                <c:pt idx="138">
                  <c:v>43.856735999999998</c:v>
                </c:pt>
                <c:pt idx="139">
                  <c:v>16.958527199999999</c:v>
                </c:pt>
                <c:pt idx="140">
                  <c:v>12.384886399999999</c:v>
                </c:pt>
                <c:pt idx="141">
                  <c:v>11.245605614480001</c:v>
                </c:pt>
                <c:pt idx="142">
                  <c:v>13.655055599999899</c:v>
                </c:pt>
                <c:pt idx="143">
                  <c:v>22.0529236</c:v>
                </c:pt>
                <c:pt idx="144">
                  <c:v>12.440960799999999</c:v>
                </c:pt>
                <c:pt idx="145">
                  <c:v>9.0430761999999998</c:v>
                </c:pt>
                <c:pt idx="146">
                  <c:v>11.007816999999999</c:v>
                </c:pt>
                <c:pt idx="147">
                  <c:v>9.7772273199999997</c:v>
                </c:pt>
                <c:pt idx="148">
                  <c:v>8.0378636399999994</c:v>
                </c:pt>
                <c:pt idx="149">
                  <c:v>10.11803948328</c:v>
                </c:pt>
                <c:pt idx="150">
                  <c:v>20.03069</c:v>
                </c:pt>
                <c:pt idx="151">
                  <c:v>14.313794400000001</c:v>
                </c:pt>
                <c:pt idx="152">
                  <c:v>10.664316599999999</c:v>
                </c:pt>
                <c:pt idx="153">
                  <c:v>8.5506115000000005</c:v>
                </c:pt>
                <c:pt idx="154">
                  <c:v>9.0879493359999994</c:v>
                </c:pt>
                <c:pt idx="155">
                  <c:v>8.8480133999999993</c:v>
                </c:pt>
                <c:pt idx="156">
                  <c:v>9.2369909200000002</c:v>
                </c:pt>
                <c:pt idx="157">
                  <c:v>15.2589617119999</c:v>
                </c:pt>
                <c:pt idx="158">
                  <c:v>11.863201948</c:v>
                </c:pt>
                <c:pt idx="159">
                  <c:v>9.9651312127999994</c:v>
                </c:pt>
                <c:pt idx="160">
                  <c:v>8.4859850784000006</c:v>
                </c:pt>
                <c:pt idx="161">
                  <c:v>8.9133909280000001</c:v>
                </c:pt>
                <c:pt idx="162">
                  <c:v>7.5681198240000001</c:v>
                </c:pt>
                <c:pt idx="163">
                  <c:v>7.6637165200000004</c:v>
                </c:pt>
                <c:pt idx="164">
                  <c:v>10.3719666</c:v>
                </c:pt>
                <c:pt idx="165">
                  <c:v>10.963208972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22-4F28-BB88-8E7F637B7201}"/>
            </c:ext>
          </c:extLst>
        </c:ser>
        <c:ser>
          <c:idx val="1"/>
          <c:order val="1"/>
          <c:tx>
            <c:strRef>
              <c:f>Spring!$Q$1</c:f>
              <c:strCache>
                <c:ptCount val="1"/>
                <c:pt idx="0">
                  <c:v>Upstream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6378999664043485E-2"/>
                  <c:y val="-0.2026873699494266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Spring!$I$2:$I$167</c:f>
              <c:numCache>
                <c:formatCode>0.00</c:formatCode>
                <c:ptCount val="166"/>
                <c:pt idx="12" formatCode="0.00000">
                  <c:v>1.3945106373630132</c:v>
                </c:pt>
                <c:pt idx="65" formatCode="0.00000">
                  <c:v>2.2897902812448567</c:v>
                </c:pt>
                <c:pt idx="72" formatCode="0.00000">
                  <c:v>3.1546349152673332</c:v>
                </c:pt>
                <c:pt idx="74" formatCode="0.00000">
                  <c:v>2.2311544928160623</c:v>
                </c:pt>
                <c:pt idx="90" formatCode="0.00000">
                  <c:v>1.5765099664454998</c:v>
                </c:pt>
                <c:pt idx="103" formatCode="0.00000">
                  <c:v>1.065221454930475</c:v>
                </c:pt>
                <c:pt idx="113" formatCode="0.00000">
                  <c:v>1.2632195191816917</c:v>
                </c:pt>
                <c:pt idx="114" formatCode="0.00000">
                  <c:v>1.6271141897455623</c:v>
                </c:pt>
                <c:pt idx="115" formatCode="0.00000">
                  <c:v>1.637056086651107</c:v>
                </c:pt>
                <c:pt idx="158" formatCode="0.00000">
                  <c:v>2.2917188381886424</c:v>
                </c:pt>
                <c:pt idx="159" formatCode="0.00000">
                  <c:v>1.6907657585107856</c:v>
                </c:pt>
                <c:pt idx="163" formatCode="0.00000">
                  <c:v>1.3564826527265335</c:v>
                </c:pt>
                <c:pt idx="165" formatCode="0.00000">
                  <c:v>1.7097837435932666</c:v>
                </c:pt>
              </c:numCache>
            </c:numRef>
          </c:xVal>
          <c:yVal>
            <c:numRef>
              <c:f>Spring!$Q$2:$Q$167</c:f>
              <c:numCache>
                <c:formatCode>0.000</c:formatCode>
                <c:ptCount val="166"/>
                <c:pt idx="0">
                  <c:v>3.9399494811242901</c:v>
                </c:pt>
                <c:pt idx="1">
                  <c:v>3.9404717424825901</c:v>
                </c:pt>
                <c:pt idx="2">
                  <c:v>3.9409940038408902</c:v>
                </c:pt>
                <c:pt idx="3">
                  <c:v>3.9415162651991902</c:v>
                </c:pt>
                <c:pt idx="4">
                  <c:v>3.9430830492740898</c:v>
                </c:pt>
                <c:pt idx="5">
                  <c:v>3.9436053106323898</c:v>
                </c:pt>
                <c:pt idx="6">
                  <c:v>3.9446498333489801</c:v>
                </c:pt>
                <c:pt idx="7">
                  <c:v>3.9451720947072801</c:v>
                </c:pt>
                <c:pt idx="8">
                  <c:v>3.9456943560655802</c:v>
                </c:pt>
                <c:pt idx="9">
                  <c:v>4.8290856666666597</c:v>
                </c:pt>
                <c:pt idx="11">
                  <c:v>17.909116588666599</c:v>
                </c:pt>
                <c:pt idx="12">
                  <c:v>12.5026276</c:v>
                </c:pt>
                <c:pt idx="13">
                  <c:v>12.258317999999999</c:v>
                </c:pt>
                <c:pt idx="14">
                  <c:v>12.736497399999999</c:v>
                </c:pt>
                <c:pt idx="15">
                  <c:v>11.8006866866666</c:v>
                </c:pt>
                <c:pt idx="16">
                  <c:v>25.906272033333298</c:v>
                </c:pt>
                <c:pt idx="17">
                  <c:v>15.555403466666601</c:v>
                </c:pt>
                <c:pt idx="18">
                  <c:v>12.1499004</c:v>
                </c:pt>
                <c:pt idx="19">
                  <c:v>11.5306084666666</c:v>
                </c:pt>
                <c:pt idx="20">
                  <c:v>10.979372994666599</c:v>
                </c:pt>
                <c:pt idx="21">
                  <c:v>10.915366333333299</c:v>
                </c:pt>
                <c:pt idx="22">
                  <c:v>11.4034091866666</c:v>
                </c:pt>
                <c:pt idx="23">
                  <c:v>10.587694328</c:v>
                </c:pt>
                <c:pt idx="24">
                  <c:v>8.1144903866666596</c:v>
                </c:pt>
                <c:pt idx="25">
                  <c:v>8.4315058493333304</c:v>
                </c:pt>
                <c:pt idx="26">
                  <c:v>10.6954302066666</c:v>
                </c:pt>
                <c:pt idx="27">
                  <c:v>11.7693315333333</c:v>
                </c:pt>
                <c:pt idx="28">
                  <c:v>7.3864227533333304</c:v>
                </c:pt>
                <c:pt idx="29">
                  <c:v>8.16305281333333</c:v>
                </c:pt>
                <c:pt idx="31">
                  <c:v>7.72098306</c:v>
                </c:pt>
                <c:pt idx="32">
                  <c:v>12.273739984000001</c:v>
                </c:pt>
                <c:pt idx="33">
                  <c:v>9.9380790066666602</c:v>
                </c:pt>
                <c:pt idx="34">
                  <c:v>8.2618505333333303</c:v>
                </c:pt>
                <c:pt idx="35">
                  <c:v>9.0178020266666596</c:v>
                </c:pt>
                <c:pt idx="36">
                  <c:v>9.0383009999999899</c:v>
                </c:pt>
                <c:pt idx="37">
                  <c:v>9.2480751333333302</c:v>
                </c:pt>
                <c:pt idx="38">
                  <c:v>7.38463257333333</c:v>
                </c:pt>
                <c:pt idx="39">
                  <c:v>5.6839421333333302</c:v>
                </c:pt>
                <c:pt idx="41">
                  <c:v>7.6434516266666597</c:v>
                </c:pt>
                <c:pt idx="42">
                  <c:v>6.1651286666666598</c:v>
                </c:pt>
                <c:pt idx="43">
                  <c:v>5.42235642666666</c:v>
                </c:pt>
                <c:pt idx="44">
                  <c:v>6.7731638133333298</c:v>
                </c:pt>
                <c:pt idx="45">
                  <c:v>9.6546325599999996</c:v>
                </c:pt>
                <c:pt idx="46">
                  <c:v>8.6037493866666601</c:v>
                </c:pt>
                <c:pt idx="47">
                  <c:v>7.5119917466666601</c:v>
                </c:pt>
                <c:pt idx="48">
                  <c:v>9.6479184666666598</c:v>
                </c:pt>
                <c:pt idx="49">
                  <c:v>5.7798811900000002</c:v>
                </c:pt>
                <c:pt idx="50">
                  <c:v>8.0249351333333294</c:v>
                </c:pt>
                <c:pt idx="51">
                  <c:v>6.3661506000000001</c:v>
                </c:pt>
                <c:pt idx="52">
                  <c:v>5.5522387866666598</c:v>
                </c:pt>
                <c:pt idx="53">
                  <c:v>5.6392486266666602</c:v>
                </c:pt>
                <c:pt idx="54">
                  <c:v>5.2737517986666598</c:v>
                </c:pt>
                <c:pt idx="55">
                  <c:v>12.890712933333299</c:v>
                </c:pt>
                <c:pt idx="56">
                  <c:v>9.0212937866666607</c:v>
                </c:pt>
                <c:pt idx="57">
                  <c:v>9.7976981146666606</c:v>
                </c:pt>
                <c:pt idx="58">
                  <c:v>7.9770290266666599</c:v>
                </c:pt>
                <c:pt idx="59">
                  <c:v>8.7500032893333302</c:v>
                </c:pt>
                <c:pt idx="60">
                  <c:v>38.639293733333297</c:v>
                </c:pt>
                <c:pt idx="61">
                  <c:v>21.475960133333299</c:v>
                </c:pt>
                <c:pt idx="62">
                  <c:v>12.734633816800001</c:v>
                </c:pt>
                <c:pt idx="63">
                  <c:v>8.6821808133333302</c:v>
                </c:pt>
                <c:pt idx="64">
                  <c:v>16.170986133333301</c:v>
                </c:pt>
                <c:pt idx="66">
                  <c:v>12.641193039999999</c:v>
                </c:pt>
                <c:pt idx="67">
                  <c:v>10.0303982666666</c:v>
                </c:pt>
                <c:pt idx="69">
                  <c:v>9.1829196</c:v>
                </c:pt>
                <c:pt idx="70">
                  <c:v>10.3782316933333</c:v>
                </c:pt>
                <c:pt idx="71">
                  <c:v>9.8354738279999996</c:v>
                </c:pt>
                <c:pt idx="72">
                  <c:v>22.228124099999999</c:v>
                </c:pt>
                <c:pt idx="73">
                  <c:v>14.96945008</c:v>
                </c:pt>
                <c:pt idx="74">
                  <c:v>12.378681706666599</c:v>
                </c:pt>
                <c:pt idx="75">
                  <c:v>10.541740973333299</c:v>
                </c:pt>
                <c:pt idx="76">
                  <c:v>8.0138589866666603</c:v>
                </c:pt>
                <c:pt idx="77">
                  <c:v>8.3940114666666599</c:v>
                </c:pt>
                <c:pt idx="78">
                  <c:v>12.378681706666599</c:v>
                </c:pt>
                <c:pt idx="79">
                  <c:v>16.9080908</c:v>
                </c:pt>
                <c:pt idx="80">
                  <c:v>9.3933083066666594</c:v>
                </c:pt>
                <c:pt idx="81">
                  <c:v>7.5067932800000001</c:v>
                </c:pt>
                <c:pt idx="83">
                  <c:v>17.909116588666599</c:v>
                </c:pt>
                <c:pt idx="84">
                  <c:v>12.5026276</c:v>
                </c:pt>
                <c:pt idx="85">
                  <c:v>12.258317999999999</c:v>
                </c:pt>
                <c:pt idx="86">
                  <c:v>12.736497399999999</c:v>
                </c:pt>
                <c:pt idx="87">
                  <c:v>11.8006866866666</c:v>
                </c:pt>
                <c:pt idx="88">
                  <c:v>25.906272033333298</c:v>
                </c:pt>
                <c:pt idx="89">
                  <c:v>15.555403466666601</c:v>
                </c:pt>
                <c:pt idx="90">
                  <c:v>12.1499004</c:v>
                </c:pt>
                <c:pt idx="91">
                  <c:v>11.5306084666666</c:v>
                </c:pt>
                <c:pt idx="92">
                  <c:v>10.979372994666599</c:v>
                </c:pt>
                <c:pt idx="93">
                  <c:v>15.365095666666599</c:v>
                </c:pt>
                <c:pt idx="94">
                  <c:v>11.7061532666666</c:v>
                </c:pt>
                <c:pt idx="95">
                  <c:v>10.3695922</c:v>
                </c:pt>
                <c:pt idx="96">
                  <c:v>10.998456733333301</c:v>
                </c:pt>
                <c:pt idx="97">
                  <c:v>11.4034091866666</c:v>
                </c:pt>
                <c:pt idx="98">
                  <c:v>10.587694328</c:v>
                </c:pt>
                <c:pt idx="99">
                  <c:v>8.4315058493333304</c:v>
                </c:pt>
                <c:pt idx="100">
                  <c:v>10.6954302066666</c:v>
                </c:pt>
                <c:pt idx="101">
                  <c:v>11.028182213333301</c:v>
                </c:pt>
                <c:pt idx="102">
                  <c:v>8.2315103599999997</c:v>
                </c:pt>
                <c:pt idx="103">
                  <c:v>7.7667874933333296</c:v>
                </c:pt>
                <c:pt idx="104">
                  <c:v>7.4946411733333296</c:v>
                </c:pt>
                <c:pt idx="105">
                  <c:v>9.6661808800000006</c:v>
                </c:pt>
                <c:pt idx="106">
                  <c:v>9.1230036933333292</c:v>
                </c:pt>
                <c:pt idx="107">
                  <c:v>7.9987784666666597</c:v>
                </c:pt>
                <c:pt idx="108">
                  <c:v>7.7637820933333304</c:v>
                </c:pt>
                <c:pt idx="109">
                  <c:v>11.7693315333333</c:v>
                </c:pt>
                <c:pt idx="110">
                  <c:v>7.3864227533333304</c:v>
                </c:pt>
                <c:pt idx="111">
                  <c:v>8.16305281333333</c:v>
                </c:pt>
                <c:pt idx="113">
                  <c:v>7.72098306</c:v>
                </c:pt>
                <c:pt idx="114">
                  <c:v>12.273739984000001</c:v>
                </c:pt>
                <c:pt idx="115">
                  <c:v>9.9380790066666602</c:v>
                </c:pt>
                <c:pt idx="116">
                  <c:v>8.2618505333333303</c:v>
                </c:pt>
                <c:pt idx="117">
                  <c:v>9.0383009999999899</c:v>
                </c:pt>
                <c:pt idx="118">
                  <c:v>9.2480751333333302</c:v>
                </c:pt>
                <c:pt idx="120">
                  <c:v>7.6434516266666597</c:v>
                </c:pt>
                <c:pt idx="121">
                  <c:v>6.1651286666666598</c:v>
                </c:pt>
                <c:pt idx="122">
                  <c:v>5.42235642666666</c:v>
                </c:pt>
                <c:pt idx="123">
                  <c:v>6.7731638133333298</c:v>
                </c:pt>
                <c:pt idx="124">
                  <c:v>9.6546325599999996</c:v>
                </c:pt>
                <c:pt idx="125">
                  <c:v>8.6037493866666601</c:v>
                </c:pt>
                <c:pt idx="126">
                  <c:v>7.5119917466666601</c:v>
                </c:pt>
                <c:pt idx="127">
                  <c:v>9.6479184666666598</c:v>
                </c:pt>
                <c:pt idx="128">
                  <c:v>5.7798811900000002</c:v>
                </c:pt>
                <c:pt idx="129">
                  <c:v>8.0249351333333294</c:v>
                </c:pt>
                <c:pt idx="130">
                  <c:v>6.3661506000000001</c:v>
                </c:pt>
                <c:pt idx="131">
                  <c:v>5.5522387866666598</c:v>
                </c:pt>
                <c:pt idx="132">
                  <c:v>5.2737517986666598</c:v>
                </c:pt>
                <c:pt idx="133">
                  <c:v>12.890712933333299</c:v>
                </c:pt>
                <c:pt idx="134">
                  <c:v>9.0212937866666607</c:v>
                </c:pt>
                <c:pt idx="135">
                  <c:v>9.7976981146666606</c:v>
                </c:pt>
                <c:pt idx="136">
                  <c:v>7.9770290266666599</c:v>
                </c:pt>
                <c:pt idx="137">
                  <c:v>8.7500032893333302</c:v>
                </c:pt>
                <c:pt idx="138">
                  <c:v>38.639293733333297</c:v>
                </c:pt>
                <c:pt idx="139">
                  <c:v>21.475960133333299</c:v>
                </c:pt>
                <c:pt idx="140">
                  <c:v>12.734633816800001</c:v>
                </c:pt>
                <c:pt idx="141">
                  <c:v>8.6821808133333302</c:v>
                </c:pt>
                <c:pt idx="142">
                  <c:v>16.170986133333301</c:v>
                </c:pt>
                <c:pt idx="144">
                  <c:v>12.641193039999999</c:v>
                </c:pt>
                <c:pt idx="145">
                  <c:v>10.0303982666666</c:v>
                </c:pt>
                <c:pt idx="147">
                  <c:v>9.1829196</c:v>
                </c:pt>
                <c:pt idx="148">
                  <c:v>10.3782316933333</c:v>
                </c:pt>
                <c:pt idx="149">
                  <c:v>9.8354738279999996</c:v>
                </c:pt>
                <c:pt idx="150">
                  <c:v>22.228124099999999</c:v>
                </c:pt>
                <c:pt idx="151">
                  <c:v>14.96945008</c:v>
                </c:pt>
                <c:pt idx="152">
                  <c:v>12.378681706666599</c:v>
                </c:pt>
                <c:pt idx="153">
                  <c:v>10.541740973333299</c:v>
                </c:pt>
                <c:pt idx="154">
                  <c:v>8.0138589866666603</c:v>
                </c:pt>
                <c:pt idx="155">
                  <c:v>8.3940114666666599</c:v>
                </c:pt>
                <c:pt idx="156">
                  <c:v>9.5848903199999906</c:v>
                </c:pt>
                <c:pt idx="157">
                  <c:v>16.9080908</c:v>
                </c:pt>
                <c:pt idx="158">
                  <c:v>13.3637106666666</c:v>
                </c:pt>
                <c:pt idx="159">
                  <c:v>9.3933083066666594</c:v>
                </c:pt>
                <c:pt idx="160">
                  <c:v>7.5067932800000001</c:v>
                </c:pt>
                <c:pt idx="161">
                  <c:v>5.4897123906666598</c:v>
                </c:pt>
                <c:pt idx="162">
                  <c:v>8.2732197266666603</c:v>
                </c:pt>
                <c:pt idx="163">
                  <c:v>6.5764189999999996</c:v>
                </c:pt>
                <c:pt idx="164">
                  <c:v>7.3791796666666603</c:v>
                </c:pt>
                <c:pt idx="165">
                  <c:v>9.8172653466666606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22-4F28-BB88-8E7F637B7201}"/>
            </c:ext>
          </c:extLst>
        </c:ser>
        <c:ser>
          <c:idx val="2"/>
          <c:order val="2"/>
          <c:tx>
            <c:strRef>
              <c:f>Spring!$M$1</c:f>
              <c:strCache>
                <c:ptCount val="1"/>
                <c:pt idx="0">
                  <c:v>Respective Reach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849908884522584"/>
                  <c:y val="-0.1315295780978768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Spring!$I$2:$I$167</c:f>
              <c:numCache>
                <c:formatCode>0.00</c:formatCode>
                <c:ptCount val="166"/>
                <c:pt idx="12" formatCode="0.00000">
                  <c:v>1.3945106373630132</c:v>
                </c:pt>
                <c:pt idx="65" formatCode="0.00000">
                  <c:v>2.2897902812448567</c:v>
                </c:pt>
                <c:pt idx="72" formatCode="0.00000">
                  <c:v>3.1546349152673332</c:v>
                </c:pt>
                <c:pt idx="74" formatCode="0.00000">
                  <c:v>2.2311544928160623</c:v>
                </c:pt>
                <c:pt idx="90" formatCode="0.00000">
                  <c:v>1.5765099664454998</c:v>
                </c:pt>
                <c:pt idx="103" formatCode="0.00000">
                  <c:v>1.065221454930475</c:v>
                </c:pt>
                <c:pt idx="113" formatCode="0.00000">
                  <c:v>1.2632195191816917</c:v>
                </c:pt>
                <c:pt idx="114" formatCode="0.00000">
                  <c:v>1.6271141897455623</c:v>
                </c:pt>
                <c:pt idx="115" formatCode="0.00000">
                  <c:v>1.637056086651107</c:v>
                </c:pt>
                <c:pt idx="158" formatCode="0.00000">
                  <c:v>2.2917188381886424</c:v>
                </c:pt>
                <c:pt idx="159" formatCode="0.00000">
                  <c:v>1.6907657585107856</c:v>
                </c:pt>
                <c:pt idx="163" formatCode="0.00000">
                  <c:v>1.3564826527265335</c:v>
                </c:pt>
                <c:pt idx="165" formatCode="0.00000">
                  <c:v>1.7097837435932666</c:v>
                </c:pt>
              </c:numCache>
            </c:numRef>
          </c:xVal>
          <c:yVal>
            <c:numRef>
              <c:f>Spring!$M$2:$M$167</c:f>
              <c:numCache>
                <c:formatCode>0.000</c:formatCode>
                <c:ptCount val="166"/>
                <c:pt idx="0">
                  <c:v>6.3695391092076497</c:v>
                </c:pt>
                <c:pt idx="1">
                  <c:v>6.3686278197342103</c:v>
                </c:pt>
                <c:pt idx="2">
                  <c:v>6.3677165302607701</c:v>
                </c:pt>
                <c:pt idx="3">
                  <c:v>6.3668052407873201</c:v>
                </c:pt>
                <c:pt idx="4">
                  <c:v>6.3640713723669897</c:v>
                </c:pt>
                <c:pt idx="5">
                  <c:v>6.3631600828935397</c:v>
                </c:pt>
                <c:pt idx="6">
                  <c:v>6.3613375039466602</c:v>
                </c:pt>
                <c:pt idx="7">
                  <c:v>6.3604262144732102</c:v>
                </c:pt>
                <c:pt idx="8">
                  <c:v>6.35951492499977</c:v>
                </c:pt>
                <c:pt idx="9">
                  <c:v>5.28249032</c:v>
                </c:pt>
                <c:pt idx="12">
                  <c:v>12.815805599999999</c:v>
                </c:pt>
                <c:pt idx="13">
                  <c:v>12.0457119999999</c:v>
                </c:pt>
                <c:pt idx="14">
                  <c:v>10.67219704</c:v>
                </c:pt>
                <c:pt idx="15">
                  <c:v>12.4510858</c:v>
                </c:pt>
                <c:pt idx="16">
                  <c:v>21.1627592</c:v>
                </c:pt>
                <c:pt idx="17">
                  <c:v>14.5804768</c:v>
                </c:pt>
                <c:pt idx="18">
                  <c:v>12.4211408</c:v>
                </c:pt>
                <c:pt idx="19">
                  <c:v>10.916756999999899</c:v>
                </c:pt>
                <c:pt idx="20">
                  <c:v>12.41495316</c:v>
                </c:pt>
                <c:pt idx="21">
                  <c:v>10.38733716</c:v>
                </c:pt>
                <c:pt idx="22">
                  <c:v>9.4103997199999991</c:v>
                </c:pt>
                <c:pt idx="23">
                  <c:v>8.6639274400000001</c:v>
                </c:pt>
                <c:pt idx="24">
                  <c:v>8.1745655151999994</c:v>
                </c:pt>
                <c:pt idx="25">
                  <c:v>8.8986113000000007</c:v>
                </c:pt>
                <c:pt idx="26">
                  <c:v>8.95110431999999</c:v>
                </c:pt>
                <c:pt idx="27">
                  <c:v>9.3171799199999992</c:v>
                </c:pt>
                <c:pt idx="28">
                  <c:v>9.2401945999999899</c:v>
                </c:pt>
                <c:pt idx="29">
                  <c:v>6.6271815599999897</c:v>
                </c:pt>
                <c:pt idx="30">
                  <c:v>6.83403183999999</c:v>
                </c:pt>
                <c:pt idx="31">
                  <c:v>8.1550506400000007</c:v>
                </c:pt>
                <c:pt idx="32">
                  <c:v>13.7088416</c:v>
                </c:pt>
                <c:pt idx="33">
                  <c:v>10.1428473999999</c:v>
                </c:pt>
                <c:pt idx="34">
                  <c:v>8.9488770800000008</c:v>
                </c:pt>
                <c:pt idx="35">
                  <c:v>8.6484638799999995</c:v>
                </c:pt>
                <c:pt idx="36">
                  <c:v>9.1187322399999999</c:v>
                </c:pt>
                <c:pt idx="37">
                  <c:v>8.1289062039999997</c:v>
                </c:pt>
                <c:pt idx="38">
                  <c:v>7.2309412399999999</c:v>
                </c:pt>
                <c:pt idx="39">
                  <c:v>6.1800801999999999</c:v>
                </c:pt>
                <c:pt idx="40">
                  <c:v>7.1972571599999897</c:v>
                </c:pt>
                <c:pt idx="41">
                  <c:v>7.6360871199999902</c:v>
                </c:pt>
                <c:pt idx="42">
                  <c:v>6.68355736</c:v>
                </c:pt>
                <c:pt idx="43">
                  <c:v>6.0356489199999999</c:v>
                </c:pt>
                <c:pt idx="44">
                  <c:v>7.2851257199999999</c:v>
                </c:pt>
                <c:pt idx="45">
                  <c:v>8.6648960400000004</c:v>
                </c:pt>
                <c:pt idx="46">
                  <c:v>10.076955359999999</c:v>
                </c:pt>
                <c:pt idx="47">
                  <c:v>7.5388328024</c:v>
                </c:pt>
                <c:pt idx="48">
                  <c:v>8.1453577599999996</c:v>
                </c:pt>
                <c:pt idx="49">
                  <c:v>7.4115104000000001</c:v>
                </c:pt>
                <c:pt idx="50">
                  <c:v>6.8345387903999999</c:v>
                </c:pt>
                <c:pt idx="51">
                  <c:v>7.9445271199999903</c:v>
                </c:pt>
                <c:pt idx="52">
                  <c:v>7.4290512799999897</c:v>
                </c:pt>
                <c:pt idx="53">
                  <c:v>5.25875556</c:v>
                </c:pt>
                <c:pt idx="54">
                  <c:v>6.4666904799999898</c:v>
                </c:pt>
                <c:pt idx="55">
                  <c:v>14.551988908</c:v>
                </c:pt>
                <c:pt idx="56">
                  <c:v>8.8853135287999994</c:v>
                </c:pt>
                <c:pt idx="57">
                  <c:v>11.209641884</c:v>
                </c:pt>
                <c:pt idx="58">
                  <c:v>10.423064119999999</c:v>
                </c:pt>
                <c:pt idx="59">
                  <c:v>8.3597602844000001</c:v>
                </c:pt>
                <c:pt idx="60">
                  <c:v>43.856735999999998</c:v>
                </c:pt>
                <c:pt idx="61">
                  <c:v>16.958527199999999</c:v>
                </c:pt>
                <c:pt idx="62">
                  <c:v>12.384886399999999</c:v>
                </c:pt>
                <c:pt idx="63">
                  <c:v>11.245605614480001</c:v>
                </c:pt>
                <c:pt idx="64">
                  <c:v>13.655055599999899</c:v>
                </c:pt>
                <c:pt idx="65">
                  <c:v>22.0529236</c:v>
                </c:pt>
                <c:pt idx="66">
                  <c:v>12.440960799999999</c:v>
                </c:pt>
                <c:pt idx="67">
                  <c:v>9.0430761999999998</c:v>
                </c:pt>
                <c:pt idx="68">
                  <c:v>11.007816999999999</c:v>
                </c:pt>
                <c:pt idx="69">
                  <c:v>9.7772273199999997</c:v>
                </c:pt>
                <c:pt idx="70">
                  <c:v>8.0378636399999994</c:v>
                </c:pt>
                <c:pt idx="71">
                  <c:v>10.11803948328</c:v>
                </c:pt>
                <c:pt idx="72">
                  <c:v>20.03069</c:v>
                </c:pt>
                <c:pt idx="73">
                  <c:v>14.313794400000001</c:v>
                </c:pt>
                <c:pt idx="74">
                  <c:v>10.664316599999999</c:v>
                </c:pt>
                <c:pt idx="75">
                  <c:v>8.5506115000000005</c:v>
                </c:pt>
                <c:pt idx="76">
                  <c:v>9.0879493359999994</c:v>
                </c:pt>
                <c:pt idx="77">
                  <c:v>8.8480133999999993</c:v>
                </c:pt>
                <c:pt idx="78">
                  <c:v>10.664316599999999</c:v>
                </c:pt>
                <c:pt idx="79">
                  <c:v>15.2589617119999</c:v>
                </c:pt>
                <c:pt idx="80">
                  <c:v>9.9651312127999994</c:v>
                </c:pt>
                <c:pt idx="81">
                  <c:v>8.4859850784000006</c:v>
                </c:pt>
                <c:pt idx="83">
                  <c:v>17.909116588666599</c:v>
                </c:pt>
                <c:pt idx="84">
                  <c:v>12.5026276</c:v>
                </c:pt>
                <c:pt idx="85">
                  <c:v>12.258317999999999</c:v>
                </c:pt>
                <c:pt idx="86">
                  <c:v>12.736497399999999</c:v>
                </c:pt>
                <c:pt idx="87">
                  <c:v>11.8006866866666</c:v>
                </c:pt>
                <c:pt idx="88">
                  <c:v>25.906272033333298</c:v>
                </c:pt>
                <c:pt idx="89">
                  <c:v>15.555403466666601</c:v>
                </c:pt>
                <c:pt idx="90">
                  <c:v>12.1499004</c:v>
                </c:pt>
                <c:pt idx="91">
                  <c:v>11.5306084666666</c:v>
                </c:pt>
                <c:pt idx="92">
                  <c:v>10.979372994666599</c:v>
                </c:pt>
                <c:pt idx="93">
                  <c:v>15.365095666666599</c:v>
                </c:pt>
                <c:pt idx="94">
                  <c:v>11.7061532666666</c:v>
                </c:pt>
                <c:pt idx="95">
                  <c:v>10.3695922</c:v>
                </c:pt>
                <c:pt idx="96">
                  <c:v>10.998456733333301</c:v>
                </c:pt>
                <c:pt idx="97">
                  <c:v>11.4034091866666</c:v>
                </c:pt>
                <c:pt idx="98">
                  <c:v>10.587694328</c:v>
                </c:pt>
                <c:pt idx="99">
                  <c:v>8.4315058493333304</c:v>
                </c:pt>
                <c:pt idx="100">
                  <c:v>10.6954302066666</c:v>
                </c:pt>
                <c:pt idx="101">
                  <c:v>11.028182213333301</c:v>
                </c:pt>
                <c:pt idx="102">
                  <c:v>8.2315103599999997</c:v>
                </c:pt>
                <c:pt idx="103">
                  <c:v>7.7667874933333296</c:v>
                </c:pt>
                <c:pt idx="104">
                  <c:v>7.4946411733333296</c:v>
                </c:pt>
                <c:pt idx="105">
                  <c:v>9.6661808800000006</c:v>
                </c:pt>
                <c:pt idx="106">
                  <c:v>9.1230036933333292</c:v>
                </c:pt>
                <c:pt idx="107">
                  <c:v>7.9987784666666597</c:v>
                </c:pt>
                <c:pt idx="108">
                  <c:v>7.7637820933333304</c:v>
                </c:pt>
                <c:pt idx="109">
                  <c:v>11.7693315333333</c:v>
                </c:pt>
                <c:pt idx="110">
                  <c:v>7.3864227533333304</c:v>
                </c:pt>
                <c:pt idx="111">
                  <c:v>8.16305281333333</c:v>
                </c:pt>
                <c:pt idx="113">
                  <c:v>7.72098306</c:v>
                </c:pt>
                <c:pt idx="114">
                  <c:v>12.273739984000001</c:v>
                </c:pt>
                <c:pt idx="115">
                  <c:v>9.9380790066666602</c:v>
                </c:pt>
                <c:pt idx="116">
                  <c:v>8.2618505333333303</c:v>
                </c:pt>
                <c:pt idx="117">
                  <c:v>9.0383009999999899</c:v>
                </c:pt>
                <c:pt idx="118">
                  <c:v>9.2480751333333302</c:v>
                </c:pt>
                <c:pt idx="120">
                  <c:v>7.6434516266666597</c:v>
                </c:pt>
                <c:pt idx="121">
                  <c:v>6.1651286666666598</c:v>
                </c:pt>
                <c:pt idx="122">
                  <c:v>5.42235642666666</c:v>
                </c:pt>
                <c:pt idx="123">
                  <c:v>6.7731638133333298</c:v>
                </c:pt>
                <c:pt idx="124">
                  <c:v>9.6546325599999996</c:v>
                </c:pt>
                <c:pt idx="125">
                  <c:v>8.6037493866666601</c:v>
                </c:pt>
                <c:pt idx="126">
                  <c:v>7.5119917466666601</c:v>
                </c:pt>
                <c:pt idx="127">
                  <c:v>9.6479184666666598</c:v>
                </c:pt>
                <c:pt idx="128">
                  <c:v>5.7798811900000002</c:v>
                </c:pt>
                <c:pt idx="129">
                  <c:v>8.0249351333333294</c:v>
                </c:pt>
                <c:pt idx="130">
                  <c:v>6.3661506000000001</c:v>
                </c:pt>
                <c:pt idx="131">
                  <c:v>5.5522387866666598</c:v>
                </c:pt>
                <c:pt idx="132">
                  <c:v>5.2737517986666598</c:v>
                </c:pt>
                <c:pt idx="133">
                  <c:v>12.890712933333299</c:v>
                </c:pt>
                <c:pt idx="134">
                  <c:v>9.0212937866666607</c:v>
                </c:pt>
                <c:pt idx="135">
                  <c:v>9.7976981146666606</c:v>
                </c:pt>
                <c:pt idx="136">
                  <c:v>7.9770290266666599</c:v>
                </c:pt>
                <c:pt idx="137">
                  <c:v>8.7500032893333302</c:v>
                </c:pt>
                <c:pt idx="138">
                  <c:v>38.639293733333297</c:v>
                </c:pt>
                <c:pt idx="139">
                  <c:v>21.475960133333299</c:v>
                </c:pt>
                <c:pt idx="140">
                  <c:v>12.734633816800001</c:v>
                </c:pt>
                <c:pt idx="141">
                  <c:v>8.6821808133333302</c:v>
                </c:pt>
                <c:pt idx="142">
                  <c:v>16.170986133333301</c:v>
                </c:pt>
                <c:pt idx="144">
                  <c:v>12.641193039999999</c:v>
                </c:pt>
                <c:pt idx="145">
                  <c:v>10.0303982666666</c:v>
                </c:pt>
                <c:pt idx="147">
                  <c:v>9.1829196</c:v>
                </c:pt>
                <c:pt idx="148">
                  <c:v>10.3782316933333</c:v>
                </c:pt>
                <c:pt idx="149">
                  <c:v>9.8354738279999996</c:v>
                </c:pt>
                <c:pt idx="150">
                  <c:v>22.228124099999999</c:v>
                </c:pt>
                <c:pt idx="151">
                  <c:v>14.96945008</c:v>
                </c:pt>
                <c:pt idx="152">
                  <c:v>12.378681706666599</c:v>
                </c:pt>
                <c:pt idx="153">
                  <c:v>10.541740973333299</c:v>
                </c:pt>
                <c:pt idx="154">
                  <c:v>8.0138589866666603</c:v>
                </c:pt>
                <c:pt idx="155">
                  <c:v>8.3940114666666599</c:v>
                </c:pt>
                <c:pt idx="156">
                  <c:v>9.5848903199999906</c:v>
                </c:pt>
                <c:pt idx="157">
                  <c:v>16.9080908</c:v>
                </c:pt>
                <c:pt idx="158">
                  <c:v>13.3637106666666</c:v>
                </c:pt>
                <c:pt idx="159">
                  <c:v>9.3933083066666594</c:v>
                </c:pt>
                <c:pt idx="160">
                  <c:v>7.5067932800000001</c:v>
                </c:pt>
                <c:pt idx="161">
                  <c:v>5.4897123906666598</c:v>
                </c:pt>
                <c:pt idx="162">
                  <c:v>8.2732197266666603</c:v>
                </c:pt>
                <c:pt idx="163">
                  <c:v>6.5764189999999996</c:v>
                </c:pt>
                <c:pt idx="164">
                  <c:v>7.3791796666666603</c:v>
                </c:pt>
                <c:pt idx="165">
                  <c:v>9.8172653466666606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22-4F28-BB88-8E7F637B7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22767"/>
        <c:axId val="734720847"/>
      </c:scatterChart>
      <c:valAx>
        <c:axId val="73472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</a:t>
                </a:r>
                <a:r>
                  <a:rPr lang="en-US" baseline="0"/>
                  <a:t> concentration (uL/L)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0847"/>
        <c:crosses val="autoZero"/>
        <c:crossBetween val="midCat"/>
      </c:valAx>
      <c:valAx>
        <c:axId val="7347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Sonde Turbidity</a:t>
                </a:r>
                <a:r>
                  <a:rPr lang="en-US" baseline="0"/>
                  <a:t> (NTU)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2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vs LISST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'!$F$2:$F$87</c:f>
              <c:numCache>
                <c:formatCode>0.0000</c:formatCode>
                <c:ptCount val="86"/>
                <c:pt idx="0">
                  <c:v>562.3258328827518</c:v>
                </c:pt>
                <c:pt idx="1">
                  <c:v>528.03483941208492</c:v>
                </c:pt>
                <c:pt idx="2">
                  <c:v>143.16904685207069</c:v>
                </c:pt>
                <c:pt idx="3">
                  <c:v>82.761404925313002</c:v>
                </c:pt>
                <c:pt idx="4">
                  <c:v>36.920031971986397</c:v>
                </c:pt>
                <c:pt idx="5">
                  <c:v>22.011886418665991</c:v>
                </c:pt>
                <c:pt idx="6">
                  <c:v>68.980963045912645</c:v>
                </c:pt>
                <c:pt idx="7">
                  <c:v>124.47532204371103</c:v>
                </c:pt>
                <c:pt idx="8">
                  <c:v>359.22024838861807</c:v>
                </c:pt>
                <c:pt idx="9">
                  <c:v>86.111374932725383</c:v>
                </c:pt>
                <c:pt idx="10">
                  <c:v>37.228078044404583</c:v>
                </c:pt>
                <c:pt idx="11">
                  <c:v>30.434986187198604</c:v>
                </c:pt>
                <c:pt idx="12">
                  <c:v>57.726093867648203</c:v>
                </c:pt>
                <c:pt idx="13">
                  <c:v>48.064760941057514</c:v>
                </c:pt>
                <c:pt idx="14">
                  <c:v>55.003694277973992</c:v>
                </c:pt>
                <c:pt idx="15">
                  <c:v>45.164039198977413</c:v>
                </c:pt>
                <c:pt idx="16">
                  <c:v>17.425939756036765</c:v>
                </c:pt>
                <c:pt idx="17">
                  <c:v>11.446324912108677</c:v>
                </c:pt>
                <c:pt idx="18">
                  <c:v>6.5306122448979194</c:v>
                </c:pt>
                <c:pt idx="19">
                  <c:v>8.4796065462560257</c:v>
                </c:pt>
                <c:pt idx="20">
                  <c:v>10.743801652892525</c:v>
                </c:pt>
                <c:pt idx="21">
                  <c:v>19.837989750371843</c:v>
                </c:pt>
                <c:pt idx="22">
                  <c:v>49.091801669121296</c:v>
                </c:pt>
                <c:pt idx="23">
                  <c:v>35.385121790651731</c:v>
                </c:pt>
                <c:pt idx="24">
                  <c:v>23.681202025150956</c:v>
                </c:pt>
                <c:pt idx="25">
                  <c:v>9.8887515451172572</c:v>
                </c:pt>
                <c:pt idx="26">
                  <c:v>7.9500000000000943</c:v>
                </c:pt>
                <c:pt idx="27">
                  <c:v>4.080633314290381</c:v>
                </c:pt>
                <c:pt idx="28">
                  <c:v>1.6455487905216861</c:v>
                </c:pt>
                <c:pt idx="29">
                  <c:v>0.84473728670397652</c:v>
                </c:pt>
                <c:pt idx="30">
                  <c:v>5.7194215213659483</c:v>
                </c:pt>
                <c:pt idx="31">
                  <c:v>187.00000000000023</c:v>
                </c:pt>
                <c:pt idx="32">
                  <c:v>109.9999999999999</c:v>
                </c:pt>
                <c:pt idx="33">
                  <c:v>53.333333333333321</c:v>
                </c:pt>
                <c:pt idx="34">
                  <c:v>80.000000000000071</c:v>
                </c:pt>
                <c:pt idx="35">
                  <c:v>43.333333333333179</c:v>
                </c:pt>
                <c:pt idx="36">
                  <c:v>92.222222222222243</c:v>
                </c:pt>
                <c:pt idx="37">
                  <c:v>52.222222222222328</c:v>
                </c:pt>
                <c:pt idx="38">
                  <c:v>99.999999999999773</c:v>
                </c:pt>
                <c:pt idx="39">
                  <c:v>105.55555555555566</c:v>
                </c:pt>
                <c:pt idx="40">
                  <c:v>50.000000000000043</c:v>
                </c:pt>
                <c:pt idx="41">
                  <c:v>68.888888888888701</c:v>
                </c:pt>
                <c:pt idx="42">
                  <c:v>51.111111111111029</c:v>
                </c:pt>
                <c:pt idx="43">
                  <c:v>45.263157894736821</c:v>
                </c:pt>
                <c:pt idx="44">
                  <c:v>20.00000000000011</c:v>
                </c:pt>
                <c:pt idx="45">
                  <c:v>15.454545454545519</c:v>
                </c:pt>
                <c:pt idx="46">
                  <c:v>26.000000000000188</c:v>
                </c:pt>
                <c:pt idx="47">
                  <c:v>21.000000000000185</c:v>
                </c:pt>
                <c:pt idx="48">
                  <c:v>76.153846153846203</c:v>
                </c:pt>
                <c:pt idx="49">
                  <c:v>41.200000000000017</c:v>
                </c:pt>
                <c:pt idx="50">
                  <c:v>39.60000000000008</c:v>
                </c:pt>
                <c:pt idx="51">
                  <c:v>27.600000000000069</c:v>
                </c:pt>
                <c:pt idx="52">
                  <c:v>20.833333333333353</c:v>
                </c:pt>
                <c:pt idx="53">
                  <c:v>43.200000000000017</c:v>
                </c:pt>
                <c:pt idx="54">
                  <c:v>29.230769230769212</c:v>
                </c:pt>
                <c:pt idx="55">
                  <c:v>25.000000000000021</c:v>
                </c:pt>
                <c:pt idx="56">
                  <c:v>23.749999999999932</c:v>
                </c:pt>
                <c:pt idx="57">
                  <c:v>22.222222222222243</c:v>
                </c:pt>
                <c:pt idx="58">
                  <c:v>22.222222222222243</c:v>
                </c:pt>
                <c:pt idx="59">
                  <c:v>21.90476190476187</c:v>
                </c:pt>
                <c:pt idx="60">
                  <c:v>17.999999999999961</c:v>
                </c:pt>
                <c:pt idx="61">
                  <c:v>20.499999999999964</c:v>
                </c:pt>
                <c:pt idx="62">
                  <c:v>12.558139534883757</c:v>
                </c:pt>
                <c:pt idx="63">
                  <c:v>18.000000000000014</c:v>
                </c:pt>
                <c:pt idx="64">
                  <c:v>20.000000000000018</c:v>
                </c:pt>
                <c:pt idx="65">
                  <c:v>16.666666666666682</c:v>
                </c:pt>
                <c:pt idx="66">
                  <c:v>77.894736842105289</c:v>
                </c:pt>
                <c:pt idx="67">
                  <c:v>42.999999999999986</c:v>
                </c:pt>
                <c:pt idx="68">
                  <c:v>35.999999999999922</c:v>
                </c:pt>
                <c:pt idx="69">
                  <c:v>28.837209302325505</c:v>
                </c:pt>
                <c:pt idx="70">
                  <c:v>29.545454545454572</c:v>
                </c:pt>
                <c:pt idx="71">
                  <c:v>26.842105263157862</c:v>
                </c:pt>
                <c:pt idx="72">
                  <c:v>24.000000000000131</c:v>
                </c:pt>
                <c:pt idx="73">
                  <c:v>23.571428571428555</c:v>
                </c:pt>
                <c:pt idx="74">
                  <c:v>37.60000000000008</c:v>
                </c:pt>
                <c:pt idx="75">
                  <c:v>31.53846153846148</c:v>
                </c:pt>
                <c:pt idx="76">
                  <c:v>28.076923076923084</c:v>
                </c:pt>
                <c:pt idx="77">
                  <c:v>23.599999999999955</c:v>
                </c:pt>
                <c:pt idx="78">
                  <c:v>21.176470588235247</c:v>
                </c:pt>
                <c:pt idx="79">
                  <c:v>23.137254901960741</c:v>
                </c:pt>
                <c:pt idx="80">
                  <c:v>30.769230769230795</c:v>
                </c:pt>
                <c:pt idx="81">
                  <c:v>30.188679245282938</c:v>
                </c:pt>
                <c:pt idx="82">
                  <c:v>29.166666666666696</c:v>
                </c:pt>
                <c:pt idx="83">
                  <c:v>20.416666666666732</c:v>
                </c:pt>
                <c:pt idx="84">
                  <c:v>18.000000000000014</c:v>
                </c:pt>
                <c:pt idx="85">
                  <c:v>18.999999999999851</c:v>
                </c:pt>
              </c:numCache>
            </c:numRef>
          </c:xVal>
          <c:yVal>
            <c:numRef>
              <c:f>'Summer '!$G$2:$G$87</c:f>
              <c:numCache>
                <c:formatCode>General</c:formatCode>
                <c:ptCount val="86"/>
                <c:pt idx="0">
                  <c:v>339.78248000000002</c:v>
                </c:pt>
                <c:pt idx="1">
                  <c:v>457.12</c:v>
                </c:pt>
                <c:pt idx="2">
                  <c:v>152.79</c:v>
                </c:pt>
                <c:pt idx="3">
                  <c:v>168.45</c:v>
                </c:pt>
                <c:pt idx="4">
                  <c:v>43.15</c:v>
                </c:pt>
                <c:pt idx="5">
                  <c:v>17.7</c:v>
                </c:pt>
                <c:pt idx="6">
                  <c:v>92.06</c:v>
                </c:pt>
                <c:pt idx="7">
                  <c:v>95.69</c:v>
                </c:pt>
                <c:pt idx="8">
                  <c:v>403.51499999999999</c:v>
                </c:pt>
                <c:pt idx="9">
                  <c:v>124.04</c:v>
                </c:pt>
                <c:pt idx="10">
                  <c:v>65.3</c:v>
                </c:pt>
                <c:pt idx="11">
                  <c:v>42.87</c:v>
                </c:pt>
                <c:pt idx="12">
                  <c:v>206.82</c:v>
                </c:pt>
                <c:pt idx="13">
                  <c:v>142.53</c:v>
                </c:pt>
                <c:pt idx="14">
                  <c:v>55.06</c:v>
                </c:pt>
                <c:pt idx="15">
                  <c:v>66.040000000000006</c:v>
                </c:pt>
                <c:pt idx="16">
                  <c:v>39.15</c:v>
                </c:pt>
                <c:pt idx="17">
                  <c:v>23.32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52.87</c:v>
                </c:pt>
                <c:pt idx="22">
                  <c:v>204.03</c:v>
                </c:pt>
                <c:pt idx="23">
                  <c:v>105.77</c:v>
                </c:pt>
                <c:pt idx="24">
                  <c:v>68.83</c:v>
                </c:pt>
                <c:pt idx="25">
                  <c:v>36.65</c:v>
                </c:pt>
                <c:pt idx="26">
                  <c:v>25.92</c:v>
                </c:pt>
                <c:pt idx="27">
                  <c:v>21.67</c:v>
                </c:pt>
                <c:pt idx="28">
                  <c:v>19.05</c:v>
                </c:pt>
                <c:pt idx="29">
                  <c:v>18.36</c:v>
                </c:pt>
                <c:pt idx="30">
                  <c:v>0</c:v>
                </c:pt>
                <c:pt idx="32">
                  <c:v>271.06</c:v>
                </c:pt>
                <c:pt idx="33">
                  <c:v>249.50899999999999</c:v>
                </c:pt>
                <c:pt idx="34">
                  <c:v>244.85599999999999</c:v>
                </c:pt>
                <c:pt idx="35">
                  <c:v>233.25</c:v>
                </c:pt>
                <c:pt idx="36">
                  <c:v>124.5634</c:v>
                </c:pt>
                <c:pt idx="37">
                  <c:v>9.89</c:v>
                </c:pt>
                <c:pt idx="38">
                  <c:v>327.45299999999997</c:v>
                </c:pt>
                <c:pt idx="39">
                  <c:v>241.809</c:v>
                </c:pt>
                <c:pt idx="40">
                  <c:v>158.52500000000001</c:v>
                </c:pt>
                <c:pt idx="41">
                  <c:v>132.47200000000001</c:v>
                </c:pt>
                <c:pt idx="42">
                  <c:v>98.91</c:v>
                </c:pt>
                <c:pt idx="43">
                  <c:v>90.356999999999999</c:v>
                </c:pt>
                <c:pt idx="44">
                  <c:v>84.561999999999998</c:v>
                </c:pt>
                <c:pt idx="45">
                  <c:v>59.01</c:v>
                </c:pt>
                <c:pt idx="46">
                  <c:v>42.72</c:v>
                </c:pt>
                <c:pt idx="47">
                  <c:v>98.146000000000001</c:v>
                </c:pt>
                <c:pt idx="48">
                  <c:v>210.458</c:v>
                </c:pt>
                <c:pt idx="49">
                  <c:v>116.066</c:v>
                </c:pt>
                <c:pt idx="50">
                  <c:v>113.258</c:v>
                </c:pt>
                <c:pt idx="51">
                  <c:v>81.150000000000006</c:v>
                </c:pt>
                <c:pt idx="52">
                  <c:v>56.15</c:v>
                </c:pt>
                <c:pt idx="53">
                  <c:v>183.80799999999999</c:v>
                </c:pt>
                <c:pt idx="54">
                  <c:v>83.528000000000006</c:v>
                </c:pt>
                <c:pt idx="55">
                  <c:v>72.105000000000004</c:v>
                </c:pt>
                <c:pt idx="56">
                  <c:v>67.606999999999999</c:v>
                </c:pt>
                <c:pt idx="57">
                  <c:v>70.3</c:v>
                </c:pt>
                <c:pt idx="58">
                  <c:v>67.88</c:v>
                </c:pt>
                <c:pt idx="59">
                  <c:v>84.66</c:v>
                </c:pt>
                <c:pt idx="60">
                  <c:v>67.569999999999993</c:v>
                </c:pt>
                <c:pt idx="61">
                  <c:v>54.936</c:v>
                </c:pt>
                <c:pt idx="62">
                  <c:v>75.337999999999994</c:v>
                </c:pt>
                <c:pt idx="63">
                  <c:v>59.165999999999997</c:v>
                </c:pt>
                <c:pt idx="64">
                  <c:v>50.774000000000001</c:v>
                </c:pt>
                <c:pt idx="66">
                  <c:v>232.05199999999999</c:v>
                </c:pt>
                <c:pt idx="67">
                  <c:v>143.89599999999999</c:v>
                </c:pt>
                <c:pt idx="68">
                  <c:v>104.006</c:v>
                </c:pt>
                <c:pt idx="69">
                  <c:v>88.144000000000005</c:v>
                </c:pt>
                <c:pt idx="70">
                  <c:v>92.256</c:v>
                </c:pt>
                <c:pt idx="71">
                  <c:v>82.494</c:v>
                </c:pt>
                <c:pt idx="72">
                  <c:v>69.394999999999996</c:v>
                </c:pt>
                <c:pt idx="73">
                  <c:v>0</c:v>
                </c:pt>
                <c:pt idx="74">
                  <c:v>63.87</c:v>
                </c:pt>
                <c:pt idx="75">
                  <c:v>75.400000000000006</c:v>
                </c:pt>
                <c:pt idx="76">
                  <c:v>70.75</c:v>
                </c:pt>
                <c:pt idx="77">
                  <c:v>82.6</c:v>
                </c:pt>
                <c:pt idx="78">
                  <c:v>54.12</c:v>
                </c:pt>
                <c:pt idx="80">
                  <c:v>95.962999999999994</c:v>
                </c:pt>
                <c:pt idx="81">
                  <c:v>80.180000000000007</c:v>
                </c:pt>
                <c:pt idx="82">
                  <c:v>70.510000000000005</c:v>
                </c:pt>
                <c:pt idx="83">
                  <c:v>64.436999999999998</c:v>
                </c:pt>
                <c:pt idx="84">
                  <c:v>46.07</c:v>
                </c:pt>
                <c:pt idx="85">
                  <c:v>39.299999999999997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C1-4986-9C3E-74D8A4971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22767"/>
        <c:axId val="734720847"/>
      </c:scatterChart>
      <c:valAx>
        <c:axId val="73472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</a:t>
                </a:r>
                <a:r>
                  <a:rPr lang="en-US" baseline="0"/>
                  <a:t> (from filters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0847"/>
        <c:crosses val="autoZero"/>
        <c:crossBetween val="midCat"/>
      </c:valAx>
      <c:valAx>
        <c:axId val="7347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 concentration (uL/L)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vs POC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783725901647077"/>
                  <c:y val="-1.16192435650499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'!$F$2:$F$87</c:f>
              <c:numCache>
                <c:formatCode>0.0000</c:formatCode>
                <c:ptCount val="86"/>
                <c:pt idx="0">
                  <c:v>562.3258328827518</c:v>
                </c:pt>
                <c:pt idx="1">
                  <c:v>528.03483941208492</c:v>
                </c:pt>
                <c:pt idx="2">
                  <c:v>143.16904685207069</c:v>
                </c:pt>
                <c:pt idx="3">
                  <c:v>82.761404925313002</c:v>
                </c:pt>
                <c:pt idx="4">
                  <c:v>36.920031971986397</c:v>
                </c:pt>
                <c:pt idx="5">
                  <c:v>22.011886418665991</c:v>
                </c:pt>
                <c:pt idx="6">
                  <c:v>68.980963045912645</c:v>
                </c:pt>
                <c:pt idx="7">
                  <c:v>124.47532204371103</c:v>
                </c:pt>
                <c:pt idx="8">
                  <c:v>359.22024838861807</c:v>
                </c:pt>
                <c:pt idx="9">
                  <c:v>86.111374932725383</c:v>
                </c:pt>
                <c:pt idx="10">
                  <c:v>37.228078044404583</c:v>
                </c:pt>
                <c:pt idx="11">
                  <c:v>30.434986187198604</c:v>
                </c:pt>
                <c:pt idx="12">
                  <c:v>57.726093867648203</c:v>
                </c:pt>
                <c:pt idx="13">
                  <c:v>48.064760941057514</c:v>
                </c:pt>
                <c:pt idx="14">
                  <c:v>55.003694277973992</c:v>
                </c:pt>
                <c:pt idx="15">
                  <c:v>45.164039198977413</c:v>
                </c:pt>
                <c:pt idx="16">
                  <c:v>17.425939756036765</c:v>
                </c:pt>
                <c:pt idx="17">
                  <c:v>11.446324912108677</c:v>
                </c:pt>
                <c:pt idx="18">
                  <c:v>6.5306122448979194</c:v>
                </c:pt>
                <c:pt idx="19">
                  <c:v>8.4796065462560257</c:v>
                </c:pt>
                <c:pt idx="20">
                  <c:v>10.743801652892525</c:v>
                </c:pt>
                <c:pt idx="21">
                  <c:v>19.837989750371843</c:v>
                </c:pt>
                <c:pt idx="22">
                  <c:v>49.091801669121296</c:v>
                </c:pt>
                <c:pt idx="23">
                  <c:v>35.385121790651731</c:v>
                </c:pt>
                <c:pt idx="24">
                  <c:v>23.681202025150956</c:v>
                </c:pt>
                <c:pt idx="25">
                  <c:v>9.8887515451172572</c:v>
                </c:pt>
                <c:pt idx="26">
                  <c:v>7.9500000000000943</c:v>
                </c:pt>
                <c:pt idx="27">
                  <c:v>4.080633314290381</c:v>
                </c:pt>
                <c:pt idx="28">
                  <c:v>1.6455487905216861</c:v>
                </c:pt>
                <c:pt idx="29">
                  <c:v>0.84473728670397652</c:v>
                </c:pt>
                <c:pt idx="30">
                  <c:v>5.7194215213659483</c:v>
                </c:pt>
                <c:pt idx="31">
                  <c:v>187.00000000000023</c:v>
                </c:pt>
                <c:pt idx="32">
                  <c:v>109.9999999999999</c:v>
                </c:pt>
                <c:pt idx="33">
                  <c:v>53.333333333333321</c:v>
                </c:pt>
                <c:pt idx="34">
                  <c:v>80.000000000000071</c:v>
                </c:pt>
                <c:pt idx="35">
                  <c:v>43.333333333333179</c:v>
                </c:pt>
                <c:pt idx="36">
                  <c:v>92.222222222222243</c:v>
                </c:pt>
                <c:pt idx="37">
                  <c:v>52.222222222222328</c:v>
                </c:pt>
                <c:pt idx="38">
                  <c:v>99.999999999999773</c:v>
                </c:pt>
                <c:pt idx="39">
                  <c:v>105.55555555555566</c:v>
                </c:pt>
                <c:pt idx="40">
                  <c:v>50.000000000000043</c:v>
                </c:pt>
                <c:pt idx="41">
                  <c:v>68.888888888888701</c:v>
                </c:pt>
                <c:pt idx="42">
                  <c:v>51.111111111111029</c:v>
                </c:pt>
                <c:pt idx="43">
                  <c:v>45.263157894736821</c:v>
                </c:pt>
                <c:pt idx="44">
                  <c:v>20.00000000000011</c:v>
                </c:pt>
                <c:pt idx="45">
                  <c:v>15.454545454545519</c:v>
                </c:pt>
                <c:pt idx="46">
                  <c:v>26.000000000000188</c:v>
                </c:pt>
                <c:pt idx="47">
                  <c:v>21.000000000000185</c:v>
                </c:pt>
                <c:pt idx="48">
                  <c:v>76.153846153846203</c:v>
                </c:pt>
                <c:pt idx="49">
                  <c:v>41.200000000000017</c:v>
                </c:pt>
                <c:pt idx="50">
                  <c:v>39.60000000000008</c:v>
                </c:pt>
                <c:pt idx="51">
                  <c:v>27.600000000000069</c:v>
                </c:pt>
                <c:pt idx="52">
                  <c:v>20.833333333333353</c:v>
                </c:pt>
                <c:pt idx="53">
                  <c:v>43.200000000000017</c:v>
                </c:pt>
                <c:pt idx="54">
                  <c:v>29.230769230769212</c:v>
                </c:pt>
                <c:pt idx="55">
                  <c:v>25.000000000000021</c:v>
                </c:pt>
                <c:pt idx="56">
                  <c:v>23.749999999999932</c:v>
                </c:pt>
                <c:pt idx="57">
                  <c:v>22.222222222222243</c:v>
                </c:pt>
                <c:pt idx="58">
                  <c:v>22.222222222222243</c:v>
                </c:pt>
                <c:pt idx="59">
                  <c:v>21.90476190476187</c:v>
                </c:pt>
                <c:pt idx="60">
                  <c:v>17.999999999999961</c:v>
                </c:pt>
                <c:pt idx="61">
                  <c:v>20.499999999999964</c:v>
                </c:pt>
                <c:pt idx="62">
                  <c:v>12.558139534883757</c:v>
                </c:pt>
                <c:pt idx="63">
                  <c:v>18.000000000000014</c:v>
                </c:pt>
                <c:pt idx="64">
                  <c:v>20.000000000000018</c:v>
                </c:pt>
                <c:pt idx="65">
                  <c:v>16.666666666666682</c:v>
                </c:pt>
                <c:pt idx="66">
                  <c:v>77.894736842105289</c:v>
                </c:pt>
                <c:pt idx="67">
                  <c:v>42.999999999999986</c:v>
                </c:pt>
                <c:pt idx="68">
                  <c:v>35.999999999999922</c:v>
                </c:pt>
                <c:pt idx="69">
                  <c:v>28.837209302325505</c:v>
                </c:pt>
                <c:pt idx="70">
                  <c:v>29.545454545454572</c:v>
                </c:pt>
                <c:pt idx="71">
                  <c:v>26.842105263157862</c:v>
                </c:pt>
                <c:pt idx="72">
                  <c:v>24.000000000000131</c:v>
                </c:pt>
                <c:pt idx="73">
                  <c:v>23.571428571428555</c:v>
                </c:pt>
                <c:pt idx="74">
                  <c:v>37.60000000000008</c:v>
                </c:pt>
                <c:pt idx="75">
                  <c:v>31.53846153846148</c:v>
                </c:pt>
                <c:pt idx="76">
                  <c:v>28.076923076923084</c:v>
                </c:pt>
                <c:pt idx="77">
                  <c:v>23.599999999999955</c:v>
                </c:pt>
                <c:pt idx="78">
                  <c:v>21.176470588235247</c:v>
                </c:pt>
                <c:pt idx="79">
                  <c:v>23.137254901960741</c:v>
                </c:pt>
                <c:pt idx="80">
                  <c:v>30.769230769230795</c:v>
                </c:pt>
                <c:pt idx="81">
                  <c:v>30.188679245282938</c:v>
                </c:pt>
                <c:pt idx="82">
                  <c:v>29.166666666666696</c:v>
                </c:pt>
                <c:pt idx="83">
                  <c:v>20.416666666666732</c:v>
                </c:pt>
                <c:pt idx="84">
                  <c:v>18.000000000000014</c:v>
                </c:pt>
                <c:pt idx="85">
                  <c:v>18.999999999999851</c:v>
                </c:pt>
              </c:numCache>
            </c:numRef>
          </c:xVal>
          <c:yVal>
            <c:numRef>
              <c:f>'Summer '!$I$2:$I$87</c:f>
              <c:numCache>
                <c:formatCode>0.00</c:formatCode>
                <c:ptCount val="86"/>
                <c:pt idx="0">
                  <c:v>51.659921769552554</c:v>
                </c:pt>
                <c:pt idx="1">
                  <c:v>50.228119059076278</c:v>
                </c:pt>
                <c:pt idx="2">
                  <c:v>14.502380030123016</c:v>
                </c:pt>
                <c:pt idx="3">
                  <c:v>11.68107543204323</c:v>
                </c:pt>
                <c:pt idx="4">
                  <c:v>6.4107928979951785</c:v>
                </c:pt>
                <c:pt idx="5">
                  <c:v>4.8049034388889487</c:v>
                </c:pt>
                <c:pt idx="6">
                  <c:v>11.105057316639133</c:v>
                </c:pt>
                <c:pt idx="7">
                  <c:v>29.712120711541949</c:v>
                </c:pt>
                <c:pt idx="8">
                  <c:v>41.279350758196514</c:v>
                </c:pt>
                <c:pt idx="9">
                  <c:v>9.5240654624066199</c:v>
                </c:pt>
                <c:pt idx="10">
                  <c:v>6.5386440491243301</c:v>
                </c:pt>
                <c:pt idx="11">
                  <c:v>5.7074800685992573</c:v>
                </c:pt>
                <c:pt idx="12">
                  <c:v>6.7843516799317234</c:v>
                </c:pt>
                <c:pt idx="13">
                  <c:v>5.7154758689570473</c:v>
                </c:pt>
                <c:pt idx="14">
                  <c:v>5.1903043978196211</c:v>
                </c:pt>
                <c:pt idx="15">
                  <c:v>5.4588115887677189</c:v>
                </c:pt>
                <c:pt idx="16">
                  <c:v>2.0882180227795768</c:v>
                </c:pt>
                <c:pt idx="17">
                  <c:v>3.1493521090486243</c:v>
                </c:pt>
                <c:pt idx="18">
                  <c:v>2.1601520222996071</c:v>
                </c:pt>
                <c:pt idx="19">
                  <c:v>1.5244913860512195</c:v>
                </c:pt>
                <c:pt idx="20">
                  <c:v>1.7083325626172676</c:v>
                </c:pt>
                <c:pt idx="21">
                  <c:v>3.0587693766699737</c:v>
                </c:pt>
                <c:pt idx="22">
                  <c:v>5.365091662580971</c:v>
                </c:pt>
                <c:pt idx="23">
                  <c:v>5.1217720387423311</c:v>
                </c:pt>
                <c:pt idx="24">
                  <c:v>2.2666249098999622</c:v>
                </c:pt>
                <c:pt idx="25">
                  <c:v>1.9722023113621858</c:v>
                </c:pt>
                <c:pt idx="26">
                  <c:v>1.5392300064882425</c:v>
                </c:pt>
                <c:pt idx="27">
                  <c:v>1.5186721608603606</c:v>
                </c:pt>
                <c:pt idx="28">
                  <c:v>1.6114551232671432</c:v>
                </c:pt>
                <c:pt idx="29">
                  <c:v>1.7405149401873126</c:v>
                </c:pt>
                <c:pt idx="30">
                  <c:v>1.4926887941071181</c:v>
                </c:pt>
                <c:pt idx="31">
                  <c:v>29.943162613702402</c:v>
                </c:pt>
                <c:pt idx="32">
                  <c:v>9.5728041053928887</c:v>
                </c:pt>
                <c:pt idx="33">
                  <c:v>6.9336039123826678</c:v>
                </c:pt>
                <c:pt idx="34">
                  <c:v>7.4831808175628005</c:v>
                </c:pt>
                <c:pt idx="35">
                  <c:v>5.9264264545775553</c:v>
                </c:pt>
                <c:pt idx="36">
                  <c:v>8.2845715359535532</c:v>
                </c:pt>
                <c:pt idx="37">
                  <c:v>10.349461276137333</c:v>
                </c:pt>
                <c:pt idx="38">
                  <c:v>13.904536257107111</c:v>
                </c:pt>
                <c:pt idx="39">
                  <c:v>11.14636239930711</c:v>
                </c:pt>
                <c:pt idx="40">
                  <c:v>7.4518284032226658</c:v>
                </c:pt>
                <c:pt idx="41">
                  <c:v>7.5006815567144436</c:v>
                </c:pt>
                <c:pt idx="43">
                  <c:v>5.9197242463532636</c:v>
                </c:pt>
                <c:pt idx="45">
                  <c:v>2.9482215924738182</c:v>
                </c:pt>
                <c:pt idx="47">
                  <c:v>4.2750517220431998</c:v>
                </c:pt>
                <c:pt idx="48">
                  <c:v>7.7777750198526157</c:v>
                </c:pt>
                <c:pt idx="49">
                  <c:v>4.5347124072625604</c:v>
                </c:pt>
                <c:pt idx="50">
                  <c:v>5.8892721735776004</c:v>
                </c:pt>
                <c:pt idx="51">
                  <c:v>4.8035399241483203</c:v>
                </c:pt>
                <c:pt idx="52">
                  <c:v>2.9207235211948697</c:v>
                </c:pt>
                <c:pt idx="53">
                  <c:v>5.5554803410250004</c:v>
                </c:pt>
                <c:pt idx="54">
                  <c:v>5.0814144091067215</c:v>
                </c:pt>
                <c:pt idx="55">
                  <c:v>4.7820987112927114</c:v>
                </c:pt>
                <c:pt idx="56">
                  <c:v>4.036574818279635</c:v>
                </c:pt>
                <c:pt idx="58">
                  <c:v>5.1612909035896664</c:v>
                </c:pt>
                <c:pt idx="60">
                  <c:v>5.1244036630343253</c:v>
                </c:pt>
                <c:pt idx="64">
                  <c:v>3.2424658067957601</c:v>
                </c:pt>
                <c:pt idx="66">
                  <c:v>12.669565136980157</c:v>
                </c:pt>
                <c:pt idx="67">
                  <c:v>6.2713144462450501</c:v>
                </c:pt>
                <c:pt idx="68">
                  <c:v>5.6727429240268501</c:v>
                </c:pt>
                <c:pt idx="69">
                  <c:v>4.6491381895576511</c:v>
                </c:pt>
                <c:pt idx="70">
                  <c:v>5.4238349889706816</c:v>
                </c:pt>
                <c:pt idx="71">
                  <c:v>4.495745790718118</c:v>
                </c:pt>
                <c:pt idx="74">
                  <c:v>5.33941789117765</c:v>
                </c:pt>
                <c:pt idx="75">
                  <c:v>4.6129800011302597</c:v>
                </c:pt>
                <c:pt idx="76">
                  <c:v>4.3837682724738745</c:v>
                </c:pt>
                <c:pt idx="77">
                  <c:v>4.11019377056025</c:v>
                </c:pt>
                <c:pt idx="79">
                  <c:v>3.7641164783656667</c:v>
                </c:pt>
                <c:pt idx="80">
                  <c:v>5.1367506964227401</c:v>
                </c:pt>
                <c:pt idx="81">
                  <c:v>4.1936586314366027</c:v>
                </c:pt>
                <c:pt idx="82">
                  <c:v>4.1850851238478963</c:v>
                </c:pt>
                <c:pt idx="83">
                  <c:v>2.9662137312752392</c:v>
                </c:pt>
                <c:pt idx="85">
                  <c:v>4.7449365167919124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DC-40B6-A929-02CCBE271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22767"/>
        <c:axId val="734720847"/>
      </c:scatterChart>
      <c:valAx>
        <c:axId val="73472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</a:t>
                </a:r>
                <a:r>
                  <a:rPr lang="en-US" baseline="0"/>
                  <a:t> (from filters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0847"/>
        <c:crosses val="autoZero"/>
        <c:crossBetween val="midCat"/>
      </c:valAx>
      <c:valAx>
        <c:axId val="7347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vs DOC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7609383117542507E-2"/>
                  <c:y val="0.2918377648861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'!$F$2:$F$87</c:f>
              <c:numCache>
                <c:formatCode>0.0000</c:formatCode>
                <c:ptCount val="86"/>
                <c:pt idx="0">
                  <c:v>562.3258328827518</c:v>
                </c:pt>
                <c:pt idx="1">
                  <c:v>528.03483941208492</c:v>
                </c:pt>
                <c:pt idx="2">
                  <c:v>143.16904685207069</c:v>
                </c:pt>
                <c:pt idx="3">
                  <c:v>82.761404925313002</c:v>
                </c:pt>
                <c:pt idx="4">
                  <c:v>36.920031971986397</c:v>
                </c:pt>
                <c:pt idx="5">
                  <c:v>22.011886418665991</c:v>
                </c:pt>
                <c:pt idx="6">
                  <c:v>68.980963045912645</c:v>
                </c:pt>
                <c:pt idx="7">
                  <c:v>124.47532204371103</c:v>
                </c:pt>
                <c:pt idx="8">
                  <c:v>359.22024838861807</c:v>
                </c:pt>
                <c:pt idx="9">
                  <c:v>86.111374932725383</c:v>
                </c:pt>
                <c:pt idx="10">
                  <c:v>37.228078044404583</c:v>
                </c:pt>
                <c:pt idx="11">
                  <c:v>30.434986187198604</c:v>
                </c:pt>
                <c:pt idx="12">
                  <c:v>57.726093867648203</c:v>
                </c:pt>
                <c:pt idx="13">
                  <c:v>48.064760941057514</c:v>
                </c:pt>
                <c:pt idx="14">
                  <c:v>55.003694277973992</c:v>
                </c:pt>
                <c:pt idx="15">
                  <c:v>45.164039198977413</c:v>
                </c:pt>
                <c:pt idx="16">
                  <c:v>17.425939756036765</c:v>
                </c:pt>
                <c:pt idx="17">
                  <c:v>11.446324912108677</c:v>
                </c:pt>
                <c:pt idx="18">
                  <c:v>6.5306122448979194</c:v>
                </c:pt>
                <c:pt idx="19">
                  <c:v>8.4796065462560257</c:v>
                </c:pt>
                <c:pt idx="20">
                  <c:v>10.743801652892525</c:v>
                </c:pt>
                <c:pt idx="21">
                  <c:v>19.837989750371843</c:v>
                </c:pt>
                <c:pt idx="22">
                  <c:v>49.091801669121296</c:v>
                </c:pt>
                <c:pt idx="23">
                  <c:v>35.385121790651731</c:v>
                </c:pt>
                <c:pt idx="24">
                  <c:v>23.681202025150956</c:v>
                </c:pt>
                <c:pt idx="25">
                  <c:v>9.8887515451172572</c:v>
                </c:pt>
                <c:pt idx="26">
                  <c:v>7.9500000000000943</c:v>
                </c:pt>
                <c:pt idx="27">
                  <c:v>4.080633314290381</c:v>
                </c:pt>
                <c:pt idx="28">
                  <c:v>1.6455487905216861</c:v>
                </c:pt>
                <c:pt idx="29">
                  <c:v>0.84473728670397652</c:v>
                </c:pt>
                <c:pt idx="30">
                  <c:v>5.7194215213659483</c:v>
                </c:pt>
                <c:pt idx="31">
                  <c:v>187.00000000000023</c:v>
                </c:pt>
                <c:pt idx="32">
                  <c:v>109.9999999999999</c:v>
                </c:pt>
                <c:pt idx="33">
                  <c:v>53.333333333333321</c:v>
                </c:pt>
                <c:pt idx="34">
                  <c:v>80.000000000000071</c:v>
                </c:pt>
                <c:pt idx="35">
                  <c:v>43.333333333333179</c:v>
                </c:pt>
                <c:pt idx="36">
                  <c:v>92.222222222222243</c:v>
                </c:pt>
                <c:pt idx="37">
                  <c:v>52.222222222222328</c:v>
                </c:pt>
                <c:pt idx="38">
                  <c:v>99.999999999999773</c:v>
                </c:pt>
                <c:pt idx="39">
                  <c:v>105.55555555555566</c:v>
                </c:pt>
                <c:pt idx="40">
                  <c:v>50.000000000000043</c:v>
                </c:pt>
                <c:pt idx="41">
                  <c:v>68.888888888888701</c:v>
                </c:pt>
                <c:pt idx="42">
                  <c:v>51.111111111111029</c:v>
                </c:pt>
                <c:pt idx="43">
                  <c:v>45.263157894736821</c:v>
                </c:pt>
                <c:pt idx="44">
                  <c:v>20.00000000000011</c:v>
                </c:pt>
                <c:pt idx="45">
                  <c:v>15.454545454545519</c:v>
                </c:pt>
                <c:pt idx="46">
                  <c:v>26.000000000000188</c:v>
                </c:pt>
                <c:pt idx="47">
                  <c:v>21.000000000000185</c:v>
                </c:pt>
                <c:pt idx="48">
                  <c:v>76.153846153846203</c:v>
                </c:pt>
                <c:pt idx="49">
                  <c:v>41.200000000000017</c:v>
                </c:pt>
                <c:pt idx="50">
                  <c:v>39.60000000000008</c:v>
                </c:pt>
                <c:pt idx="51">
                  <c:v>27.600000000000069</c:v>
                </c:pt>
                <c:pt idx="52">
                  <c:v>20.833333333333353</c:v>
                </c:pt>
                <c:pt idx="53">
                  <c:v>43.200000000000017</c:v>
                </c:pt>
                <c:pt idx="54">
                  <c:v>29.230769230769212</c:v>
                </c:pt>
                <c:pt idx="55">
                  <c:v>25.000000000000021</c:v>
                </c:pt>
                <c:pt idx="56">
                  <c:v>23.749999999999932</c:v>
                </c:pt>
                <c:pt idx="57">
                  <c:v>22.222222222222243</c:v>
                </c:pt>
                <c:pt idx="58">
                  <c:v>22.222222222222243</c:v>
                </c:pt>
                <c:pt idx="59">
                  <c:v>21.90476190476187</c:v>
                </c:pt>
                <c:pt idx="60">
                  <c:v>17.999999999999961</c:v>
                </c:pt>
                <c:pt idx="61">
                  <c:v>20.499999999999964</c:v>
                </c:pt>
                <c:pt idx="62">
                  <c:v>12.558139534883757</c:v>
                </c:pt>
                <c:pt idx="63">
                  <c:v>18.000000000000014</c:v>
                </c:pt>
                <c:pt idx="64">
                  <c:v>20.000000000000018</c:v>
                </c:pt>
                <c:pt idx="65">
                  <c:v>16.666666666666682</c:v>
                </c:pt>
                <c:pt idx="66">
                  <c:v>77.894736842105289</c:v>
                </c:pt>
                <c:pt idx="67">
                  <c:v>42.999999999999986</c:v>
                </c:pt>
                <c:pt idx="68">
                  <c:v>35.999999999999922</c:v>
                </c:pt>
                <c:pt idx="69">
                  <c:v>28.837209302325505</c:v>
                </c:pt>
                <c:pt idx="70">
                  <c:v>29.545454545454572</c:v>
                </c:pt>
                <c:pt idx="71">
                  <c:v>26.842105263157862</c:v>
                </c:pt>
                <c:pt idx="72">
                  <c:v>24.000000000000131</c:v>
                </c:pt>
                <c:pt idx="73">
                  <c:v>23.571428571428555</c:v>
                </c:pt>
                <c:pt idx="74">
                  <c:v>37.60000000000008</c:v>
                </c:pt>
                <c:pt idx="75">
                  <c:v>31.53846153846148</c:v>
                </c:pt>
                <c:pt idx="76">
                  <c:v>28.076923076923084</c:v>
                </c:pt>
                <c:pt idx="77">
                  <c:v>23.599999999999955</c:v>
                </c:pt>
                <c:pt idx="78">
                  <c:v>21.176470588235247</c:v>
                </c:pt>
                <c:pt idx="79">
                  <c:v>23.137254901960741</c:v>
                </c:pt>
                <c:pt idx="80">
                  <c:v>30.769230769230795</c:v>
                </c:pt>
                <c:pt idx="81">
                  <c:v>30.188679245282938</c:v>
                </c:pt>
                <c:pt idx="82">
                  <c:v>29.166666666666696</c:v>
                </c:pt>
                <c:pt idx="83">
                  <c:v>20.416666666666732</c:v>
                </c:pt>
                <c:pt idx="84">
                  <c:v>18.000000000000014</c:v>
                </c:pt>
                <c:pt idx="85">
                  <c:v>18.999999999999851</c:v>
                </c:pt>
              </c:numCache>
            </c:numRef>
          </c:xVal>
          <c:yVal>
            <c:numRef>
              <c:f>'Summer '!$J$2:$J$87</c:f>
              <c:numCache>
                <c:formatCode>0.00</c:formatCode>
                <c:ptCount val="86"/>
                <c:pt idx="0">
                  <c:v>9.1790000000000003</c:v>
                </c:pt>
                <c:pt idx="1">
                  <c:v>12.625</c:v>
                </c:pt>
                <c:pt idx="2">
                  <c:v>13.388</c:v>
                </c:pt>
                <c:pt idx="3">
                  <c:v>12.997</c:v>
                </c:pt>
                <c:pt idx="4">
                  <c:v>12.868</c:v>
                </c:pt>
                <c:pt idx="5">
                  <c:v>11.551</c:v>
                </c:pt>
                <c:pt idx="6">
                  <c:v>4.5220000000000002</c:v>
                </c:pt>
                <c:pt idx="7">
                  <c:v>4.4359999999999999</c:v>
                </c:pt>
                <c:pt idx="8">
                  <c:v>12.442</c:v>
                </c:pt>
                <c:pt idx="9">
                  <c:v>12.977</c:v>
                </c:pt>
                <c:pt idx="10">
                  <c:v>13.108000000000001</c:v>
                </c:pt>
                <c:pt idx="11">
                  <c:v>12.073</c:v>
                </c:pt>
                <c:pt idx="12" formatCode="0.000">
                  <c:v>4.9130000000000003</c:v>
                </c:pt>
                <c:pt idx="13" formatCode="0.000">
                  <c:v>6.55</c:v>
                </c:pt>
                <c:pt idx="14" formatCode="0.000">
                  <c:v>8.0350000000000001</c:v>
                </c:pt>
                <c:pt idx="15" formatCode="0.000">
                  <c:v>8.6910000000000007</c:v>
                </c:pt>
                <c:pt idx="16" formatCode="0.000">
                  <c:v>8.1240000000000006</c:v>
                </c:pt>
                <c:pt idx="17" formatCode="0.000">
                  <c:v>8.0730000000000004</c:v>
                </c:pt>
                <c:pt idx="18" formatCode="0.000">
                  <c:v>3.1280000000000001</c:v>
                </c:pt>
                <c:pt idx="19" formatCode="0.000">
                  <c:v>3.359</c:v>
                </c:pt>
                <c:pt idx="20" formatCode="0.000">
                  <c:v>3.4239999999999999</c:v>
                </c:pt>
                <c:pt idx="21" formatCode="0.000">
                  <c:v>3.9</c:v>
                </c:pt>
                <c:pt idx="22" formatCode="0.000">
                  <c:v>5.2789999999999999</c:v>
                </c:pt>
                <c:pt idx="23" formatCode="0.000">
                  <c:v>7.2069999999999999</c:v>
                </c:pt>
                <c:pt idx="24" formatCode="0.000">
                  <c:v>7.75</c:v>
                </c:pt>
                <c:pt idx="25" formatCode="0.000">
                  <c:v>8.41</c:v>
                </c:pt>
                <c:pt idx="26" formatCode="0.000">
                  <c:v>2.7050000000000001</c:v>
                </c:pt>
                <c:pt idx="27" formatCode="0.000">
                  <c:v>8.4209999999999994</c:v>
                </c:pt>
                <c:pt idx="28" formatCode="0.000">
                  <c:v>8.1829999999999998</c:v>
                </c:pt>
                <c:pt idx="29" formatCode="0.000">
                  <c:v>2.742</c:v>
                </c:pt>
                <c:pt idx="30" formatCode="0.000">
                  <c:v>8.0850000000000009</c:v>
                </c:pt>
                <c:pt idx="31" formatCode="General">
                  <c:v>2.7629999999999999</c:v>
                </c:pt>
                <c:pt idx="32" formatCode="General">
                  <c:v>3.1280000000000001</c:v>
                </c:pt>
                <c:pt idx="33" formatCode="General">
                  <c:v>3.5529999999999999</c:v>
                </c:pt>
                <c:pt idx="34" formatCode="General">
                  <c:v>3.9260000000000002</c:v>
                </c:pt>
                <c:pt idx="35" formatCode="General">
                  <c:v>4.1580000000000004</c:v>
                </c:pt>
                <c:pt idx="36" formatCode="General">
                  <c:v>4.5709999999999997</c:v>
                </c:pt>
                <c:pt idx="37" formatCode="General">
                  <c:v>5.15</c:v>
                </c:pt>
                <c:pt idx="38" formatCode="General">
                  <c:v>8.5760000000000005</c:v>
                </c:pt>
                <c:pt idx="39" formatCode="General">
                  <c:v>4.0309999999999997</c:v>
                </c:pt>
                <c:pt idx="40" formatCode="General">
                  <c:v>4.1859999999999999</c:v>
                </c:pt>
                <c:pt idx="41" formatCode="General">
                  <c:v>4.351</c:v>
                </c:pt>
                <c:pt idx="42" formatCode="General">
                  <c:v>4.3109999999999999</c:v>
                </c:pt>
                <c:pt idx="43" formatCode="General">
                  <c:v>4.4720000000000004</c:v>
                </c:pt>
                <c:pt idx="44" formatCode="General">
                  <c:v>4.6630000000000003</c:v>
                </c:pt>
                <c:pt idx="45" formatCode="General">
                  <c:v>4.9740000000000002</c:v>
                </c:pt>
                <c:pt idx="46" formatCode="General">
                  <c:v>4.9390000000000001</c:v>
                </c:pt>
                <c:pt idx="47" formatCode="General">
                  <c:v>5.2530000000000001</c:v>
                </c:pt>
                <c:pt idx="48" formatCode="General">
                  <c:v>4.4729999999999999</c:v>
                </c:pt>
                <c:pt idx="49" formatCode="General">
                  <c:v>3.9359999999999999</c:v>
                </c:pt>
                <c:pt idx="50" formatCode="General">
                  <c:v>3.9430000000000001</c:v>
                </c:pt>
                <c:pt idx="51" formatCode="General">
                  <c:v>4.0389999999999997</c:v>
                </c:pt>
                <c:pt idx="52" formatCode="General">
                  <c:v>2.786</c:v>
                </c:pt>
                <c:pt idx="53" formatCode="General">
                  <c:v>9.9</c:v>
                </c:pt>
                <c:pt idx="54" formatCode="General">
                  <c:v>3.379</c:v>
                </c:pt>
                <c:pt idx="55" formatCode="General">
                  <c:v>3.1909999999999998</c:v>
                </c:pt>
                <c:pt idx="56" formatCode="General">
                  <c:v>3.1280000000000001</c:v>
                </c:pt>
                <c:pt idx="57" formatCode="General">
                  <c:v>3.3319999999999999</c:v>
                </c:pt>
                <c:pt idx="58" formatCode="General">
                  <c:v>3.1309999999999998</c:v>
                </c:pt>
                <c:pt idx="59" formatCode="General">
                  <c:v>3.286</c:v>
                </c:pt>
                <c:pt idx="60" formatCode="General">
                  <c:v>2.9169999999999998</c:v>
                </c:pt>
                <c:pt idx="61" formatCode="General">
                  <c:v>2.548</c:v>
                </c:pt>
                <c:pt idx="62" formatCode="General">
                  <c:v>2.5049999999999999</c:v>
                </c:pt>
                <c:pt idx="63" formatCode="General">
                  <c:v>2.508</c:v>
                </c:pt>
                <c:pt idx="64" formatCode="General">
                  <c:v>2.4820000000000002</c:v>
                </c:pt>
                <c:pt idx="65" formatCode="General">
                  <c:v>3.1379999999999999</c:v>
                </c:pt>
                <c:pt idx="66" formatCode="General">
                  <c:v>3.1040000000000001</c:v>
                </c:pt>
                <c:pt idx="67" formatCode="General">
                  <c:v>3.3050000000000002</c:v>
                </c:pt>
                <c:pt idx="68" formatCode="General">
                  <c:v>3.3359999999999999</c:v>
                </c:pt>
                <c:pt idx="69" formatCode="General">
                  <c:v>3.1989999999999998</c:v>
                </c:pt>
                <c:pt idx="70" formatCode="General">
                  <c:v>3.226</c:v>
                </c:pt>
                <c:pt idx="71" formatCode="General">
                  <c:v>3.206</c:v>
                </c:pt>
                <c:pt idx="72" formatCode="General">
                  <c:v>3.262</c:v>
                </c:pt>
                <c:pt idx="73" formatCode="General">
                  <c:v>4.2779999999999996</c:v>
                </c:pt>
                <c:pt idx="74" formatCode="General">
                  <c:v>5.4009999999999998</c:v>
                </c:pt>
                <c:pt idx="75" formatCode="General">
                  <c:v>4.8639999999999999</c:v>
                </c:pt>
                <c:pt idx="76" formatCode="General">
                  <c:v>4.6319999999999997</c:v>
                </c:pt>
                <c:pt idx="77" formatCode="General">
                  <c:v>4.1559999999999997</c:v>
                </c:pt>
                <c:pt idx="78" formatCode="General">
                  <c:v>3.2890000000000001</c:v>
                </c:pt>
                <c:pt idx="79" formatCode="General">
                  <c:v>8.7289999999999992</c:v>
                </c:pt>
                <c:pt idx="80" formatCode="General">
                  <c:v>8.7050000000000001</c:v>
                </c:pt>
                <c:pt idx="81" formatCode="General">
                  <c:v>3.1509999999999998</c:v>
                </c:pt>
                <c:pt idx="82" formatCode="General">
                  <c:v>2.3119999999999998</c:v>
                </c:pt>
                <c:pt idx="83" formatCode="General">
                  <c:v>0.74299999999999999</c:v>
                </c:pt>
                <c:pt idx="85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FE-4DAA-A25F-A72323504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22767"/>
        <c:axId val="734720847"/>
      </c:scatterChart>
      <c:valAx>
        <c:axId val="73472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</a:t>
                </a:r>
                <a:r>
                  <a:rPr lang="en-US" baseline="0"/>
                  <a:t> (from filters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0847"/>
        <c:crosses val="autoZero"/>
        <c:crossBetween val="midCat"/>
      </c:valAx>
      <c:valAx>
        <c:axId val="7347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vs 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4280472732763955"/>
                  <c:y val="-1.90478900367711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'!$F$2:$F$87</c:f>
              <c:numCache>
                <c:formatCode>0.0000</c:formatCode>
                <c:ptCount val="86"/>
                <c:pt idx="0">
                  <c:v>562.3258328827518</c:v>
                </c:pt>
                <c:pt idx="1">
                  <c:v>528.03483941208492</c:v>
                </c:pt>
                <c:pt idx="2">
                  <c:v>143.16904685207069</c:v>
                </c:pt>
                <c:pt idx="3">
                  <c:v>82.761404925313002</c:v>
                </c:pt>
                <c:pt idx="4">
                  <c:v>36.920031971986397</c:v>
                </c:pt>
                <c:pt idx="5">
                  <c:v>22.011886418665991</c:v>
                </c:pt>
                <c:pt idx="6">
                  <c:v>68.980963045912645</c:v>
                </c:pt>
                <c:pt idx="7">
                  <c:v>124.47532204371103</c:v>
                </c:pt>
                <c:pt idx="8">
                  <c:v>359.22024838861807</c:v>
                </c:pt>
                <c:pt idx="9">
                  <c:v>86.111374932725383</c:v>
                </c:pt>
                <c:pt idx="10">
                  <c:v>37.228078044404583</c:v>
                </c:pt>
                <c:pt idx="11">
                  <c:v>30.434986187198604</c:v>
                </c:pt>
                <c:pt idx="12">
                  <c:v>57.726093867648203</c:v>
                </c:pt>
                <c:pt idx="13">
                  <c:v>48.064760941057514</c:v>
                </c:pt>
                <c:pt idx="14">
                  <c:v>55.003694277973992</c:v>
                </c:pt>
                <c:pt idx="15">
                  <c:v>45.164039198977413</c:v>
                </c:pt>
                <c:pt idx="16">
                  <c:v>17.425939756036765</c:v>
                </c:pt>
                <c:pt idx="17">
                  <c:v>11.446324912108677</c:v>
                </c:pt>
                <c:pt idx="18">
                  <c:v>6.5306122448979194</c:v>
                </c:pt>
                <c:pt idx="19">
                  <c:v>8.4796065462560257</c:v>
                </c:pt>
                <c:pt idx="20">
                  <c:v>10.743801652892525</c:v>
                </c:pt>
                <c:pt idx="21">
                  <c:v>19.837989750371843</c:v>
                </c:pt>
                <c:pt idx="22">
                  <c:v>49.091801669121296</c:v>
                </c:pt>
                <c:pt idx="23">
                  <c:v>35.385121790651731</c:v>
                </c:pt>
                <c:pt idx="24">
                  <c:v>23.681202025150956</c:v>
                </c:pt>
                <c:pt idx="25">
                  <c:v>9.8887515451172572</c:v>
                </c:pt>
                <c:pt idx="26">
                  <c:v>7.9500000000000943</c:v>
                </c:pt>
                <c:pt idx="27">
                  <c:v>4.080633314290381</c:v>
                </c:pt>
                <c:pt idx="28">
                  <c:v>1.6455487905216861</c:v>
                </c:pt>
                <c:pt idx="29">
                  <c:v>0.84473728670397652</c:v>
                </c:pt>
                <c:pt idx="30">
                  <c:v>5.7194215213659483</c:v>
                </c:pt>
                <c:pt idx="31">
                  <c:v>187.00000000000023</c:v>
                </c:pt>
                <c:pt idx="32">
                  <c:v>109.9999999999999</c:v>
                </c:pt>
                <c:pt idx="33">
                  <c:v>53.333333333333321</c:v>
                </c:pt>
                <c:pt idx="34">
                  <c:v>80.000000000000071</c:v>
                </c:pt>
                <c:pt idx="35">
                  <c:v>43.333333333333179</c:v>
                </c:pt>
                <c:pt idx="36">
                  <c:v>92.222222222222243</c:v>
                </c:pt>
                <c:pt idx="37">
                  <c:v>52.222222222222328</c:v>
                </c:pt>
                <c:pt idx="38">
                  <c:v>99.999999999999773</c:v>
                </c:pt>
                <c:pt idx="39">
                  <c:v>105.55555555555566</c:v>
                </c:pt>
                <c:pt idx="40">
                  <c:v>50.000000000000043</c:v>
                </c:pt>
                <c:pt idx="41">
                  <c:v>68.888888888888701</c:v>
                </c:pt>
                <c:pt idx="42">
                  <c:v>51.111111111111029</c:v>
                </c:pt>
                <c:pt idx="43">
                  <c:v>45.263157894736821</c:v>
                </c:pt>
                <c:pt idx="44">
                  <c:v>20.00000000000011</c:v>
                </c:pt>
                <c:pt idx="45">
                  <c:v>15.454545454545519</c:v>
                </c:pt>
                <c:pt idx="46">
                  <c:v>26.000000000000188</c:v>
                </c:pt>
                <c:pt idx="47">
                  <c:v>21.000000000000185</c:v>
                </c:pt>
                <c:pt idx="48">
                  <c:v>76.153846153846203</c:v>
                </c:pt>
                <c:pt idx="49">
                  <c:v>41.200000000000017</c:v>
                </c:pt>
                <c:pt idx="50">
                  <c:v>39.60000000000008</c:v>
                </c:pt>
                <c:pt idx="51">
                  <c:v>27.600000000000069</c:v>
                </c:pt>
                <c:pt idx="52">
                  <c:v>20.833333333333353</c:v>
                </c:pt>
                <c:pt idx="53">
                  <c:v>43.200000000000017</c:v>
                </c:pt>
                <c:pt idx="54">
                  <c:v>29.230769230769212</c:v>
                </c:pt>
                <c:pt idx="55">
                  <c:v>25.000000000000021</c:v>
                </c:pt>
                <c:pt idx="56">
                  <c:v>23.749999999999932</c:v>
                </c:pt>
                <c:pt idx="57">
                  <c:v>22.222222222222243</c:v>
                </c:pt>
                <c:pt idx="58">
                  <c:v>22.222222222222243</c:v>
                </c:pt>
                <c:pt idx="59">
                  <c:v>21.90476190476187</c:v>
                </c:pt>
                <c:pt idx="60">
                  <c:v>17.999999999999961</c:v>
                </c:pt>
                <c:pt idx="61">
                  <c:v>20.499999999999964</c:v>
                </c:pt>
                <c:pt idx="62">
                  <c:v>12.558139534883757</c:v>
                </c:pt>
                <c:pt idx="63">
                  <c:v>18.000000000000014</c:v>
                </c:pt>
                <c:pt idx="64">
                  <c:v>20.000000000000018</c:v>
                </c:pt>
                <c:pt idx="65">
                  <c:v>16.666666666666682</c:v>
                </c:pt>
                <c:pt idx="66">
                  <c:v>77.894736842105289</c:v>
                </c:pt>
                <c:pt idx="67">
                  <c:v>42.999999999999986</c:v>
                </c:pt>
                <c:pt idx="68">
                  <c:v>35.999999999999922</c:v>
                </c:pt>
                <c:pt idx="69">
                  <c:v>28.837209302325505</c:v>
                </c:pt>
                <c:pt idx="70">
                  <c:v>29.545454545454572</c:v>
                </c:pt>
                <c:pt idx="71">
                  <c:v>26.842105263157862</c:v>
                </c:pt>
                <c:pt idx="72">
                  <c:v>24.000000000000131</c:v>
                </c:pt>
                <c:pt idx="73">
                  <c:v>23.571428571428555</c:v>
                </c:pt>
                <c:pt idx="74">
                  <c:v>37.60000000000008</c:v>
                </c:pt>
                <c:pt idx="75">
                  <c:v>31.53846153846148</c:v>
                </c:pt>
                <c:pt idx="76">
                  <c:v>28.076923076923084</c:v>
                </c:pt>
                <c:pt idx="77">
                  <c:v>23.599999999999955</c:v>
                </c:pt>
                <c:pt idx="78">
                  <c:v>21.176470588235247</c:v>
                </c:pt>
                <c:pt idx="79">
                  <c:v>23.137254901960741</c:v>
                </c:pt>
                <c:pt idx="80">
                  <c:v>30.769230769230795</c:v>
                </c:pt>
                <c:pt idx="81">
                  <c:v>30.188679245282938</c:v>
                </c:pt>
                <c:pt idx="82">
                  <c:v>29.166666666666696</c:v>
                </c:pt>
                <c:pt idx="83">
                  <c:v>20.416666666666732</c:v>
                </c:pt>
                <c:pt idx="84">
                  <c:v>18.000000000000014</c:v>
                </c:pt>
                <c:pt idx="85">
                  <c:v>18.999999999999851</c:v>
                </c:pt>
              </c:numCache>
            </c:numRef>
          </c:xVal>
          <c:yVal>
            <c:numRef>
              <c:f>'Summer '!$K$2:$K$87</c:f>
              <c:numCache>
                <c:formatCode>General</c:formatCode>
                <c:ptCount val="86"/>
                <c:pt idx="0">
                  <c:v>1.19</c:v>
                </c:pt>
                <c:pt idx="1">
                  <c:v>1.63</c:v>
                </c:pt>
                <c:pt idx="2">
                  <c:v>0.77</c:v>
                </c:pt>
                <c:pt idx="3">
                  <c:v>0.5</c:v>
                </c:pt>
                <c:pt idx="4">
                  <c:v>0.1</c:v>
                </c:pt>
                <c:pt idx="5">
                  <c:v>7.0000000000000007E-2</c:v>
                </c:pt>
                <c:pt idx="6">
                  <c:v>0.15</c:v>
                </c:pt>
                <c:pt idx="7">
                  <c:v>0.28000000000000003</c:v>
                </c:pt>
                <c:pt idx="8">
                  <c:v>1.66</c:v>
                </c:pt>
                <c:pt idx="9">
                  <c:v>0.38</c:v>
                </c:pt>
                <c:pt idx="10">
                  <c:v>0.13</c:v>
                </c:pt>
                <c:pt idx="11">
                  <c:v>0.06</c:v>
                </c:pt>
                <c:pt idx="12">
                  <c:v>0.48</c:v>
                </c:pt>
                <c:pt idx="13">
                  <c:v>0.4</c:v>
                </c:pt>
                <c:pt idx="14">
                  <c:v>0.14000000000000001</c:v>
                </c:pt>
                <c:pt idx="17">
                  <c:v>0.08</c:v>
                </c:pt>
                <c:pt idx="20">
                  <c:v>0.1</c:v>
                </c:pt>
                <c:pt idx="22">
                  <c:v>0.11</c:v>
                </c:pt>
                <c:pt idx="24">
                  <c:v>0.17</c:v>
                </c:pt>
                <c:pt idx="25">
                  <c:v>0.28999999999999998</c:v>
                </c:pt>
                <c:pt idx="30">
                  <c:v>0.06</c:v>
                </c:pt>
                <c:pt idx="31">
                  <c:v>1.89E-2</c:v>
                </c:pt>
                <c:pt idx="32">
                  <c:v>6.9500000000000006E-2</c:v>
                </c:pt>
                <c:pt idx="33">
                  <c:v>4.1099999999999998E-2</c:v>
                </c:pt>
                <c:pt idx="34">
                  <c:v>7.5700000000000003E-2</c:v>
                </c:pt>
                <c:pt idx="35">
                  <c:v>6.6299999999999998E-2</c:v>
                </c:pt>
                <c:pt idx="36">
                  <c:v>3.6499999999999998E-2</c:v>
                </c:pt>
                <c:pt idx="37">
                  <c:v>2.12E-2</c:v>
                </c:pt>
                <c:pt idx="38">
                  <c:v>1.04E-2</c:v>
                </c:pt>
                <c:pt idx="39">
                  <c:v>7.0000000000000007E-2</c:v>
                </c:pt>
                <c:pt idx="40">
                  <c:v>7.1599999999999997E-2</c:v>
                </c:pt>
                <c:pt idx="41">
                  <c:v>4.7199999999999999E-2</c:v>
                </c:pt>
                <c:pt idx="42">
                  <c:v>6.0499999999999998E-2</c:v>
                </c:pt>
                <c:pt idx="43">
                  <c:v>6.6199999999999995E-2</c:v>
                </c:pt>
                <c:pt idx="45">
                  <c:v>1.83E-2</c:v>
                </c:pt>
                <c:pt idx="46">
                  <c:v>1.9300000000000001E-2</c:v>
                </c:pt>
                <c:pt idx="48">
                  <c:v>6.83E-2</c:v>
                </c:pt>
                <c:pt idx="49">
                  <c:v>9.6100000000000005E-2</c:v>
                </c:pt>
                <c:pt idx="50">
                  <c:v>9.6799999999999997E-2</c:v>
                </c:pt>
                <c:pt idx="51">
                  <c:v>9.06E-2</c:v>
                </c:pt>
                <c:pt idx="52">
                  <c:v>3.9199999999999999E-2</c:v>
                </c:pt>
                <c:pt idx="53">
                  <c:v>7.1000000000000004E-3</c:v>
                </c:pt>
                <c:pt idx="54">
                  <c:v>8.2199999999999995E-2</c:v>
                </c:pt>
                <c:pt idx="55">
                  <c:v>5.8000000000000003E-2</c:v>
                </c:pt>
                <c:pt idx="56">
                  <c:v>5.79E-2</c:v>
                </c:pt>
                <c:pt idx="57">
                  <c:v>5.8299999999999998E-2</c:v>
                </c:pt>
                <c:pt idx="58">
                  <c:v>4.6899999999999997E-2</c:v>
                </c:pt>
                <c:pt idx="59">
                  <c:v>1.77E-2</c:v>
                </c:pt>
                <c:pt idx="60">
                  <c:v>3.1800000000000002E-2</c:v>
                </c:pt>
                <c:pt idx="61">
                  <c:v>4.8099999999999997E-2</c:v>
                </c:pt>
                <c:pt idx="62">
                  <c:v>1.8800000000000001E-2</c:v>
                </c:pt>
                <c:pt idx="63">
                  <c:v>6.4299999999999996E-2</c:v>
                </c:pt>
                <c:pt idx="64">
                  <c:v>3.4000000000000002E-2</c:v>
                </c:pt>
                <c:pt idx="66">
                  <c:v>5.8700000000000002E-2</c:v>
                </c:pt>
                <c:pt idx="67">
                  <c:v>0.12139999999999999</c:v>
                </c:pt>
                <c:pt idx="68">
                  <c:v>2.3699999999999999E-2</c:v>
                </c:pt>
                <c:pt idx="69">
                  <c:v>9.7699999999999995E-2</c:v>
                </c:pt>
                <c:pt idx="70">
                  <c:v>0.17730000000000001</c:v>
                </c:pt>
                <c:pt idx="72">
                  <c:v>6.9000000000000006E-2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26-4F0D-BE85-81716D39D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22767"/>
        <c:axId val="734720847"/>
      </c:scatterChart>
      <c:valAx>
        <c:axId val="73472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</a:t>
                </a:r>
                <a:r>
                  <a:rPr lang="en-US" baseline="0"/>
                  <a:t> (from filters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0847"/>
        <c:crosses val="autoZero"/>
        <c:crossBetween val="midCat"/>
      </c:valAx>
      <c:valAx>
        <c:axId val="7347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vs SRP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7651309304924033E-2"/>
                  <c:y val="0.298455015771550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'!$F$2:$F$87</c:f>
              <c:numCache>
                <c:formatCode>0.0000</c:formatCode>
                <c:ptCount val="86"/>
                <c:pt idx="0">
                  <c:v>562.3258328827518</c:v>
                </c:pt>
                <c:pt idx="1">
                  <c:v>528.03483941208492</c:v>
                </c:pt>
                <c:pt idx="2">
                  <c:v>143.16904685207069</c:v>
                </c:pt>
                <c:pt idx="3">
                  <c:v>82.761404925313002</c:v>
                </c:pt>
                <c:pt idx="4">
                  <c:v>36.920031971986397</c:v>
                </c:pt>
                <c:pt idx="5">
                  <c:v>22.011886418665991</c:v>
                </c:pt>
                <c:pt idx="6">
                  <c:v>68.980963045912645</c:v>
                </c:pt>
                <c:pt idx="7">
                  <c:v>124.47532204371103</c:v>
                </c:pt>
                <c:pt idx="8">
                  <c:v>359.22024838861807</c:v>
                </c:pt>
                <c:pt idx="9">
                  <c:v>86.111374932725383</c:v>
                </c:pt>
                <c:pt idx="10">
                  <c:v>37.228078044404583</c:v>
                </c:pt>
                <c:pt idx="11">
                  <c:v>30.434986187198604</c:v>
                </c:pt>
                <c:pt idx="12">
                  <c:v>57.726093867648203</c:v>
                </c:pt>
                <c:pt idx="13">
                  <c:v>48.064760941057514</c:v>
                </c:pt>
                <c:pt idx="14">
                  <c:v>55.003694277973992</c:v>
                </c:pt>
                <c:pt idx="15">
                  <c:v>45.164039198977413</c:v>
                </c:pt>
                <c:pt idx="16">
                  <c:v>17.425939756036765</c:v>
                </c:pt>
                <c:pt idx="17">
                  <c:v>11.446324912108677</c:v>
                </c:pt>
                <c:pt idx="18">
                  <c:v>6.5306122448979194</c:v>
                </c:pt>
                <c:pt idx="19">
                  <c:v>8.4796065462560257</c:v>
                </c:pt>
                <c:pt idx="20">
                  <c:v>10.743801652892525</c:v>
                </c:pt>
                <c:pt idx="21">
                  <c:v>19.837989750371843</c:v>
                </c:pt>
                <c:pt idx="22">
                  <c:v>49.091801669121296</c:v>
                </c:pt>
                <c:pt idx="23">
                  <c:v>35.385121790651731</c:v>
                </c:pt>
                <c:pt idx="24">
                  <c:v>23.681202025150956</c:v>
                </c:pt>
                <c:pt idx="25">
                  <c:v>9.8887515451172572</c:v>
                </c:pt>
                <c:pt idx="26">
                  <c:v>7.9500000000000943</c:v>
                </c:pt>
                <c:pt idx="27">
                  <c:v>4.080633314290381</c:v>
                </c:pt>
                <c:pt idx="28">
                  <c:v>1.6455487905216861</c:v>
                </c:pt>
                <c:pt idx="29">
                  <c:v>0.84473728670397652</c:v>
                </c:pt>
                <c:pt idx="30">
                  <c:v>5.7194215213659483</c:v>
                </c:pt>
                <c:pt idx="31">
                  <c:v>187.00000000000023</c:v>
                </c:pt>
                <c:pt idx="32">
                  <c:v>109.9999999999999</c:v>
                </c:pt>
                <c:pt idx="33">
                  <c:v>53.333333333333321</c:v>
                </c:pt>
                <c:pt idx="34">
                  <c:v>80.000000000000071</c:v>
                </c:pt>
                <c:pt idx="35">
                  <c:v>43.333333333333179</c:v>
                </c:pt>
                <c:pt idx="36">
                  <c:v>92.222222222222243</c:v>
                </c:pt>
                <c:pt idx="37">
                  <c:v>52.222222222222328</c:v>
                </c:pt>
                <c:pt idx="38">
                  <c:v>99.999999999999773</c:v>
                </c:pt>
                <c:pt idx="39">
                  <c:v>105.55555555555566</c:v>
                </c:pt>
                <c:pt idx="40">
                  <c:v>50.000000000000043</c:v>
                </c:pt>
                <c:pt idx="41">
                  <c:v>68.888888888888701</c:v>
                </c:pt>
                <c:pt idx="42">
                  <c:v>51.111111111111029</c:v>
                </c:pt>
                <c:pt idx="43">
                  <c:v>45.263157894736821</c:v>
                </c:pt>
                <c:pt idx="44">
                  <c:v>20.00000000000011</c:v>
                </c:pt>
                <c:pt idx="45">
                  <c:v>15.454545454545519</c:v>
                </c:pt>
                <c:pt idx="46">
                  <c:v>26.000000000000188</c:v>
                </c:pt>
                <c:pt idx="47">
                  <c:v>21.000000000000185</c:v>
                </c:pt>
                <c:pt idx="48">
                  <c:v>76.153846153846203</c:v>
                </c:pt>
                <c:pt idx="49">
                  <c:v>41.200000000000017</c:v>
                </c:pt>
                <c:pt idx="50">
                  <c:v>39.60000000000008</c:v>
                </c:pt>
                <c:pt idx="51">
                  <c:v>27.600000000000069</c:v>
                </c:pt>
                <c:pt idx="52">
                  <c:v>20.833333333333353</c:v>
                </c:pt>
                <c:pt idx="53">
                  <c:v>43.200000000000017</c:v>
                </c:pt>
                <c:pt idx="54">
                  <c:v>29.230769230769212</c:v>
                </c:pt>
                <c:pt idx="55">
                  <c:v>25.000000000000021</c:v>
                </c:pt>
                <c:pt idx="56">
                  <c:v>23.749999999999932</c:v>
                </c:pt>
                <c:pt idx="57">
                  <c:v>22.222222222222243</c:v>
                </c:pt>
                <c:pt idx="58">
                  <c:v>22.222222222222243</c:v>
                </c:pt>
                <c:pt idx="59">
                  <c:v>21.90476190476187</c:v>
                </c:pt>
                <c:pt idx="60">
                  <c:v>17.999999999999961</c:v>
                </c:pt>
                <c:pt idx="61">
                  <c:v>20.499999999999964</c:v>
                </c:pt>
                <c:pt idx="62">
                  <c:v>12.558139534883757</c:v>
                </c:pt>
                <c:pt idx="63">
                  <c:v>18.000000000000014</c:v>
                </c:pt>
                <c:pt idx="64">
                  <c:v>20.000000000000018</c:v>
                </c:pt>
                <c:pt idx="65">
                  <c:v>16.666666666666682</c:v>
                </c:pt>
                <c:pt idx="66">
                  <c:v>77.894736842105289</c:v>
                </c:pt>
                <c:pt idx="67">
                  <c:v>42.999999999999986</c:v>
                </c:pt>
                <c:pt idx="68">
                  <c:v>35.999999999999922</c:v>
                </c:pt>
                <c:pt idx="69">
                  <c:v>28.837209302325505</c:v>
                </c:pt>
                <c:pt idx="70">
                  <c:v>29.545454545454572</c:v>
                </c:pt>
                <c:pt idx="71">
                  <c:v>26.842105263157862</c:v>
                </c:pt>
                <c:pt idx="72">
                  <c:v>24.000000000000131</c:v>
                </c:pt>
                <c:pt idx="73">
                  <c:v>23.571428571428555</c:v>
                </c:pt>
                <c:pt idx="74">
                  <c:v>37.60000000000008</c:v>
                </c:pt>
                <c:pt idx="75">
                  <c:v>31.53846153846148</c:v>
                </c:pt>
                <c:pt idx="76">
                  <c:v>28.076923076923084</c:v>
                </c:pt>
                <c:pt idx="77">
                  <c:v>23.599999999999955</c:v>
                </c:pt>
                <c:pt idx="78">
                  <c:v>21.176470588235247</c:v>
                </c:pt>
                <c:pt idx="79">
                  <c:v>23.137254901960741</c:v>
                </c:pt>
                <c:pt idx="80">
                  <c:v>30.769230769230795</c:v>
                </c:pt>
                <c:pt idx="81">
                  <c:v>30.188679245282938</c:v>
                </c:pt>
                <c:pt idx="82">
                  <c:v>29.166666666666696</c:v>
                </c:pt>
                <c:pt idx="83">
                  <c:v>20.416666666666732</c:v>
                </c:pt>
                <c:pt idx="84">
                  <c:v>18.000000000000014</c:v>
                </c:pt>
                <c:pt idx="85">
                  <c:v>18.999999999999851</c:v>
                </c:pt>
              </c:numCache>
            </c:numRef>
          </c:xVal>
          <c:yVal>
            <c:numRef>
              <c:f>'Summer '!$L$2:$L$87</c:f>
              <c:numCache>
                <c:formatCode>General</c:formatCode>
                <c:ptCount val="86"/>
                <c:pt idx="0">
                  <c:v>6.2E-2</c:v>
                </c:pt>
                <c:pt idx="1">
                  <c:v>8.7999999999999995E-2</c:v>
                </c:pt>
                <c:pt idx="2">
                  <c:v>8.7999999999999995E-2</c:v>
                </c:pt>
                <c:pt idx="3">
                  <c:v>8.3000000000000004E-2</c:v>
                </c:pt>
                <c:pt idx="4">
                  <c:v>5.2999999999999999E-2</c:v>
                </c:pt>
                <c:pt idx="5">
                  <c:v>4.7E-2</c:v>
                </c:pt>
                <c:pt idx="6">
                  <c:v>4.2000000000000003E-2</c:v>
                </c:pt>
                <c:pt idx="7">
                  <c:v>4.4999999999999998E-2</c:v>
                </c:pt>
                <c:pt idx="8">
                  <c:v>0.09</c:v>
                </c:pt>
                <c:pt idx="9">
                  <c:v>8.3000000000000004E-2</c:v>
                </c:pt>
                <c:pt idx="10">
                  <c:v>6.7000000000000004E-2</c:v>
                </c:pt>
                <c:pt idx="11">
                  <c:v>4.8000000000000001E-2</c:v>
                </c:pt>
                <c:pt idx="12">
                  <c:v>1.49059E-2</c:v>
                </c:pt>
                <c:pt idx="13">
                  <c:v>7.15306E-2</c:v>
                </c:pt>
                <c:pt idx="14">
                  <c:v>5.4371599999999999E-2</c:v>
                </c:pt>
                <c:pt idx="17">
                  <c:v>2.8633100000000002E-2</c:v>
                </c:pt>
                <c:pt idx="20">
                  <c:v>1.1474099999999999E-2</c:v>
                </c:pt>
                <c:pt idx="22">
                  <c:v>2.6917199999999999E-2</c:v>
                </c:pt>
                <c:pt idx="24">
                  <c:v>5.09398E-2</c:v>
                </c:pt>
                <c:pt idx="25">
                  <c:v>3.8928499999999998E-2</c:v>
                </c:pt>
                <c:pt idx="30">
                  <c:v>3.0349000000000001E-2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54-41BC-8C12-80FA44C80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22767"/>
        <c:axId val="734720847"/>
      </c:scatterChart>
      <c:valAx>
        <c:axId val="73472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</a:t>
                </a:r>
                <a:r>
                  <a:rPr lang="en-US" baseline="0"/>
                  <a:t> (from filters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0847"/>
        <c:crosses val="autoZero"/>
        <c:crossBetween val="midCat"/>
      </c:valAx>
      <c:valAx>
        <c:axId val="7347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vs TP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082568694473166"/>
                  <c:y val="-1.70650898175209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'!$F$2:$F$87</c:f>
              <c:numCache>
                <c:formatCode>0.0000</c:formatCode>
                <c:ptCount val="86"/>
                <c:pt idx="0">
                  <c:v>562.3258328827518</c:v>
                </c:pt>
                <c:pt idx="1">
                  <c:v>528.03483941208492</c:v>
                </c:pt>
                <c:pt idx="2">
                  <c:v>143.16904685207069</c:v>
                </c:pt>
                <c:pt idx="3">
                  <c:v>82.761404925313002</c:v>
                </c:pt>
                <c:pt idx="4">
                  <c:v>36.920031971986397</c:v>
                </c:pt>
                <c:pt idx="5">
                  <c:v>22.011886418665991</c:v>
                </c:pt>
                <c:pt idx="6">
                  <c:v>68.980963045912645</c:v>
                </c:pt>
                <c:pt idx="7">
                  <c:v>124.47532204371103</c:v>
                </c:pt>
                <c:pt idx="8">
                  <c:v>359.22024838861807</c:v>
                </c:pt>
                <c:pt idx="9">
                  <c:v>86.111374932725383</c:v>
                </c:pt>
                <c:pt idx="10">
                  <c:v>37.228078044404583</c:v>
                </c:pt>
                <c:pt idx="11">
                  <c:v>30.434986187198604</c:v>
                </c:pt>
                <c:pt idx="12">
                  <c:v>57.726093867648203</c:v>
                </c:pt>
                <c:pt idx="13">
                  <c:v>48.064760941057514</c:v>
                </c:pt>
                <c:pt idx="14">
                  <c:v>55.003694277973992</c:v>
                </c:pt>
                <c:pt idx="15">
                  <c:v>45.164039198977413</c:v>
                </c:pt>
                <c:pt idx="16">
                  <c:v>17.425939756036765</c:v>
                </c:pt>
                <c:pt idx="17">
                  <c:v>11.446324912108677</c:v>
                </c:pt>
                <c:pt idx="18">
                  <c:v>6.5306122448979194</c:v>
                </c:pt>
                <c:pt idx="19">
                  <c:v>8.4796065462560257</c:v>
                </c:pt>
                <c:pt idx="20">
                  <c:v>10.743801652892525</c:v>
                </c:pt>
                <c:pt idx="21">
                  <c:v>19.837989750371843</c:v>
                </c:pt>
                <c:pt idx="22">
                  <c:v>49.091801669121296</c:v>
                </c:pt>
                <c:pt idx="23">
                  <c:v>35.385121790651731</c:v>
                </c:pt>
                <c:pt idx="24">
                  <c:v>23.681202025150956</c:v>
                </c:pt>
                <c:pt idx="25">
                  <c:v>9.8887515451172572</c:v>
                </c:pt>
                <c:pt idx="26">
                  <c:v>7.9500000000000943</c:v>
                </c:pt>
                <c:pt idx="27">
                  <c:v>4.080633314290381</c:v>
                </c:pt>
                <c:pt idx="28">
                  <c:v>1.6455487905216861</c:v>
                </c:pt>
                <c:pt idx="29">
                  <c:v>0.84473728670397652</c:v>
                </c:pt>
                <c:pt idx="30">
                  <c:v>5.7194215213659483</c:v>
                </c:pt>
                <c:pt idx="31">
                  <c:v>187.00000000000023</c:v>
                </c:pt>
                <c:pt idx="32">
                  <c:v>109.9999999999999</c:v>
                </c:pt>
                <c:pt idx="33">
                  <c:v>53.333333333333321</c:v>
                </c:pt>
                <c:pt idx="34">
                  <c:v>80.000000000000071</c:v>
                </c:pt>
                <c:pt idx="35">
                  <c:v>43.333333333333179</c:v>
                </c:pt>
                <c:pt idx="36">
                  <c:v>92.222222222222243</c:v>
                </c:pt>
                <c:pt idx="37">
                  <c:v>52.222222222222328</c:v>
                </c:pt>
                <c:pt idx="38">
                  <c:v>99.999999999999773</c:v>
                </c:pt>
                <c:pt idx="39">
                  <c:v>105.55555555555566</c:v>
                </c:pt>
                <c:pt idx="40">
                  <c:v>50.000000000000043</c:v>
                </c:pt>
                <c:pt idx="41">
                  <c:v>68.888888888888701</c:v>
                </c:pt>
                <c:pt idx="42">
                  <c:v>51.111111111111029</c:v>
                </c:pt>
                <c:pt idx="43">
                  <c:v>45.263157894736821</c:v>
                </c:pt>
                <c:pt idx="44">
                  <c:v>20.00000000000011</c:v>
                </c:pt>
                <c:pt idx="45">
                  <c:v>15.454545454545519</c:v>
                </c:pt>
                <c:pt idx="46">
                  <c:v>26.000000000000188</c:v>
                </c:pt>
                <c:pt idx="47">
                  <c:v>21.000000000000185</c:v>
                </c:pt>
                <c:pt idx="48">
                  <c:v>76.153846153846203</c:v>
                </c:pt>
                <c:pt idx="49">
                  <c:v>41.200000000000017</c:v>
                </c:pt>
                <c:pt idx="50">
                  <c:v>39.60000000000008</c:v>
                </c:pt>
                <c:pt idx="51">
                  <c:v>27.600000000000069</c:v>
                </c:pt>
                <c:pt idx="52">
                  <c:v>20.833333333333353</c:v>
                </c:pt>
                <c:pt idx="53">
                  <c:v>43.200000000000017</c:v>
                </c:pt>
                <c:pt idx="54">
                  <c:v>29.230769230769212</c:v>
                </c:pt>
                <c:pt idx="55">
                  <c:v>25.000000000000021</c:v>
                </c:pt>
                <c:pt idx="56">
                  <c:v>23.749999999999932</c:v>
                </c:pt>
                <c:pt idx="57">
                  <c:v>22.222222222222243</c:v>
                </c:pt>
                <c:pt idx="58">
                  <c:v>22.222222222222243</c:v>
                </c:pt>
                <c:pt idx="59">
                  <c:v>21.90476190476187</c:v>
                </c:pt>
                <c:pt idx="60">
                  <c:v>17.999999999999961</c:v>
                </c:pt>
                <c:pt idx="61">
                  <c:v>20.499999999999964</c:v>
                </c:pt>
                <c:pt idx="62">
                  <c:v>12.558139534883757</c:v>
                </c:pt>
                <c:pt idx="63">
                  <c:v>18.000000000000014</c:v>
                </c:pt>
                <c:pt idx="64">
                  <c:v>20.000000000000018</c:v>
                </c:pt>
                <c:pt idx="65">
                  <c:v>16.666666666666682</c:v>
                </c:pt>
                <c:pt idx="66">
                  <c:v>77.894736842105289</c:v>
                </c:pt>
                <c:pt idx="67">
                  <c:v>42.999999999999986</c:v>
                </c:pt>
                <c:pt idx="68">
                  <c:v>35.999999999999922</c:v>
                </c:pt>
                <c:pt idx="69">
                  <c:v>28.837209302325505</c:v>
                </c:pt>
                <c:pt idx="70">
                  <c:v>29.545454545454572</c:v>
                </c:pt>
                <c:pt idx="71">
                  <c:v>26.842105263157862</c:v>
                </c:pt>
                <c:pt idx="72">
                  <c:v>24.000000000000131</c:v>
                </c:pt>
                <c:pt idx="73">
                  <c:v>23.571428571428555</c:v>
                </c:pt>
                <c:pt idx="74">
                  <c:v>37.60000000000008</c:v>
                </c:pt>
                <c:pt idx="75">
                  <c:v>31.53846153846148</c:v>
                </c:pt>
                <c:pt idx="76">
                  <c:v>28.076923076923084</c:v>
                </c:pt>
                <c:pt idx="77">
                  <c:v>23.599999999999955</c:v>
                </c:pt>
                <c:pt idx="78">
                  <c:v>21.176470588235247</c:v>
                </c:pt>
                <c:pt idx="79">
                  <c:v>23.137254901960741</c:v>
                </c:pt>
                <c:pt idx="80">
                  <c:v>30.769230769230795</c:v>
                </c:pt>
                <c:pt idx="81">
                  <c:v>30.188679245282938</c:v>
                </c:pt>
                <c:pt idx="82">
                  <c:v>29.166666666666696</c:v>
                </c:pt>
                <c:pt idx="83">
                  <c:v>20.416666666666732</c:v>
                </c:pt>
                <c:pt idx="84">
                  <c:v>18.000000000000014</c:v>
                </c:pt>
                <c:pt idx="85">
                  <c:v>18.999999999999851</c:v>
                </c:pt>
              </c:numCache>
            </c:numRef>
          </c:xVal>
          <c:yVal>
            <c:numRef>
              <c:f>'Summer '!$M$2:$M$87</c:f>
              <c:numCache>
                <c:formatCode>General</c:formatCode>
                <c:ptCount val="86"/>
                <c:pt idx="0">
                  <c:v>0.36</c:v>
                </c:pt>
                <c:pt idx="1">
                  <c:v>0.44500000000000001</c:v>
                </c:pt>
                <c:pt idx="2">
                  <c:v>0.248</c:v>
                </c:pt>
                <c:pt idx="3">
                  <c:v>0.214</c:v>
                </c:pt>
                <c:pt idx="4">
                  <c:v>9.7000000000000003E-2</c:v>
                </c:pt>
                <c:pt idx="5">
                  <c:v>7.6999999999999999E-2</c:v>
                </c:pt>
                <c:pt idx="6">
                  <c:v>9.4E-2</c:v>
                </c:pt>
                <c:pt idx="7">
                  <c:v>0.12</c:v>
                </c:pt>
                <c:pt idx="8">
                  <c:v>0.36199999999999999</c:v>
                </c:pt>
                <c:pt idx="9">
                  <c:v>0.20799999999999999</c:v>
                </c:pt>
                <c:pt idx="10">
                  <c:v>0.13200000000000001</c:v>
                </c:pt>
                <c:pt idx="11">
                  <c:v>8.5999999999999993E-2</c:v>
                </c:pt>
                <c:pt idx="12">
                  <c:v>9.9315000000000001E-2</c:v>
                </c:pt>
                <c:pt idx="13">
                  <c:v>0.1012671</c:v>
                </c:pt>
                <c:pt idx="14">
                  <c:v>8.5650299999999999E-2</c:v>
                </c:pt>
                <c:pt idx="17">
                  <c:v>4.46562E-2</c:v>
                </c:pt>
                <c:pt idx="20">
                  <c:v>2.90394E-2</c:v>
                </c:pt>
                <c:pt idx="22">
                  <c:v>6.3819200000000006E-2</c:v>
                </c:pt>
                <c:pt idx="24">
                  <c:v>7.3937699999999995E-2</c:v>
                </c:pt>
                <c:pt idx="25">
                  <c:v>4.0751999999999997E-2</c:v>
                </c:pt>
                <c:pt idx="30">
                  <c:v>3.4895700000000002E-2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7D-4722-A566-B044AACF0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22767"/>
        <c:axId val="734720847"/>
      </c:scatterChart>
      <c:valAx>
        <c:axId val="73472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</a:t>
                </a:r>
                <a:r>
                  <a:rPr lang="en-US" baseline="0"/>
                  <a:t> (from filters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0847"/>
        <c:crosses val="autoZero"/>
        <c:crossBetween val="midCat"/>
      </c:valAx>
      <c:valAx>
        <c:axId val="7347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LISST vs POC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9686750084580621E-2"/>
                  <c:y val="0.193133049079893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'!$I$2:$I$87</c:f>
              <c:numCache>
                <c:formatCode>0.00</c:formatCode>
                <c:ptCount val="86"/>
                <c:pt idx="0">
                  <c:v>51.659921769552554</c:v>
                </c:pt>
                <c:pt idx="1">
                  <c:v>50.228119059076278</c:v>
                </c:pt>
                <c:pt idx="2">
                  <c:v>14.502380030123016</c:v>
                </c:pt>
                <c:pt idx="3">
                  <c:v>11.68107543204323</c:v>
                </c:pt>
                <c:pt idx="4">
                  <c:v>6.4107928979951785</c:v>
                </c:pt>
                <c:pt idx="5">
                  <c:v>4.8049034388889487</c:v>
                </c:pt>
                <c:pt idx="6">
                  <c:v>11.105057316639133</c:v>
                </c:pt>
                <c:pt idx="7">
                  <c:v>29.712120711541949</c:v>
                </c:pt>
                <c:pt idx="8">
                  <c:v>41.279350758196514</c:v>
                </c:pt>
                <c:pt idx="9">
                  <c:v>9.5240654624066199</c:v>
                </c:pt>
                <c:pt idx="10">
                  <c:v>6.5386440491243301</c:v>
                </c:pt>
                <c:pt idx="11">
                  <c:v>5.7074800685992573</c:v>
                </c:pt>
                <c:pt idx="12">
                  <c:v>6.7843516799317234</c:v>
                </c:pt>
                <c:pt idx="13">
                  <c:v>5.7154758689570473</c:v>
                </c:pt>
                <c:pt idx="14">
                  <c:v>5.1903043978196211</c:v>
                </c:pt>
                <c:pt idx="15">
                  <c:v>5.4588115887677189</c:v>
                </c:pt>
                <c:pt idx="16">
                  <c:v>2.0882180227795768</c:v>
                </c:pt>
                <c:pt idx="17">
                  <c:v>3.1493521090486243</c:v>
                </c:pt>
                <c:pt idx="18">
                  <c:v>2.1601520222996071</c:v>
                </c:pt>
                <c:pt idx="19">
                  <c:v>1.5244913860512195</c:v>
                </c:pt>
                <c:pt idx="20">
                  <c:v>1.7083325626172676</c:v>
                </c:pt>
                <c:pt idx="21">
                  <c:v>3.0587693766699737</c:v>
                </c:pt>
                <c:pt idx="22">
                  <c:v>5.365091662580971</c:v>
                </c:pt>
                <c:pt idx="23">
                  <c:v>5.1217720387423311</c:v>
                </c:pt>
                <c:pt idx="24">
                  <c:v>2.2666249098999622</c:v>
                </c:pt>
                <c:pt idx="25">
                  <c:v>1.9722023113621858</c:v>
                </c:pt>
                <c:pt idx="26">
                  <c:v>1.5392300064882425</c:v>
                </c:pt>
                <c:pt idx="27">
                  <c:v>1.5186721608603606</c:v>
                </c:pt>
                <c:pt idx="28">
                  <c:v>1.6114551232671432</c:v>
                </c:pt>
                <c:pt idx="29">
                  <c:v>1.7405149401873126</c:v>
                </c:pt>
                <c:pt idx="30">
                  <c:v>1.4926887941071181</c:v>
                </c:pt>
                <c:pt idx="31">
                  <c:v>29.943162613702402</c:v>
                </c:pt>
                <c:pt idx="32">
                  <c:v>9.5728041053928887</c:v>
                </c:pt>
                <c:pt idx="33">
                  <c:v>6.9336039123826678</c:v>
                </c:pt>
                <c:pt idx="34">
                  <c:v>7.4831808175628005</c:v>
                </c:pt>
                <c:pt idx="35">
                  <c:v>5.9264264545775553</c:v>
                </c:pt>
                <c:pt idx="36">
                  <c:v>8.2845715359535532</c:v>
                </c:pt>
                <c:pt idx="37">
                  <c:v>10.349461276137333</c:v>
                </c:pt>
                <c:pt idx="38">
                  <c:v>13.904536257107111</c:v>
                </c:pt>
                <c:pt idx="39">
                  <c:v>11.14636239930711</c:v>
                </c:pt>
                <c:pt idx="40">
                  <c:v>7.4518284032226658</c:v>
                </c:pt>
                <c:pt idx="41">
                  <c:v>7.5006815567144436</c:v>
                </c:pt>
                <c:pt idx="43">
                  <c:v>5.9197242463532636</c:v>
                </c:pt>
                <c:pt idx="45">
                  <c:v>2.9482215924738182</c:v>
                </c:pt>
                <c:pt idx="47">
                  <c:v>4.2750517220431998</c:v>
                </c:pt>
                <c:pt idx="48">
                  <c:v>7.7777750198526157</c:v>
                </c:pt>
                <c:pt idx="49">
                  <c:v>4.5347124072625604</c:v>
                </c:pt>
                <c:pt idx="50">
                  <c:v>5.8892721735776004</c:v>
                </c:pt>
                <c:pt idx="51">
                  <c:v>4.8035399241483203</c:v>
                </c:pt>
                <c:pt idx="52">
                  <c:v>2.9207235211948697</c:v>
                </c:pt>
                <c:pt idx="53">
                  <c:v>5.5554803410250004</c:v>
                </c:pt>
                <c:pt idx="54">
                  <c:v>5.0814144091067215</c:v>
                </c:pt>
                <c:pt idx="55">
                  <c:v>4.7820987112927114</c:v>
                </c:pt>
                <c:pt idx="56">
                  <c:v>4.036574818279635</c:v>
                </c:pt>
                <c:pt idx="58">
                  <c:v>5.1612909035896664</c:v>
                </c:pt>
                <c:pt idx="60">
                  <c:v>5.1244036630343253</c:v>
                </c:pt>
                <c:pt idx="64">
                  <c:v>3.2424658067957601</c:v>
                </c:pt>
                <c:pt idx="66">
                  <c:v>12.669565136980157</c:v>
                </c:pt>
                <c:pt idx="67">
                  <c:v>6.2713144462450501</c:v>
                </c:pt>
                <c:pt idx="68">
                  <c:v>5.6727429240268501</c:v>
                </c:pt>
                <c:pt idx="69">
                  <c:v>4.6491381895576511</c:v>
                </c:pt>
                <c:pt idx="70">
                  <c:v>5.4238349889706816</c:v>
                </c:pt>
                <c:pt idx="71">
                  <c:v>4.495745790718118</c:v>
                </c:pt>
                <c:pt idx="74">
                  <c:v>5.33941789117765</c:v>
                </c:pt>
                <c:pt idx="75">
                  <c:v>4.6129800011302597</c:v>
                </c:pt>
                <c:pt idx="76">
                  <c:v>4.3837682724738745</c:v>
                </c:pt>
                <c:pt idx="77">
                  <c:v>4.11019377056025</c:v>
                </c:pt>
                <c:pt idx="79">
                  <c:v>3.7641164783656667</c:v>
                </c:pt>
                <c:pt idx="80">
                  <c:v>5.1367506964227401</c:v>
                </c:pt>
                <c:pt idx="81">
                  <c:v>4.1936586314366027</c:v>
                </c:pt>
                <c:pt idx="82">
                  <c:v>4.1850851238478963</c:v>
                </c:pt>
                <c:pt idx="83">
                  <c:v>2.9662137312752392</c:v>
                </c:pt>
                <c:pt idx="85">
                  <c:v>4.7449365167919124</c:v>
                </c:pt>
              </c:numCache>
            </c:numRef>
          </c:xVal>
          <c:yVal>
            <c:numRef>
              <c:f>'Summer '!$G$2:$G$87</c:f>
              <c:numCache>
                <c:formatCode>General</c:formatCode>
                <c:ptCount val="86"/>
                <c:pt idx="0">
                  <c:v>339.78248000000002</c:v>
                </c:pt>
                <c:pt idx="1">
                  <c:v>457.12</c:v>
                </c:pt>
                <c:pt idx="2">
                  <c:v>152.79</c:v>
                </c:pt>
                <c:pt idx="3">
                  <c:v>168.45</c:v>
                </c:pt>
                <c:pt idx="4">
                  <c:v>43.15</c:v>
                </c:pt>
                <c:pt idx="5">
                  <c:v>17.7</c:v>
                </c:pt>
                <c:pt idx="6">
                  <c:v>92.06</c:v>
                </c:pt>
                <c:pt idx="7">
                  <c:v>95.69</c:v>
                </c:pt>
                <c:pt idx="8">
                  <c:v>403.51499999999999</c:v>
                </c:pt>
                <c:pt idx="9">
                  <c:v>124.04</c:v>
                </c:pt>
                <c:pt idx="10">
                  <c:v>65.3</c:v>
                </c:pt>
                <c:pt idx="11">
                  <c:v>42.87</c:v>
                </c:pt>
                <c:pt idx="12">
                  <c:v>206.82</c:v>
                </c:pt>
                <c:pt idx="13">
                  <c:v>142.53</c:v>
                </c:pt>
                <c:pt idx="14">
                  <c:v>55.06</c:v>
                </c:pt>
                <c:pt idx="15">
                  <c:v>66.040000000000006</c:v>
                </c:pt>
                <c:pt idx="16">
                  <c:v>39.15</c:v>
                </c:pt>
                <c:pt idx="17">
                  <c:v>23.32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52.87</c:v>
                </c:pt>
                <c:pt idx="22">
                  <c:v>204.03</c:v>
                </c:pt>
                <c:pt idx="23">
                  <c:v>105.77</c:v>
                </c:pt>
                <c:pt idx="24">
                  <c:v>68.83</c:v>
                </c:pt>
                <c:pt idx="25">
                  <c:v>36.65</c:v>
                </c:pt>
                <c:pt idx="26">
                  <c:v>25.92</c:v>
                </c:pt>
                <c:pt idx="27">
                  <c:v>21.67</c:v>
                </c:pt>
                <c:pt idx="28">
                  <c:v>19.05</c:v>
                </c:pt>
                <c:pt idx="29">
                  <c:v>18.36</c:v>
                </c:pt>
                <c:pt idx="30">
                  <c:v>0</c:v>
                </c:pt>
                <c:pt idx="32">
                  <c:v>271.06</c:v>
                </c:pt>
                <c:pt idx="33">
                  <c:v>249.50899999999999</c:v>
                </c:pt>
                <c:pt idx="34">
                  <c:v>244.85599999999999</c:v>
                </c:pt>
                <c:pt idx="35">
                  <c:v>233.25</c:v>
                </c:pt>
                <c:pt idx="36">
                  <c:v>124.5634</c:v>
                </c:pt>
                <c:pt idx="37">
                  <c:v>9.89</c:v>
                </c:pt>
                <c:pt idx="38">
                  <c:v>327.45299999999997</c:v>
                </c:pt>
                <c:pt idx="39">
                  <c:v>241.809</c:v>
                </c:pt>
                <c:pt idx="40">
                  <c:v>158.52500000000001</c:v>
                </c:pt>
                <c:pt idx="41">
                  <c:v>132.47200000000001</c:v>
                </c:pt>
                <c:pt idx="42">
                  <c:v>98.91</c:v>
                </c:pt>
                <c:pt idx="43">
                  <c:v>90.356999999999999</c:v>
                </c:pt>
                <c:pt idx="44">
                  <c:v>84.561999999999998</c:v>
                </c:pt>
                <c:pt idx="45">
                  <c:v>59.01</c:v>
                </c:pt>
                <c:pt idx="46">
                  <c:v>42.72</c:v>
                </c:pt>
                <c:pt idx="47">
                  <c:v>98.146000000000001</c:v>
                </c:pt>
                <c:pt idx="48">
                  <c:v>210.458</c:v>
                </c:pt>
                <c:pt idx="49">
                  <c:v>116.066</c:v>
                </c:pt>
                <c:pt idx="50">
                  <c:v>113.258</c:v>
                </c:pt>
                <c:pt idx="51">
                  <c:v>81.150000000000006</c:v>
                </c:pt>
                <c:pt idx="52">
                  <c:v>56.15</c:v>
                </c:pt>
                <c:pt idx="53">
                  <c:v>183.80799999999999</c:v>
                </c:pt>
                <c:pt idx="54">
                  <c:v>83.528000000000006</c:v>
                </c:pt>
                <c:pt idx="55">
                  <c:v>72.105000000000004</c:v>
                </c:pt>
                <c:pt idx="56">
                  <c:v>67.606999999999999</c:v>
                </c:pt>
                <c:pt idx="57">
                  <c:v>70.3</c:v>
                </c:pt>
                <c:pt idx="58">
                  <c:v>67.88</c:v>
                </c:pt>
                <c:pt idx="59">
                  <c:v>84.66</c:v>
                </c:pt>
                <c:pt idx="60">
                  <c:v>67.569999999999993</c:v>
                </c:pt>
                <c:pt idx="61">
                  <c:v>54.936</c:v>
                </c:pt>
                <c:pt idx="62">
                  <c:v>75.337999999999994</c:v>
                </c:pt>
                <c:pt idx="63">
                  <c:v>59.165999999999997</c:v>
                </c:pt>
                <c:pt idx="64">
                  <c:v>50.774000000000001</c:v>
                </c:pt>
                <c:pt idx="66">
                  <c:v>232.05199999999999</c:v>
                </c:pt>
                <c:pt idx="67">
                  <c:v>143.89599999999999</c:v>
                </c:pt>
                <c:pt idx="68">
                  <c:v>104.006</c:v>
                </c:pt>
                <c:pt idx="69">
                  <c:v>88.144000000000005</c:v>
                </c:pt>
                <c:pt idx="70">
                  <c:v>92.256</c:v>
                </c:pt>
                <c:pt idx="71">
                  <c:v>82.494</c:v>
                </c:pt>
                <c:pt idx="72">
                  <c:v>69.394999999999996</c:v>
                </c:pt>
                <c:pt idx="73">
                  <c:v>0</c:v>
                </c:pt>
                <c:pt idx="74">
                  <c:v>63.87</c:v>
                </c:pt>
                <c:pt idx="75">
                  <c:v>75.400000000000006</c:v>
                </c:pt>
                <c:pt idx="76">
                  <c:v>70.75</c:v>
                </c:pt>
                <c:pt idx="77">
                  <c:v>82.6</c:v>
                </c:pt>
                <c:pt idx="78">
                  <c:v>54.12</c:v>
                </c:pt>
                <c:pt idx="80">
                  <c:v>95.962999999999994</c:v>
                </c:pt>
                <c:pt idx="81">
                  <c:v>80.180000000000007</c:v>
                </c:pt>
                <c:pt idx="82">
                  <c:v>70.510000000000005</c:v>
                </c:pt>
                <c:pt idx="83">
                  <c:v>64.436999999999998</c:v>
                </c:pt>
                <c:pt idx="84">
                  <c:v>46.07</c:v>
                </c:pt>
                <c:pt idx="85">
                  <c:v>39.299999999999997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83-4C15-A2AC-9FE1EC01B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22767"/>
        <c:axId val="734720847"/>
      </c:scatterChart>
      <c:valAx>
        <c:axId val="73472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</a:t>
                </a:r>
                <a:r>
                  <a:rPr lang="en-US" baseline="0"/>
                  <a:t> (from filters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0847"/>
        <c:crosses val="autoZero"/>
        <c:crossBetween val="midCat"/>
      </c:valAx>
      <c:valAx>
        <c:axId val="7347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 concentration (uL/L)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2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LISST to Sonde</a:t>
            </a:r>
            <a:r>
              <a:rPr lang="en-US" baseline="0"/>
              <a:t> Turbidity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'Summer '!$R$1</c:f>
              <c:strCache>
                <c:ptCount val="1"/>
                <c:pt idx="0">
                  <c:v>Downstream Turbidity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36002340332458443"/>
                  <c:y val="-2.046041119860017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'!$G$2:$G$87</c:f>
              <c:numCache>
                <c:formatCode>General</c:formatCode>
                <c:ptCount val="86"/>
                <c:pt idx="0">
                  <c:v>339.78248000000002</c:v>
                </c:pt>
                <c:pt idx="1">
                  <c:v>457.12</c:v>
                </c:pt>
                <c:pt idx="2">
                  <c:v>152.79</c:v>
                </c:pt>
                <c:pt idx="3">
                  <c:v>168.45</c:v>
                </c:pt>
                <c:pt idx="4">
                  <c:v>43.15</c:v>
                </c:pt>
                <c:pt idx="5">
                  <c:v>17.7</c:v>
                </c:pt>
                <c:pt idx="6">
                  <c:v>92.06</c:v>
                </c:pt>
                <c:pt idx="7">
                  <c:v>95.69</c:v>
                </c:pt>
                <c:pt idx="8">
                  <c:v>403.51499999999999</c:v>
                </c:pt>
                <c:pt idx="9">
                  <c:v>124.04</c:v>
                </c:pt>
                <c:pt idx="10">
                  <c:v>65.3</c:v>
                </c:pt>
                <c:pt idx="11">
                  <c:v>42.87</c:v>
                </c:pt>
                <c:pt idx="12">
                  <c:v>206.82</c:v>
                </c:pt>
                <c:pt idx="13">
                  <c:v>142.53</c:v>
                </c:pt>
                <c:pt idx="14">
                  <c:v>55.06</c:v>
                </c:pt>
                <c:pt idx="15">
                  <c:v>66.040000000000006</c:v>
                </c:pt>
                <c:pt idx="16">
                  <c:v>39.15</c:v>
                </c:pt>
                <c:pt idx="17">
                  <c:v>23.32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52.87</c:v>
                </c:pt>
                <c:pt idx="22">
                  <c:v>204.03</c:v>
                </c:pt>
                <c:pt idx="23">
                  <c:v>105.77</c:v>
                </c:pt>
                <c:pt idx="24">
                  <c:v>68.83</c:v>
                </c:pt>
                <c:pt idx="25">
                  <c:v>36.65</c:v>
                </c:pt>
                <c:pt idx="26">
                  <c:v>25.92</c:v>
                </c:pt>
                <c:pt idx="27">
                  <c:v>21.67</c:v>
                </c:pt>
                <c:pt idx="28">
                  <c:v>19.05</c:v>
                </c:pt>
                <c:pt idx="29">
                  <c:v>18.36</c:v>
                </c:pt>
                <c:pt idx="30">
                  <c:v>0</c:v>
                </c:pt>
                <c:pt idx="32">
                  <c:v>271.06</c:v>
                </c:pt>
                <c:pt idx="33">
                  <c:v>249.50899999999999</c:v>
                </c:pt>
                <c:pt idx="34">
                  <c:v>244.85599999999999</c:v>
                </c:pt>
                <c:pt idx="35">
                  <c:v>233.25</c:v>
                </c:pt>
                <c:pt idx="36">
                  <c:v>124.5634</c:v>
                </c:pt>
                <c:pt idx="37">
                  <c:v>9.89</c:v>
                </c:pt>
                <c:pt idx="38">
                  <c:v>327.45299999999997</c:v>
                </c:pt>
                <c:pt idx="39">
                  <c:v>241.809</c:v>
                </c:pt>
                <c:pt idx="40">
                  <c:v>158.52500000000001</c:v>
                </c:pt>
                <c:pt idx="41">
                  <c:v>132.47200000000001</c:v>
                </c:pt>
                <c:pt idx="42">
                  <c:v>98.91</c:v>
                </c:pt>
                <c:pt idx="43">
                  <c:v>90.356999999999999</c:v>
                </c:pt>
                <c:pt idx="44">
                  <c:v>84.561999999999998</c:v>
                </c:pt>
                <c:pt idx="45">
                  <c:v>59.01</c:v>
                </c:pt>
                <c:pt idx="46">
                  <c:v>42.72</c:v>
                </c:pt>
                <c:pt idx="47">
                  <c:v>98.146000000000001</c:v>
                </c:pt>
                <c:pt idx="48">
                  <c:v>210.458</c:v>
                </c:pt>
                <c:pt idx="49">
                  <c:v>116.066</c:v>
                </c:pt>
                <c:pt idx="50">
                  <c:v>113.258</c:v>
                </c:pt>
                <c:pt idx="51">
                  <c:v>81.150000000000006</c:v>
                </c:pt>
                <c:pt idx="52">
                  <c:v>56.15</c:v>
                </c:pt>
                <c:pt idx="53">
                  <c:v>183.80799999999999</c:v>
                </c:pt>
                <c:pt idx="54">
                  <c:v>83.528000000000006</c:v>
                </c:pt>
                <c:pt idx="55">
                  <c:v>72.105000000000004</c:v>
                </c:pt>
                <c:pt idx="56">
                  <c:v>67.606999999999999</c:v>
                </c:pt>
                <c:pt idx="57">
                  <c:v>70.3</c:v>
                </c:pt>
                <c:pt idx="58">
                  <c:v>67.88</c:v>
                </c:pt>
                <c:pt idx="59">
                  <c:v>84.66</c:v>
                </c:pt>
                <c:pt idx="60">
                  <c:v>67.569999999999993</c:v>
                </c:pt>
                <c:pt idx="61">
                  <c:v>54.936</c:v>
                </c:pt>
                <c:pt idx="62">
                  <c:v>75.337999999999994</c:v>
                </c:pt>
                <c:pt idx="63">
                  <c:v>59.165999999999997</c:v>
                </c:pt>
                <c:pt idx="64">
                  <c:v>50.774000000000001</c:v>
                </c:pt>
                <c:pt idx="66">
                  <c:v>232.05199999999999</c:v>
                </c:pt>
                <c:pt idx="67">
                  <c:v>143.89599999999999</c:v>
                </c:pt>
                <c:pt idx="68">
                  <c:v>104.006</c:v>
                </c:pt>
                <c:pt idx="69">
                  <c:v>88.144000000000005</c:v>
                </c:pt>
                <c:pt idx="70">
                  <c:v>92.256</c:v>
                </c:pt>
                <c:pt idx="71">
                  <c:v>82.494</c:v>
                </c:pt>
                <c:pt idx="72">
                  <c:v>69.394999999999996</c:v>
                </c:pt>
                <c:pt idx="73">
                  <c:v>0</c:v>
                </c:pt>
                <c:pt idx="74">
                  <c:v>63.87</c:v>
                </c:pt>
                <c:pt idx="75">
                  <c:v>75.400000000000006</c:v>
                </c:pt>
                <c:pt idx="76">
                  <c:v>70.75</c:v>
                </c:pt>
                <c:pt idx="77">
                  <c:v>82.6</c:v>
                </c:pt>
                <c:pt idx="78">
                  <c:v>54.12</c:v>
                </c:pt>
                <c:pt idx="80">
                  <c:v>95.962999999999994</c:v>
                </c:pt>
                <c:pt idx="81">
                  <c:v>80.180000000000007</c:v>
                </c:pt>
                <c:pt idx="82">
                  <c:v>70.510000000000005</c:v>
                </c:pt>
                <c:pt idx="83">
                  <c:v>64.436999999999998</c:v>
                </c:pt>
                <c:pt idx="84">
                  <c:v>46.07</c:v>
                </c:pt>
                <c:pt idx="85">
                  <c:v>39.299999999999997</c:v>
                </c:pt>
              </c:numCache>
            </c:numRef>
          </c:xVal>
          <c:yVal>
            <c:numRef>
              <c:f>'Summer '!$R$2:$R$87</c:f>
              <c:numCache>
                <c:formatCode>0.000</c:formatCode>
                <c:ptCount val="86"/>
                <c:pt idx="0">
                  <c:v>92.5304</c:v>
                </c:pt>
                <c:pt idx="1">
                  <c:v>197.94775999999999</c:v>
                </c:pt>
                <c:pt idx="2">
                  <c:v>78.192979999999906</c:v>
                </c:pt>
                <c:pt idx="3">
                  <c:v>74.057744</c:v>
                </c:pt>
                <c:pt idx="4">
                  <c:v>20.5702</c:v>
                </c:pt>
                <c:pt idx="5">
                  <c:v>16.9712</c:v>
                </c:pt>
                <c:pt idx="6">
                  <c:v>12.229200000000001</c:v>
                </c:pt>
                <c:pt idx="7">
                  <c:v>18.771000000000001</c:v>
                </c:pt>
                <c:pt idx="8">
                  <c:v>182.640559999999</c:v>
                </c:pt>
                <c:pt idx="9">
                  <c:v>73.380716000000007</c:v>
                </c:pt>
                <c:pt idx="10">
                  <c:v>35.428628000000003</c:v>
                </c:pt>
                <c:pt idx="11">
                  <c:v>12.141999999999999</c:v>
                </c:pt>
                <c:pt idx="12">
                  <c:v>16.7956</c:v>
                </c:pt>
                <c:pt idx="13">
                  <c:v>19.789199999999902</c:v>
                </c:pt>
                <c:pt idx="14">
                  <c:v>10.3628</c:v>
                </c:pt>
                <c:pt idx="15">
                  <c:v>13.1524</c:v>
                </c:pt>
                <c:pt idx="16">
                  <c:v>9.5941333333333301</c:v>
                </c:pt>
                <c:pt idx="17">
                  <c:v>9.1205333333333307</c:v>
                </c:pt>
                <c:pt idx="18">
                  <c:v>7.7619999999999996</c:v>
                </c:pt>
                <c:pt idx="19">
                  <c:v>5.6118666666666597</c:v>
                </c:pt>
                <c:pt idx="20">
                  <c:v>7.4348000000000001</c:v>
                </c:pt>
                <c:pt idx="21">
                  <c:v>9.4147999999999996</c:v>
                </c:pt>
                <c:pt idx="22">
                  <c:v>15.5524</c:v>
                </c:pt>
                <c:pt idx="23">
                  <c:v>20.757200000000001</c:v>
                </c:pt>
                <c:pt idx="24">
                  <c:v>14.5328</c:v>
                </c:pt>
                <c:pt idx="25">
                  <c:v>9.2880000000000003</c:v>
                </c:pt>
                <c:pt idx="26">
                  <c:v>8.1485333333333294</c:v>
                </c:pt>
                <c:pt idx="27">
                  <c:v>7.5998666666666601</c:v>
                </c:pt>
                <c:pt idx="28">
                  <c:v>6.7853333333333303</c:v>
                </c:pt>
                <c:pt idx="29">
                  <c:v>6.1841333333333299</c:v>
                </c:pt>
                <c:pt idx="30">
                  <c:v>5.9731999999999896</c:v>
                </c:pt>
                <c:pt idx="31">
                  <c:v>28.3628</c:v>
                </c:pt>
                <c:pt idx="32">
                  <c:v>35.5732</c:v>
                </c:pt>
                <c:pt idx="33">
                  <c:v>34.972000000000001</c:v>
                </c:pt>
                <c:pt idx="34">
                  <c:v>32.542400000000001</c:v>
                </c:pt>
                <c:pt idx="35">
                  <c:v>26.4848</c:v>
                </c:pt>
                <c:pt idx="36">
                  <c:v>20.574000000000002</c:v>
                </c:pt>
                <c:pt idx="37">
                  <c:v>17.004000000000001</c:v>
                </c:pt>
                <c:pt idx="38">
                  <c:v>35.4</c:v>
                </c:pt>
                <c:pt idx="39">
                  <c:v>33.956800000000001</c:v>
                </c:pt>
                <c:pt idx="40">
                  <c:v>29.175999999999998</c:v>
                </c:pt>
                <c:pt idx="41">
                  <c:v>22.698799999999999</c:v>
                </c:pt>
                <c:pt idx="42">
                  <c:v>18.052</c:v>
                </c:pt>
                <c:pt idx="43">
                  <c:v>15.383599999999999</c:v>
                </c:pt>
                <c:pt idx="44">
                  <c:v>13.183999999999999</c:v>
                </c:pt>
                <c:pt idx="45">
                  <c:v>10.696400000000001</c:v>
                </c:pt>
                <c:pt idx="46">
                  <c:v>8.9494666666666607</c:v>
                </c:pt>
                <c:pt idx="47">
                  <c:v>9.0177333333333305</c:v>
                </c:pt>
                <c:pt idx="48">
                  <c:v>13.715999999999999</c:v>
                </c:pt>
                <c:pt idx="49">
                  <c:v>16.154399999999999</c:v>
                </c:pt>
                <c:pt idx="50">
                  <c:v>14.494399999999899</c:v>
                </c:pt>
                <c:pt idx="51">
                  <c:v>11.944000000000001</c:v>
                </c:pt>
                <c:pt idx="52">
                  <c:v>7.8642666666666603</c:v>
                </c:pt>
                <c:pt idx="53">
                  <c:v>15.231999999999999</c:v>
                </c:pt>
                <c:pt idx="54">
                  <c:v>10.95</c:v>
                </c:pt>
                <c:pt idx="55">
                  <c:v>9.2100000000000009</c:v>
                </c:pt>
                <c:pt idx="56">
                  <c:v>7.968</c:v>
                </c:pt>
                <c:pt idx="57">
                  <c:v>7.5539999999999896</c:v>
                </c:pt>
                <c:pt idx="58">
                  <c:v>7.2919999999999998</c:v>
                </c:pt>
                <c:pt idx="59">
                  <c:v>7.2699999999999898</c:v>
                </c:pt>
                <c:pt idx="60">
                  <c:v>7.6459999999999901</c:v>
                </c:pt>
                <c:pt idx="61">
                  <c:v>7.8399999999999901</c:v>
                </c:pt>
                <c:pt idx="62">
                  <c:v>8.0220000000000002</c:v>
                </c:pt>
                <c:pt idx="63">
                  <c:v>7.8779999999999903</c:v>
                </c:pt>
                <c:pt idx="64">
                  <c:v>7.3079999999999998</c:v>
                </c:pt>
                <c:pt idx="65">
                  <c:v>6.6479999999999899</c:v>
                </c:pt>
                <c:pt idx="66">
                  <c:v>24.83</c:v>
                </c:pt>
                <c:pt idx="67">
                  <c:v>24.844000000000001</c:v>
                </c:pt>
                <c:pt idx="68">
                  <c:v>16.478000000000002</c:v>
                </c:pt>
                <c:pt idx="69">
                  <c:v>13.218</c:v>
                </c:pt>
                <c:pt idx="70">
                  <c:v>11.843999999999999</c:v>
                </c:pt>
                <c:pt idx="71">
                  <c:v>11.214</c:v>
                </c:pt>
                <c:pt idx="72">
                  <c:v>11.263999999999999</c:v>
                </c:pt>
                <c:pt idx="73">
                  <c:v>8.8166666666666593</c:v>
                </c:pt>
                <c:pt idx="74">
                  <c:v>1.97369195402298</c:v>
                </c:pt>
                <c:pt idx="75">
                  <c:v>1.97258850574712</c:v>
                </c:pt>
                <c:pt idx="76">
                  <c:v>1.9714850574712599</c:v>
                </c:pt>
                <c:pt idx="77">
                  <c:v>1.9703816091954001</c:v>
                </c:pt>
                <c:pt idx="78">
                  <c:v>1.96927816091954</c:v>
                </c:pt>
                <c:pt idx="79">
                  <c:v>1.9680275862068899</c:v>
                </c:pt>
                <c:pt idx="80">
                  <c:v>1.9742068965517201</c:v>
                </c:pt>
                <c:pt idx="81">
                  <c:v>1.97310344827586</c:v>
                </c:pt>
                <c:pt idx="82">
                  <c:v>1.972</c:v>
                </c:pt>
                <c:pt idx="83">
                  <c:v>1.9697931034482701</c:v>
                </c:pt>
                <c:pt idx="84">
                  <c:v>1.9675862068965499</c:v>
                </c:pt>
                <c:pt idx="85">
                  <c:v>1.96427586206896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E2-4556-9528-79A2A7F3AF50}"/>
            </c:ext>
          </c:extLst>
        </c:ser>
        <c:ser>
          <c:idx val="1"/>
          <c:order val="1"/>
          <c:tx>
            <c:strRef>
              <c:f>'Summer '!$T$1</c:f>
              <c:strCache>
                <c:ptCount val="1"/>
                <c:pt idx="0">
                  <c:v>Upstream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46507480314960631"/>
                  <c:y val="-2.0745479731700205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'!$G$2:$G$88</c:f>
              <c:numCache>
                <c:formatCode>General</c:formatCode>
                <c:ptCount val="87"/>
                <c:pt idx="0">
                  <c:v>339.78248000000002</c:v>
                </c:pt>
                <c:pt idx="1">
                  <c:v>457.12</c:v>
                </c:pt>
                <c:pt idx="2">
                  <c:v>152.79</c:v>
                </c:pt>
                <c:pt idx="3">
                  <c:v>168.45</c:v>
                </c:pt>
                <c:pt idx="4">
                  <c:v>43.15</c:v>
                </c:pt>
                <c:pt idx="5">
                  <c:v>17.7</c:v>
                </c:pt>
                <c:pt idx="6">
                  <c:v>92.06</c:v>
                </c:pt>
                <c:pt idx="7">
                  <c:v>95.69</c:v>
                </c:pt>
                <c:pt idx="8">
                  <c:v>403.51499999999999</c:v>
                </c:pt>
                <c:pt idx="9">
                  <c:v>124.04</c:v>
                </c:pt>
                <c:pt idx="10">
                  <c:v>65.3</c:v>
                </c:pt>
                <c:pt idx="11">
                  <c:v>42.87</c:v>
                </c:pt>
                <c:pt idx="12">
                  <c:v>206.82</c:v>
                </c:pt>
                <c:pt idx="13">
                  <c:v>142.53</c:v>
                </c:pt>
                <c:pt idx="14">
                  <c:v>55.06</c:v>
                </c:pt>
                <c:pt idx="15">
                  <c:v>66.040000000000006</c:v>
                </c:pt>
                <c:pt idx="16">
                  <c:v>39.15</c:v>
                </c:pt>
                <c:pt idx="17">
                  <c:v>23.32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52.87</c:v>
                </c:pt>
                <c:pt idx="22">
                  <c:v>204.03</c:v>
                </c:pt>
                <c:pt idx="23">
                  <c:v>105.77</c:v>
                </c:pt>
                <c:pt idx="24">
                  <c:v>68.83</c:v>
                </c:pt>
                <c:pt idx="25">
                  <c:v>36.65</c:v>
                </c:pt>
                <c:pt idx="26">
                  <c:v>25.92</c:v>
                </c:pt>
                <c:pt idx="27">
                  <c:v>21.67</c:v>
                </c:pt>
                <c:pt idx="28">
                  <c:v>19.05</c:v>
                </c:pt>
                <c:pt idx="29">
                  <c:v>18.36</c:v>
                </c:pt>
                <c:pt idx="30">
                  <c:v>0</c:v>
                </c:pt>
                <c:pt idx="32">
                  <c:v>271.06</c:v>
                </c:pt>
                <c:pt idx="33">
                  <c:v>249.50899999999999</c:v>
                </c:pt>
                <c:pt idx="34">
                  <c:v>244.85599999999999</c:v>
                </c:pt>
                <c:pt idx="35">
                  <c:v>233.25</c:v>
                </c:pt>
                <c:pt idx="36">
                  <c:v>124.5634</c:v>
                </c:pt>
                <c:pt idx="37">
                  <c:v>9.89</c:v>
                </c:pt>
                <c:pt idx="38">
                  <c:v>327.45299999999997</c:v>
                </c:pt>
                <c:pt idx="39">
                  <c:v>241.809</c:v>
                </c:pt>
                <c:pt idx="40">
                  <c:v>158.52500000000001</c:v>
                </c:pt>
                <c:pt idx="41">
                  <c:v>132.47200000000001</c:v>
                </c:pt>
                <c:pt idx="42">
                  <c:v>98.91</c:v>
                </c:pt>
                <c:pt idx="43">
                  <c:v>90.356999999999999</c:v>
                </c:pt>
                <c:pt idx="44">
                  <c:v>84.561999999999998</c:v>
                </c:pt>
                <c:pt idx="45">
                  <c:v>59.01</c:v>
                </c:pt>
                <c:pt idx="46">
                  <c:v>42.72</c:v>
                </c:pt>
                <c:pt idx="47">
                  <c:v>98.146000000000001</c:v>
                </c:pt>
                <c:pt idx="48">
                  <c:v>210.458</c:v>
                </c:pt>
                <c:pt idx="49">
                  <c:v>116.066</c:v>
                </c:pt>
                <c:pt idx="50">
                  <c:v>113.258</c:v>
                </c:pt>
                <c:pt idx="51">
                  <c:v>81.150000000000006</c:v>
                </c:pt>
                <c:pt idx="52">
                  <c:v>56.15</c:v>
                </c:pt>
                <c:pt idx="53">
                  <c:v>183.80799999999999</c:v>
                </c:pt>
                <c:pt idx="54">
                  <c:v>83.528000000000006</c:v>
                </c:pt>
                <c:pt idx="55">
                  <c:v>72.105000000000004</c:v>
                </c:pt>
                <c:pt idx="56">
                  <c:v>67.606999999999999</c:v>
                </c:pt>
                <c:pt idx="57">
                  <c:v>70.3</c:v>
                </c:pt>
                <c:pt idx="58">
                  <c:v>67.88</c:v>
                </c:pt>
                <c:pt idx="59">
                  <c:v>84.66</c:v>
                </c:pt>
                <c:pt idx="60">
                  <c:v>67.569999999999993</c:v>
                </c:pt>
                <c:pt idx="61">
                  <c:v>54.936</c:v>
                </c:pt>
                <c:pt idx="62">
                  <c:v>75.337999999999994</c:v>
                </c:pt>
                <c:pt idx="63">
                  <c:v>59.165999999999997</c:v>
                </c:pt>
                <c:pt idx="64">
                  <c:v>50.774000000000001</c:v>
                </c:pt>
                <c:pt idx="66">
                  <c:v>232.05199999999999</c:v>
                </c:pt>
                <c:pt idx="67">
                  <c:v>143.89599999999999</c:v>
                </c:pt>
                <c:pt idx="68">
                  <c:v>104.006</c:v>
                </c:pt>
                <c:pt idx="69">
                  <c:v>88.144000000000005</c:v>
                </c:pt>
                <c:pt idx="70">
                  <c:v>92.256</c:v>
                </c:pt>
                <c:pt idx="71">
                  <c:v>82.494</c:v>
                </c:pt>
                <c:pt idx="72">
                  <c:v>69.394999999999996</c:v>
                </c:pt>
                <c:pt idx="73">
                  <c:v>0</c:v>
                </c:pt>
                <c:pt idx="74">
                  <c:v>63.87</c:v>
                </c:pt>
                <c:pt idx="75">
                  <c:v>75.400000000000006</c:v>
                </c:pt>
                <c:pt idx="76">
                  <c:v>70.75</c:v>
                </c:pt>
                <c:pt idx="77">
                  <c:v>82.6</c:v>
                </c:pt>
                <c:pt idx="78">
                  <c:v>54.12</c:v>
                </c:pt>
                <c:pt idx="80">
                  <c:v>95.962999999999994</c:v>
                </c:pt>
                <c:pt idx="81">
                  <c:v>80.180000000000007</c:v>
                </c:pt>
                <c:pt idx="82">
                  <c:v>70.510000000000005</c:v>
                </c:pt>
                <c:pt idx="83">
                  <c:v>64.436999999999998</c:v>
                </c:pt>
                <c:pt idx="84">
                  <c:v>46.07</c:v>
                </c:pt>
                <c:pt idx="85">
                  <c:v>39.299999999999997</c:v>
                </c:pt>
              </c:numCache>
            </c:numRef>
          </c:xVal>
          <c:yVal>
            <c:numRef>
              <c:f>'Summer '!$T$2:$T$87</c:f>
              <c:numCache>
                <c:formatCode>0.000</c:formatCode>
                <c:ptCount val="86"/>
                <c:pt idx="0">
                  <c:v>95.885999999999996</c:v>
                </c:pt>
                <c:pt idx="1">
                  <c:v>137.97319999999999</c:v>
                </c:pt>
                <c:pt idx="2">
                  <c:v>60.357999999999898</c:v>
                </c:pt>
                <c:pt idx="3">
                  <c:v>45.711999999999897</c:v>
                </c:pt>
                <c:pt idx="4">
                  <c:v>13.346799999999901</c:v>
                </c:pt>
                <c:pt idx="5">
                  <c:v>9.0307999999999904</c:v>
                </c:pt>
                <c:pt idx="6">
                  <c:v>10.092000000000001</c:v>
                </c:pt>
                <c:pt idx="7">
                  <c:v>13.925599999999999</c:v>
                </c:pt>
                <c:pt idx="8">
                  <c:v>126.08439999999899</c:v>
                </c:pt>
                <c:pt idx="9">
                  <c:v>43.206399999999903</c:v>
                </c:pt>
                <c:pt idx="10">
                  <c:v>20.805599999999899</c:v>
                </c:pt>
                <c:pt idx="11">
                  <c:v>10.3607999999999</c:v>
                </c:pt>
                <c:pt idx="12">
                  <c:v>3.1412203684533901</c:v>
                </c:pt>
                <c:pt idx="13">
                  <c:v>3.1412530097882798</c:v>
                </c:pt>
                <c:pt idx="14">
                  <c:v>3.1413182924580698</c:v>
                </c:pt>
                <c:pt idx="15">
                  <c:v>3.1413835751278598</c:v>
                </c:pt>
                <c:pt idx="16">
                  <c:v>3.1416120644721102</c:v>
                </c:pt>
                <c:pt idx="17">
                  <c:v>3.1416447058070101</c:v>
                </c:pt>
                <c:pt idx="18">
                  <c:v>3.1417426298116902</c:v>
                </c:pt>
                <c:pt idx="19">
                  <c:v>3.1567162981719199</c:v>
                </c:pt>
                <c:pt idx="20">
                  <c:v>3.1567489395068198</c:v>
                </c:pt>
                <c:pt idx="21">
                  <c:v>3.1567815808417099</c:v>
                </c:pt>
                <c:pt idx="22">
                  <c:v>3.1568142221766098</c:v>
                </c:pt>
                <c:pt idx="23">
                  <c:v>3.1568468635114999</c:v>
                </c:pt>
                <c:pt idx="24">
                  <c:v>3.1569339070712199</c:v>
                </c:pt>
                <c:pt idx="25">
                  <c:v>3.1570427115208601</c:v>
                </c:pt>
                <c:pt idx="26">
                  <c:v>3.1571079941906501</c:v>
                </c:pt>
                <c:pt idx="27">
                  <c:v>3.1571406355255398</c:v>
                </c:pt>
                <c:pt idx="28">
                  <c:v>3.1572059181953298</c:v>
                </c:pt>
                <c:pt idx="29">
                  <c:v>3.1572712008651198</c:v>
                </c:pt>
                <c:pt idx="30">
                  <c:v>3.1573038422000099</c:v>
                </c:pt>
                <c:pt idx="31">
                  <c:v>33.437199999999997</c:v>
                </c:pt>
                <c:pt idx="32">
                  <c:v>39.591999999999999</c:v>
                </c:pt>
                <c:pt idx="33">
                  <c:v>37.057600000000001</c:v>
                </c:pt>
                <c:pt idx="34">
                  <c:v>33.884399999999999</c:v>
                </c:pt>
                <c:pt idx="35">
                  <c:v>26.9192</c:v>
                </c:pt>
                <c:pt idx="36">
                  <c:v>20.897600000000001</c:v>
                </c:pt>
                <c:pt idx="37">
                  <c:v>17.011599999999898</c:v>
                </c:pt>
                <c:pt idx="38">
                  <c:v>37.755200000000002</c:v>
                </c:pt>
                <c:pt idx="39">
                  <c:v>35.681999999999903</c:v>
                </c:pt>
                <c:pt idx="40">
                  <c:v>29.9968</c:v>
                </c:pt>
                <c:pt idx="41">
                  <c:v>22.9848</c:v>
                </c:pt>
                <c:pt idx="42">
                  <c:v>18.417999999999999</c:v>
                </c:pt>
                <c:pt idx="43">
                  <c:v>15.4439999999999</c:v>
                </c:pt>
                <c:pt idx="44">
                  <c:v>13.4284</c:v>
                </c:pt>
                <c:pt idx="45">
                  <c:v>11.5524</c:v>
                </c:pt>
                <c:pt idx="46">
                  <c:v>11.089600000000001</c:v>
                </c:pt>
                <c:pt idx="47">
                  <c:v>12.7316</c:v>
                </c:pt>
                <c:pt idx="48">
                  <c:v>4.51231775700934</c:v>
                </c:pt>
                <c:pt idx="49">
                  <c:v>4.5110218068535799</c:v>
                </c:pt>
                <c:pt idx="50">
                  <c:v>4.5106230529594997</c:v>
                </c:pt>
                <c:pt idx="51">
                  <c:v>4.5098255451713296</c:v>
                </c:pt>
                <c:pt idx="52">
                  <c:v>4.4986604361370697</c:v>
                </c:pt>
                <c:pt idx="53">
                  <c:v>4.5108224299065398</c:v>
                </c:pt>
                <c:pt idx="54">
                  <c:v>4.5093271028037298</c:v>
                </c:pt>
                <c:pt idx="55">
                  <c:v>4.5078317757009296</c:v>
                </c:pt>
                <c:pt idx="56">
                  <c:v>4.5063364485981303</c:v>
                </c:pt>
                <c:pt idx="57">
                  <c:v>4.5048411214953203</c:v>
                </c:pt>
                <c:pt idx="58">
                  <c:v>4.5033457943925201</c:v>
                </c:pt>
                <c:pt idx="59">
                  <c:v>4.5018504672897199</c:v>
                </c:pt>
                <c:pt idx="60">
                  <c:v>4.50035514018691</c:v>
                </c:pt>
                <c:pt idx="61">
                  <c:v>4.4988598130841098</c:v>
                </c:pt>
                <c:pt idx="62">
                  <c:v>4.4973644859812998</c:v>
                </c:pt>
                <c:pt idx="63">
                  <c:v>4.4958691588784996</c:v>
                </c:pt>
                <c:pt idx="64">
                  <c:v>4.4943738317757003</c:v>
                </c:pt>
                <c:pt idx="65">
                  <c:v>4.4928785046728903</c:v>
                </c:pt>
                <c:pt idx="66">
                  <c:v>2.37361839564683</c:v>
                </c:pt>
                <c:pt idx="67">
                  <c:v>2.3735762682113299</c:v>
                </c:pt>
                <c:pt idx="68">
                  <c:v>2.3735341407758401</c:v>
                </c:pt>
                <c:pt idx="69">
                  <c:v>2.3734920133403499</c:v>
                </c:pt>
                <c:pt idx="70">
                  <c:v>2.3734498859048601</c:v>
                </c:pt>
                <c:pt idx="71">
                  <c:v>2.37332350359838</c:v>
                </c:pt>
                <c:pt idx="72">
                  <c:v>2.3732392487273999</c:v>
                </c:pt>
                <c:pt idx="73">
                  <c:v>2.3731128664209198</c:v>
                </c:pt>
                <c:pt idx="74">
                  <c:v>13.0708</c:v>
                </c:pt>
                <c:pt idx="75">
                  <c:v>13.643599999999999</c:v>
                </c:pt>
                <c:pt idx="76">
                  <c:v>12.4716</c:v>
                </c:pt>
                <c:pt idx="77">
                  <c:v>11.198399999999999</c:v>
                </c:pt>
                <c:pt idx="78">
                  <c:v>9.9955999999999996</c:v>
                </c:pt>
                <c:pt idx="79">
                  <c:v>8.8631999999999902</c:v>
                </c:pt>
                <c:pt idx="80">
                  <c:v>11.986000000000001</c:v>
                </c:pt>
                <c:pt idx="81">
                  <c:v>13.777999999999899</c:v>
                </c:pt>
                <c:pt idx="82">
                  <c:v>13.098000000000001</c:v>
                </c:pt>
                <c:pt idx="83">
                  <c:v>10.52</c:v>
                </c:pt>
                <c:pt idx="84">
                  <c:v>8.5039999999999996</c:v>
                </c:pt>
                <c:pt idx="85">
                  <c:v>6.4839999999999902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E2-4556-9528-79A2A7F3AF50}"/>
            </c:ext>
          </c:extLst>
        </c:ser>
        <c:ser>
          <c:idx val="2"/>
          <c:order val="2"/>
          <c:tx>
            <c:strRef>
              <c:f>'Summer '!$P$1</c:f>
              <c:strCache>
                <c:ptCount val="1"/>
                <c:pt idx="0">
                  <c:v>Respective Reach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25478615865454202"/>
                  <c:y val="9.3893428941598273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'!$G$2:$G$87</c:f>
              <c:numCache>
                <c:formatCode>General</c:formatCode>
                <c:ptCount val="86"/>
                <c:pt idx="0">
                  <c:v>339.78248000000002</c:v>
                </c:pt>
                <c:pt idx="1">
                  <c:v>457.12</c:v>
                </c:pt>
                <c:pt idx="2">
                  <c:v>152.79</c:v>
                </c:pt>
                <c:pt idx="3">
                  <c:v>168.45</c:v>
                </c:pt>
                <c:pt idx="4">
                  <c:v>43.15</c:v>
                </c:pt>
                <c:pt idx="5">
                  <c:v>17.7</c:v>
                </c:pt>
                <c:pt idx="6">
                  <c:v>92.06</c:v>
                </c:pt>
                <c:pt idx="7">
                  <c:v>95.69</c:v>
                </c:pt>
                <c:pt idx="8">
                  <c:v>403.51499999999999</c:v>
                </c:pt>
                <c:pt idx="9">
                  <c:v>124.04</c:v>
                </c:pt>
                <c:pt idx="10">
                  <c:v>65.3</c:v>
                </c:pt>
                <c:pt idx="11">
                  <c:v>42.87</c:v>
                </c:pt>
                <c:pt idx="12">
                  <c:v>206.82</c:v>
                </c:pt>
                <c:pt idx="13">
                  <c:v>142.53</c:v>
                </c:pt>
                <c:pt idx="14">
                  <c:v>55.06</c:v>
                </c:pt>
                <c:pt idx="15">
                  <c:v>66.040000000000006</c:v>
                </c:pt>
                <c:pt idx="16">
                  <c:v>39.15</c:v>
                </c:pt>
                <c:pt idx="17">
                  <c:v>23.32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52.87</c:v>
                </c:pt>
                <c:pt idx="22">
                  <c:v>204.03</c:v>
                </c:pt>
                <c:pt idx="23">
                  <c:v>105.77</c:v>
                </c:pt>
                <c:pt idx="24">
                  <c:v>68.83</c:v>
                </c:pt>
                <c:pt idx="25">
                  <c:v>36.65</c:v>
                </c:pt>
                <c:pt idx="26">
                  <c:v>25.92</c:v>
                </c:pt>
                <c:pt idx="27">
                  <c:v>21.67</c:v>
                </c:pt>
                <c:pt idx="28">
                  <c:v>19.05</c:v>
                </c:pt>
                <c:pt idx="29">
                  <c:v>18.36</c:v>
                </c:pt>
                <c:pt idx="30">
                  <c:v>0</c:v>
                </c:pt>
                <c:pt idx="32">
                  <c:v>271.06</c:v>
                </c:pt>
                <c:pt idx="33">
                  <c:v>249.50899999999999</c:v>
                </c:pt>
                <c:pt idx="34">
                  <c:v>244.85599999999999</c:v>
                </c:pt>
                <c:pt idx="35">
                  <c:v>233.25</c:v>
                </c:pt>
                <c:pt idx="36">
                  <c:v>124.5634</c:v>
                </c:pt>
                <c:pt idx="37">
                  <c:v>9.89</c:v>
                </c:pt>
                <c:pt idx="38">
                  <c:v>327.45299999999997</c:v>
                </c:pt>
                <c:pt idx="39">
                  <c:v>241.809</c:v>
                </c:pt>
                <c:pt idx="40">
                  <c:v>158.52500000000001</c:v>
                </c:pt>
                <c:pt idx="41">
                  <c:v>132.47200000000001</c:v>
                </c:pt>
                <c:pt idx="42">
                  <c:v>98.91</c:v>
                </c:pt>
                <c:pt idx="43">
                  <c:v>90.356999999999999</c:v>
                </c:pt>
                <c:pt idx="44">
                  <c:v>84.561999999999998</c:v>
                </c:pt>
                <c:pt idx="45">
                  <c:v>59.01</c:v>
                </c:pt>
                <c:pt idx="46">
                  <c:v>42.72</c:v>
                </c:pt>
                <c:pt idx="47">
                  <c:v>98.146000000000001</c:v>
                </c:pt>
                <c:pt idx="48">
                  <c:v>210.458</c:v>
                </c:pt>
                <c:pt idx="49">
                  <c:v>116.066</c:v>
                </c:pt>
                <c:pt idx="50">
                  <c:v>113.258</c:v>
                </c:pt>
                <c:pt idx="51">
                  <c:v>81.150000000000006</c:v>
                </c:pt>
                <c:pt idx="52">
                  <c:v>56.15</c:v>
                </c:pt>
                <c:pt idx="53">
                  <c:v>183.80799999999999</c:v>
                </c:pt>
                <c:pt idx="54">
                  <c:v>83.528000000000006</c:v>
                </c:pt>
                <c:pt idx="55">
                  <c:v>72.105000000000004</c:v>
                </c:pt>
                <c:pt idx="56">
                  <c:v>67.606999999999999</c:v>
                </c:pt>
                <c:pt idx="57">
                  <c:v>70.3</c:v>
                </c:pt>
                <c:pt idx="58">
                  <c:v>67.88</c:v>
                </c:pt>
                <c:pt idx="59">
                  <c:v>84.66</c:v>
                </c:pt>
                <c:pt idx="60">
                  <c:v>67.569999999999993</c:v>
                </c:pt>
                <c:pt idx="61">
                  <c:v>54.936</c:v>
                </c:pt>
                <c:pt idx="62">
                  <c:v>75.337999999999994</c:v>
                </c:pt>
                <c:pt idx="63">
                  <c:v>59.165999999999997</c:v>
                </c:pt>
                <c:pt idx="64">
                  <c:v>50.774000000000001</c:v>
                </c:pt>
                <c:pt idx="66">
                  <c:v>232.05199999999999</c:v>
                </c:pt>
                <c:pt idx="67">
                  <c:v>143.89599999999999</c:v>
                </c:pt>
                <c:pt idx="68">
                  <c:v>104.006</c:v>
                </c:pt>
                <c:pt idx="69">
                  <c:v>88.144000000000005</c:v>
                </c:pt>
                <c:pt idx="70">
                  <c:v>92.256</c:v>
                </c:pt>
                <c:pt idx="71">
                  <c:v>82.494</c:v>
                </c:pt>
                <c:pt idx="72">
                  <c:v>69.394999999999996</c:v>
                </c:pt>
                <c:pt idx="73">
                  <c:v>0</c:v>
                </c:pt>
                <c:pt idx="74">
                  <c:v>63.87</c:v>
                </c:pt>
                <c:pt idx="75">
                  <c:v>75.400000000000006</c:v>
                </c:pt>
                <c:pt idx="76">
                  <c:v>70.75</c:v>
                </c:pt>
                <c:pt idx="77">
                  <c:v>82.6</c:v>
                </c:pt>
                <c:pt idx="78">
                  <c:v>54.12</c:v>
                </c:pt>
                <c:pt idx="80">
                  <c:v>95.962999999999994</c:v>
                </c:pt>
                <c:pt idx="81">
                  <c:v>80.180000000000007</c:v>
                </c:pt>
                <c:pt idx="82">
                  <c:v>70.510000000000005</c:v>
                </c:pt>
                <c:pt idx="83">
                  <c:v>64.436999999999998</c:v>
                </c:pt>
                <c:pt idx="84">
                  <c:v>46.07</c:v>
                </c:pt>
                <c:pt idx="85">
                  <c:v>39.299999999999997</c:v>
                </c:pt>
              </c:numCache>
            </c:numRef>
          </c:xVal>
          <c:yVal>
            <c:numRef>
              <c:f>'Summer '!$P$2:$P$87</c:f>
              <c:numCache>
                <c:formatCode>0.000</c:formatCode>
                <c:ptCount val="86"/>
                <c:pt idx="0">
                  <c:v>92.5304</c:v>
                </c:pt>
                <c:pt idx="1">
                  <c:v>197.94775999999999</c:v>
                </c:pt>
                <c:pt idx="2">
                  <c:v>78.192979999999906</c:v>
                </c:pt>
                <c:pt idx="3">
                  <c:v>74.057744</c:v>
                </c:pt>
                <c:pt idx="4">
                  <c:v>20.5702</c:v>
                </c:pt>
                <c:pt idx="5">
                  <c:v>9.0307999999999904</c:v>
                </c:pt>
                <c:pt idx="6">
                  <c:v>10.092000000000001</c:v>
                </c:pt>
                <c:pt idx="7">
                  <c:v>13.925599999999999</c:v>
                </c:pt>
                <c:pt idx="8">
                  <c:v>126.08439999999899</c:v>
                </c:pt>
                <c:pt idx="9">
                  <c:v>43.206399999999903</c:v>
                </c:pt>
                <c:pt idx="10">
                  <c:v>20.805599999999899</c:v>
                </c:pt>
                <c:pt idx="11">
                  <c:v>10.3607999999999</c:v>
                </c:pt>
                <c:pt idx="12">
                  <c:v>3.1412203684533901</c:v>
                </c:pt>
                <c:pt idx="13">
                  <c:v>3.1412530097882798</c:v>
                </c:pt>
                <c:pt idx="14">
                  <c:v>3.1413182924580698</c:v>
                </c:pt>
                <c:pt idx="15">
                  <c:v>3.1413835751278598</c:v>
                </c:pt>
                <c:pt idx="16">
                  <c:v>3.1416120644721102</c:v>
                </c:pt>
                <c:pt idx="17">
                  <c:v>3.1416447058070101</c:v>
                </c:pt>
                <c:pt idx="18">
                  <c:v>3.1417426298116902</c:v>
                </c:pt>
                <c:pt idx="19">
                  <c:v>3.1567162981719199</c:v>
                </c:pt>
                <c:pt idx="20">
                  <c:v>3.1567489395068198</c:v>
                </c:pt>
                <c:pt idx="21">
                  <c:v>3.1567815808417099</c:v>
                </c:pt>
                <c:pt idx="22">
                  <c:v>3.1568142221766098</c:v>
                </c:pt>
                <c:pt idx="23">
                  <c:v>3.1568468635114999</c:v>
                </c:pt>
                <c:pt idx="24">
                  <c:v>3.1569339070712199</c:v>
                </c:pt>
                <c:pt idx="25">
                  <c:v>3.1570427115208601</c:v>
                </c:pt>
                <c:pt idx="26">
                  <c:v>3.1571079941906501</c:v>
                </c:pt>
                <c:pt idx="27">
                  <c:v>3.1571406355255398</c:v>
                </c:pt>
                <c:pt idx="28">
                  <c:v>3.1572059181953298</c:v>
                </c:pt>
                <c:pt idx="29">
                  <c:v>3.1572712008651198</c:v>
                </c:pt>
                <c:pt idx="30">
                  <c:v>3.1573038422000099</c:v>
                </c:pt>
                <c:pt idx="31">
                  <c:v>28.3628</c:v>
                </c:pt>
                <c:pt idx="32">
                  <c:v>35.5732</c:v>
                </c:pt>
                <c:pt idx="33">
                  <c:v>34.972000000000001</c:v>
                </c:pt>
                <c:pt idx="34">
                  <c:v>32.542400000000001</c:v>
                </c:pt>
                <c:pt idx="35">
                  <c:v>26.4848</c:v>
                </c:pt>
                <c:pt idx="36">
                  <c:v>20.574000000000002</c:v>
                </c:pt>
                <c:pt idx="37">
                  <c:v>17.004000000000001</c:v>
                </c:pt>
                <c:pt idx="38">
                  <c:v>37.755200000000002</c:v>
                </c:pt>
                <c:pt idx="39">
                  <c:v>35.681999999999903</c:v>
                </c:pt>
                <c:pt idx="40">
                  <c:v>29.9968</c:v>
                </c:pt>
                <c:pt idx="41">
                  <c:v>22.9848</c:v>
                </c:pt>
                <c:pt idx="42">
                  <c:v>18.417999999999999</c:v>
                </c:pt>
                <c:pt idx="43">
                  <c:v>15.4439999999999</c:v>
                </c:pt>
                <c:pt idx="44">
                  <c:v>13.4284</c:v>
                </c:pt>
                <c:pt idx="45">
                  <c:v>11.5524</c:v>
                </c:pt>
                <c:pt idx="46">
                  <c:v>11.089600000000001</c:v>
                </c:pt>
                <c:pt idx="47">
                  <c:v>12.7316</c:v>
                </c:pt>
                <c:pt idx="48">
                  <c:v>13.715999999999999</c:v>
                </c:pt>
                <c:pt idx="49">
                  <c:v>16.154399999999999</c:v>
                </c:pt>
                <c:pt idx="50">
                  <c:v>14.494399999999899</c:v>
                </c:pt>
                <c:pt idx="51">
                  <c:v>11.944000000000001</c:v>
                </c:pt>
                <c:pt idx="52">
                  <c:v>7.8642666666666603</c:v>
                </c:pt>
                <c:pt idx="53">
                  <c:v>4.5108224299065398</c:v>
                </c:pt>
                <c:pt idx="54">
                  <c:v>4.5093271028037298</c:v>
                </c:pt>
                <c:pt idx="55">
                  <c:v>4.5078317757009296</c:v>
                </c:pt>
                <c:pt idx="56">
                  <c:v>4.5063364485981303</c:v>
                </c:pt>
                <c:pt idx="57">
                  <c:v>4.5048411214953203</c:v>
                </c:pt>
                <c:pt idx="58">
                  <c:v>4.5033457943925201</c:v>
                </c:pt>
                <c:pt idx="59">
                  <c:v>4.5018504672897199</c:v>
                </c:pt>
                <c:pt idx="60">
                  <c:v>4.50035514018691</c:v>
                </c:pt>
                <c:pt idx="61">
                  <c:v>4.4988598130841098</c:v>
                </c:pt>
                <c:pt idx="62">
                  <c:v>4.4973644859812998</c:v>
                </c:pt>
                <c:pt idx="63">
                  <c:v>4.4958691588784996</c:v>
                </c:pt>
                <c:pt idx="64">
                  <c:v>4.4943738317757003</c:v>
                </c:pt>
                <c:pt idx="65">
                  <c:v>4.4928785046728903</c:v>
                </c:pt>
                <c:pt idx="66">
                  <c:v>24.83</c:v>
                </c:pt>
                <c:pt idx="67">
                  <c:v>24.844000000000001</c:v>
                </c:pt>
                <c:pt idx="68">
                  <c:v>16.478000000000002</c:v>
                </c:pt>
                <c:pt idx="69">
                  <c:v>13.218</c:v>
                </c:pt>
                <c:pt idx="70">
                  <c:v>11.843999999999999</c:v>
                </c:pt>
                <c:pt idx="71">
                  <c:v>11.214</c:v>
                </c:pt>
                <c:pt idx="72">
                  <c:v>11.263999999999999</c:v>
                </c:pt>
                <c:pt idx="73">
                  <c:v>8.8166666666666593</c:v>
                </c:pt>
                <c:pt idx="74">
                  <c:v>13.0708</c:v>
                </c:pt>
                <c:pt idx="75">
                  <c:v>13.643599999999999</c:v>
                </c:pt>
                <c:pt idx="76">
                  <c:v>12.4716</c:v>
                </c:pt>
                <c:pt idx="77">
                  <c:v>11.198399999999999</c:v>
                </c:pt>
                <c:pt idx="78">
                  <c:v>9.9955999999999996</c:v>
                </c:pt>
                <c:pt idx="79">
                  <c:v>8.8631999999999902</c:v>
                </c:pt>
                <c:pt idx="80">
                  <c:v>11.986000000000001</c:v>
                </c:pt>
                <c:pt idx="81">
                  <c:v>13.777999999999899</c:v>
                </c:pt>
                <c:pt idx="82">
                  <c:v>13.098000000000001</c:v>
                </c:pt>
                <c:pt idx="83">
                  <c:v>10.52</c:v>
                </c:pt>
                <c:pt idx="84">
                  <c:v>8.5039999999999996</c:v>
                </c:pt>
                <c:pt idx="85">
                  <c:v>6.4839999999999902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E2-4556-9528-79A2A7F3A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780031"/>
        <c:axId val="757788671"/>
      </c:scatterChart>
      <c:valAx>
        <c:axId val="75778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 concentration (uL/L)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788671"/>
        <c:crosses val="autoZero"/>
        <c:crossBetween val="midCat"/>
      </c:valAx>
      <c:valAx>
        <c:axId val="75778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Sonde Turbidity (FNU)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780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to Sonde</a:t>
            </a:r>
            <a:r>
              <a:rPr lang="en-US" baseline="0"/>
              <a:t> Turbidity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'Summer '!$R$1</c:f>
              <c:strCache>
                <c:ptCount val="1"/>
                <c:pt idx="0">
                  <c:v>Downstream Turbidity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36002340332458443"/>
                  <c:y val="-2.046041119860017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'!$H$2:$H$87</c:f>
              <c:numCache>
                <c:formatCode>0.0000</c:formatCode>
                <c:ptCount val="86"/>
                <c:pt idx="0">
                  <c:v>12.42059499105352</c:v>
                </c:pt>
                <c:pt idx="1">
                  <c:v>12.917667659613238</c:v>
                </c:pt>
                <c:pt idx="2">
                  <c:v>4.05181995661607</c:v>
                </c:pt>
                <c:pt idx="3">
                  <c:v>3.4720828614205299</c:v>
                </c:pt>
                <c:pt idx="4">
                  <c:v>1.6843076180902734</c:v>
                </c:pt>
                <c:pt idx="5">
                  <c:v>1.3097205793723499</c:v>
                </c:pt>
                <c:pt idx="6">
                  <c:v>2.4792040459396865</c:v>
                </c:pt>
                <c:pt idx="7">
                  <c:v>6.1584312598812998</c:v>
                </c:pt>
                <c:pt idx="8">
                  <c:v>10.503118006915519</c:v>
                </c:pt>
                <c:pt idx="9">
                  <c:v>3.0083665576103797</c:v>
                </c:pt>
                <c:pt idx="10">
                  <c:v>1.4577906907522695</c:v>
                </c:pt>
                <c:pt idx="11">
                  <c:v>1.2189465182507433</c:v>
                </c:pt>
                <c:pt idx="12">
                  <c:v>0.81093355630223884</c:v>
                </c:pt>
                <c:pt idx="13">
                  <c:v>0.67779828329961622</c:v>
                </c:pt>
                <c:pt idx="14">
                  <c:v>0.63223097869840805</c:v>
                </c:pt>
                <c:pt idx="15">
                  <c:v>0.64059153994189177</c:v>
                </c:pt>
                <c:pt idx="16">
                  <c:v>0.3795284226614497</c:v>
                </c:pt>
                <c:pt idx="17">
                  <c:v>0.25540994636617004</c:v>
                </c:pt>
                <c:pt idx="18">
                  <c:v>0.26461862273170189</c:v>
                </c:pt>
                <c:pt idx="19">
                  <c:v>0.17978326915702031</c:v>
                </c:pt>
                <c:pt idx="20">
                  <c:v>0.20670824007668936</c:v>
                </c:pt>
                <c:pt idx="21">
                  <c:v>0.37004991918953345</c:v>
                </c:pt>
                <c:pt idx="22">
                  <c:v>0.65572150300064624</c:v>
                </c:pt>
                <c:pt idx="23">
                  <c:v>0.62239773814796806</c:v>
                </c:pt>
                <c:pt idx="24">
                  <c:v>0.27757088646634936</c:v>
                </c:pt>
                <c:pt idx="25">
                  <c:v>0.23932675048380125</c:v>
                </c:pt>
                <c:pt idx="26">
                  <c:v>0.18463063927826467</c:v>
                </c:pt>
                <c:pt idx="27">
                  <c:v>0.18608289987021998</c:v>
                </c:pt>
                <c:pt idx="28">
                  <c:v>0.19585625568188858</c:v>
                </c:pt>
                <c:pt idx="29">
                  <c:v>0.20604215861937406</c:v>
                </c:pt>
                <c:pt idx="30">
                  <c:v>0.18269018151077018</c:v>
                </c:pt>
                <c:pt idx="31">
                  <c:v>2.9943162613702401</c:v>
                </c:pt>
                <c:pt idx="32">
                  <c:v>0.86155236948536007</c:v>
                </c:pt>
                <c:pt idx="33">
                  <c:v>0.62402435211444007</c:v>
                </c:pt>
                <c:pt idx="34">
                  <c:v>0.74831808175628001</c:v>
                </c:pt>
                <c:pt idx="35">
                  <c:v>0.53337838091197998</c:v>
                </c:pt>
                <c:pt idx="36">
                  <c:v>0.74561143823581988</c:v>
                </c:pt>
                <c:pt idx="37">
                  <c:v>0.93145151485235989</c:v>
                </c:pt>
                <c:pt idx="38">
                  <c:v>1.2514082631396399</c:v>
                </c:pt>
                <c:pt idx="39">
                  <c:v>1.00317261593764</c:v>
                </c:pt>
                <c:pt idx="40">
                  <c:v>0.67066455629003996</c:v>
                </c:pt>
                <c:pt idx="41">
                  <c:v>0.67506134010429997</c:v>
                </c:pt>
                <c:pt idx="42">
                  <c:v>0</c:v>
                </c:pt>
                <c:pt idx="43">
                  <c:v>0.56237380340356002</c:v>
                </c:pt>
                <c:pt idx="44">
                  <c:v>0</c:v>
                </c:pt>
                <c:pt idx="45">
                  <c:v>0.32430437517212002</c:v>
                </c:pt>
                <c:pt idx="46">
                  <c:v>0</c:v>
                </c:pt>
                <c:pt idx="47">
                  <c:v>0.42750517220431999</c:v>
                </c:pt>
                <c:pt idx="48">
                  <c:v>2.0222215051616801</c:v>
                </c:pt>
                <c:pt idx="49">
                  <c:v>1.1336781018156401</c:v>
                </c:pt>
                <c:pt idx="50">
                  <c:v>1.4723180433944001</c:v>
                </c:pt>
                <c:pt idx="51">
                  <c:v>1.2008849810370801</c:v>
                </c:pt>
                <c:pt idx="52">
                  <c:v>0.70097364508676874</c:v>
                </c:pt>
                <c:pt idx="53">
                  <c:v>1.3888700852562501</c:v>
                </c:pt>
                <c:pt idx="54">
                  <c:v>1.3211677463677476</c:v>
                </c:pt>
                <c:pt idx="55">
                  <c:v>1.243345664936105</c:v>
                </c:pt>
                <c:pt idx="56">
                  <c:v>0.96877795638711239</c:v>
                </c:pt>
                <c:pt idx="58">
                  <c:v>0.46451618132306999</c:v>
                </c:pt>
                <c:pt idx="60">
                  <c:v>0.51244036630343248</c:v>
                </c:pt>
                <c:pt idx="64">
                  <c:v>0.81061645169894003</c:v>
                </c:pt>
                <c:pt idx="66">
                  <c:v>2.4072173760262299</c:v>
                </c:pt>
                <c:pt idx="67">
                  <c:v>1.25426288924901</c:v>
                </c:pt>
                <c:pt idx="68">
                  <c:v>1.13454858480537</c:v>
                </c:pt>
                <c:pt idx="69">
                  <c:v>0.99956471075489506</c:v>
                </c:pt>
                <c:pt idx="70">
                  <c:v>1.1932436975735501</c:v>
                </c:pt>
                <c:pt idx="71">
                  <c:v>0.85419170023644253</c:v>
                </c:pt>
                <c:pt idx="72">
                  <c:v>0</c:v>
                </c:pt>
                <c:pt idx="73">
                  <c:v>0</c:v>
                </c:pt>
                <c:pt idx="74">
                  <c:v>1.3348544727944125</c:v>
                </c:pt>
                <c:pt idx="75">
                  <c:v>1.1993748002938676</c:v>
                </c:pt>
                <c:pt idx="76">
                  <c:v>1.1397797508432075</c:v>
                </c:pt>
                <c:pt idx="77">
                  <c:v>1.0275484426400625</c:v>
                </c:pt>
                <c:pt idx="78">
                  <c:v>0</c:v>
                </c:pt>
                <c:pt idx="79">
                  <c:v>0.95984970198324493</c:v>
                </c:pt>
                <c:pt idx="80">
                  <c:v>1.3355551810699124</c:v>
                </c:pt>
                <c:pt idx="81">
                  <c:v>1.1113195373306999</c:v>
                </c:pt>
                <c:pt idx="82">
                  <c:v>1.0044204297234951</c:v>
                </c:pt>
                <c:pt idx="83">
                  <c:v>0.71189129550605745</c:v>
                </c:pt>
                <c:pt idx="84">
                  <c:v>0</c:v>
                </c:pt>
                <c:pt idx="85">
                  <c:v>0.47449365167919122</c:v>
                </c:pt>
              </c:numCache>
            </c:numRef>
          </c:xVal>
          <c:yVal>
            <c:numRef>
              <c:f>'Summer '!$R$2:$R$87</c:f>
              <c:numCache>
                <c:formatCode>0.000</c:formatCode>
                <c:ptCount val="86"/>
                <c:pt idx="0">
                  <c:v>92.5304</c:v>
                </c:pt>
                <c:pt idx="1">
                  <c:v>197.94775999999999</c:v>
                </c:pt>
                <c:pt idx="2">
                  <c:v>78.192979999999906</c:v>
                </c:pt>
                <c:pt idx="3">
                  <c:v>74.057744</c:v>
                </c:pt>
                <c:pt idx="4">
                  <c:v>20.5702</c:v>
                </c:pt>
                <c:pt idx="5">
                  <c:v>16.9712</c:v>
                </c:pt>
                <c:pt idx="6">
                  <c:v>12.229200000000001</c:v>
                </c:pt>
                <c:pt idx="7">
                  <c:v>18.771000000000001</c:v>
                </c:pt>
                <c:pt idx="8">
                  <c:v>182.640559999999</c:v>
                </c:pt>
                <c:pt idx="9">
                  <c:v>73.380716000000007</c:v>
                </c:pt>
                <c:pt idx="10">
                  <c:v>35.428628000000003</c:v>
                </c:pt>
                <c:pt idx="11">
                  <c:v>12.141999999999999</c:v>
                </c:pt>
                <c:pt idx="12">
                  <c:v>16.7956</c:v>
                </c:pt>
                <c:pt idx="13">
                  <c:v>19.789199999999902</c:v>
                </c:pt>
                <c:pt idx="14">
                  <c:v>10.3628</c:v>
                </c:pt>
                <c:pt idx="15">
                  <c:v>13.1524</c:v>
                </c:pt>
                <c:pt idx="16">
                  <c:v>9.5941333333333301</c:v>
                </c:pt>
                <c:pt idx="17">
                  <c:v>9.1205333333333307</c:v>
                </c:pt>
                <c:pt idx="18">
                  <c:v>7.7619999999999996</c:v>
                </c:pt>
                <c:pt idx="19">
                  <c:v>5.6118666666666597</c:v>
                </c:pt>
                <c:pt idx="20">
                  <c:v>7.4348000000000001</c:v>
                </c:pt>
                <c:pt idx="21">
                  <c:v>9.4147999999999996</c:v>
                </c:pt>
                <c:pt idx="22">
                  <c:v>15.5524</c:v>
                </c:pt>
                <c:pt idx="23">
                  <c:v>20.757200000000001</c:v>
                </c:pt>
                <c:pt idx="24">
                  <c:v>14.5328</c:v>
                </c:pt>
                <c:pt idx="25">
                  <c:v>9.2880000000000003</c:v>
                </c:pt>
                <c:pt idx="26">
                  <c:v>8.1485333333333294</c:v>
                </c:pt>
                <c:pt idx="27">
                  <c:v>7.5998666666666601</c:v>
                </c:pt>
                <c:pt idx="28">
                  <c:v>6.7853333333333303</c:v>
                </c:pt>
                <c:pt idx="29">
                  <c:v>6.1841333333333299</c:v>
                </c:pt>
                <c:pt idx="30">
                  <c:v>5.9731999999999896</c:v>
                </c:pt>
                <c:pt idx="31">
                  <c:v>28.3628</c:v>
                </c:pt>
                <c:pt idx="32">
                  <c:v>35.5732</c:v>
                </c:pt>
                <c:pt idx="33">
                  <c:v>34.972000000000001</c:v>
                </c:pt>
                <c:pt idx="34">
                  <c:v>32.542400000000001</c:v>
                </c:pt>
                <c:pt idx="35">
                  <c:v>26.4848</c:v>
                </c:pt>
                <c:pt idx="36">
                  <c:v>20.574000000000002</c:v>
                </c:pt>
                <c:pt idx="37">
                  <c:v>17.004000000000001</c:v>
                </c:pt>
                <c:pt idx="38">
                  <c:v>35.4</c:v>
                </c:pt>
                <c:pt idx="39">
                  <c:v>33.956800000000001</c:v>
                </c:pt>
                <c:pt idx="40">
                  <c:v>29.175999999999998</c:v>
                </c:pt>
                <c:pt idx="41">
                  <c:v>22.698799999999999</c:v>
                </c:pt>
                <c:pt idx="42">
                  <c:v>18.052</c:v>
                </c:pt>
                <c:pt idx="43">
                  <c:v>15.383599999999999</c:v>
                </c:pt>
                <c:pt idx="44">
                  <c:v>13.183999999999999</c:v>
                </c:pt>
                <c:pt idx="45">
                  <c:v>10.696400000000001</c:v>
                </c:pt>
                <c:pt idx="46">
                  <c:v>8.9494666666666607</c:v>
                </c:pt>
                <c:pt idx="47">
                  <c:v>9.0177333333333305</c:v>
                </c:pt>
                <c:pt idx="48">
                  <c:v>13.715999999999999</c:v>
                </c:pt>
                <c:pt idx="49">
                  <c:v>16.154399999999999</c:v>
                </c:pt>
                <c:pt idx="50">
                  <c:v>14.494399999999899</c:v>
                </c:pt>
                <c:pt idx="51">
                  <c:v>11.944000000000001</c:v>
                </c:pt>
                <c:pt idx="52">
                  <c:v>7.8642666666666603</c:v>
                </c:pt>
                <c:pt idx="53">
                  <c:v>15.231999999999999</c:v>
                </c:pt>
                <c:pt idx="54">
                  <c:v>10.95</c:v>
                </c:pt>
                <c:pt idx="55">
                  <c:v>9.2100000000000009</c:v>
                </c:pt>
                <c:pt idx="56">
                  <c:v>7.968</c:v>
                </c:pt>
                <c:pt idx="57">
                  <c:v>7.5539999999999896</c:v>
                </c:pt>
                <c:pt idx="58">
                  <c:v>7.2919999999999998</c:v>
                </c:pt>
                <c:pt idx="59">
                  <c:v>7.2699999999999898</c:v>
                </c:pt>
                <c:pt idx="60">
                  <c:v>7.6459999999999901</c:v>
                </c:pt>
                <c:pt idx="61">
                  <c:v>7.8399999999999901</c:v>
                </c:pt>
                <c:pt idx="62">
                  <c:v>8.0220000000000002</c:v>
                </c:pt>
                <c:pt idx="63">
                  <c:v>7.8779999999999903</c:v>
                </c:pt>
                <c:pt idx="64">
                  <c:v>7.3079999999999998</c:v>
                </c:pt>
                <c:pt idx="65">
                  <c:v>6.6479999999999899</c:v>
                </c:pt>
                <c:pt idx="66">
                  <c:v>24.83</c:v>
                </c:pt>
                <c:pt idx="67">
                  <c:v>24.844000000000001</c:v>
                </c:pt>
                <c:pt idx="68">
                  <c:v>16.478000000000002</c:v>
                </c:pt>
                <c:pt idx="69">
                  <c:v>13.218</c:v>
                </c:pt>
                <c:pt idx="70">
                  <c:v>11.843999999999999</c:v>
                </c:pt>
                <c:pt idx="71">
                  <c:v>11.214</c:v>
                </c:pt>
                <c:pt idx="72">
                  <c:v>11.263999999999999</c:v>
                </c:pt>
                <c:pt idx="73">
                  <c:v>8.8166666666666593</c:v>
                </c:pt>
                <c:pt idx="74">
                  <c:v>1.97369195402298</c:v>
                </c:pt>
                <c:pt idx="75">
                  <c:v>1.97258850574712</c:v>
                </c:pt>
                <c:pt idx="76">
                  <c:v>1.9714850574712599</c:v>
                </c:pt>
                <c:pt idx="77">
                  <c:v>1.9703816091954001</c:v>
                </c:pt>
                <c:pt idx="78">
                  <c:v>1.96927816091954</c:v>
                </c:pt>
                <c:pt idx="79">
                  <c:v>1.9680275862068899</c:v>
                </c:pt>
                <c:pt idx="80">
                  <c:v>1.9742068965517201</c:v>
                </c:pt>
                <c:pt idx="81">
                  <c:v>1.97310344827586</c:v>
                </c:pt>
                <c:pt idx="82">
                  <c:v>1.972</c:v>
                </c:pt>
                <c:pt idx="83">
                  <c:v>1.9697931034482701</c:v>
                </c:pt>
                <c:pt idx="84">
                  <c:v>1.9675862068965499</c:v>
                </c:pt>
                <c:pt idx="85">
                  <c:v>1.96427586206896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3F-4F8A-BDFD-3B4926EBED36}"/>
            </c:ext>
          </c:extLst>
        </c:ser>
        <c:ser>
          <c:idx val="1"/>
          <c:order val="1"/>
          <c:tx>
            <c:strRef>
              <c:f>'Summer '!$T$1</c:f>
              <c:strCache>
                <c:ptCount val="1"/>
                <c:pt idx="0">
                  <c:v>Upstream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46507480314960631"/>
                  <c:y val="-2.0745479731700205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'!$H$2:$H$87</c:f>
              <c:numCache>
                <c:formatCode>0.0000</c:formatCode>
                <c:ptCount val="86"/>
                <c:pt idx="0">
                  <c:v>12.42059499105352</c:v>
                </c:pt>
                <c:pt idx="1">
                  <c:v>12.917667659613238</c:v>
                </c:pt>
                <c:pt idx="2">
                  <c:v>4.05181995661607</c:v>
                </c:pt>
                <c:pt idx="3">
                  <c:v>3.4720828614205299</c:v>
                </c:pt>
                <c:pt idx="4">
                  <c:v>1.6843076180902734</c:v>
                </c:pt>
                <c:pt idx="5">
                  <c:v>1.3097205793723499</c:v>
                </c:pt>
                <c:pt idx="6">
                  <c:v>2.4792040459396865</c:v>
                </c:pt>
                <c:pt idx="7">
                  <c:v>6.1584312598812998</c:v>
                </c:pt>
                <c:pt idx="8">
                  <c:v>10.503118006915519</c:v>
                </c:pt>
                <c:pt idx="9">
                  <c:v>3.0083665576103797</c:v>
                </c:pt>
                <c:pt idx="10">
                  <c:v>1.4577906907522695</c:v>
                </c:pt>
                <c:pt idx="11">
                  <c:v>1.2189465182507433</c:v>
                </c:pt>
                <c:pt idx="12">
                  <c:v>0.81093355630223884</c:v>
                </c:pt>
                <c:pt idx="13">
                  <c:v>0.67779828329961622</c:v>
                </c:pt>
                <c:pt idx="14">
                  <c:v>0.63223097869840805</c:v>
                </c:pt>
                <c:pt idx="15">
                  <c:v>0.64059153994189177</c:v>
                </c:pt>
                <c:pt idx="16">
                  <c:v>0.3795284226614497</c:v>
                </c:pt>
                <c:pt idx="17">
                  <c:v>0.25540994636617004</c:v>
                </c:pt>
                <c:pt idx="18">
                  <c:v>0.26461862273170189</c:v>
                </c:pt>
                <c:pt idx="19">
                  <c:v>0.17978326915702031</c:v>
                </c:pt>
                <c:pt idx="20">
                  <c:v>0.20670824007668936</c:v>
                </c:pt>
                <c:pt idx="21">
                  <c:v>0.37004991918953345</c:v>
                </c:pt>
                <c:pt idx="22">
                  <c:v>0.65572150300064624</c:v>
                </c:pt>
                <c:pt idx="23">
                  <c:v>0.62239773814796806</c:v>
                </c:pt>
                <c:pt idx="24">
                  <c:v>0.27757088646634936</c:v>
                </c:pt>
                <c:pt idx="25">
                  <c:v>0.23932675048380125</c:v>
                </c:pt>
                <c:pt idx="26">
                  <c:v>0.18463063927826467</c:v>
                </c:pt>
                <c:pt idx="27">
                  <c:v>0.18608289987021998</c:v>
                </c:pt>
                <c:pt idx="28">
                  <c:v>0.19585625568188858</c:v>
                </c:pt>
                <c:pt idx="29">
                  <c:v>0.20604215861937406</c:v>
                </c:pt>
                <c:pt idx="30">
                  <c:v>0.18269018151077018</c:v>
                </c:pt>
                <c:pt idx="31">
                  <c:v>2.9943162613702401</c:v>
                </c:pt>
                <c:pt idx="32">
                  <c:v>0.86155236948536007</c:v>
                </c:pt>
                <c:pt idx="33">
                  <c:v>0.62402435211444007</c:v>
                </c:pt>
                <c:pt idx="34">
                  <c:v>0.74831808175628001</c:v>
                </c:pt>
                <c:pt idx="35">
                  <c:v>0.53337838091197998</c:v>
                </c:pt>
                <c:pt idx="36">
                  <c:v>0.74561143823581988</c:v>
                </c:pt>
                <c:pt idx="37">
                  <c:v>0.93145151485235989</c:v>
                </c:pt>
                <c:pt idx="38">
                  <c:v>1.2514082631396399</c:v>
                </c:pt>
                <c:pt idx="39">
                  <c:v>1.00317261593764</c:v>
                </c:pt>
                <c:pt idx="40">
                  <c:v>0.67066455629003996</c:v>
                </c:pt>
                <c:pt idx="41">
                  <c:v>0.67506134010429997</c:v>
                </c:pt>
                <c:pt idx="42">
                  <c:v>0</c:v>
                </c:pt>
                <c:pt idx="43">
                  <c:v>0.56237380340356002</c:v>
                </c:pt>
                <c:pt idx="44">
                  <c:v>0</c:v>
                </c:pt>
                <c:pt idx="45">
                  <c:v>0.32430437517212002</c:v>
                </c:pt>
                <c:pt idx="46">
                  <c:v>0</c:v>
                </c:pt>
                <c:pt idx="47">
                  <c:v>0.42750517220431999</c:v>
                </c:pt>
                <c:pt idx="48">
                  <c:v>2.0222215051616801</c:v>
                </c:pt>
                <c:pt idx="49">
                  <c:v>1.1336781018156401</c:v>
                </c:pt>
                <c:pt idx="50">
                  <c:v>1.4723180433944001</c:v>
                </c:pt>
                <c:pt idx="51">
                  <c:v>1.2008849810370801</c:v>
                </c:pt>
                <c:pt idx="52">
                  <c:v>0.70097364508676874</c:v>
                </c:pt>
                <c:pt idx="53">
                  <c:v>1.3888700852562501</c:v>
                </c:pt>
                <c:pt idx="54">
                  <c:v>1.3211677463677476</c:v>
                </c:pt>
                <c:pt idx="55">
                  <c:v>1.243345664936105</c:v>
                </c:pt>
                <c:pt idx="56">
                  <c:v>0.96877795638711239</c:v>
                </c:pt>
                <c:pt idx="58">
                  <c:v>0.46451618132306999</c:v>
                </c:pt>
                <c:pt idx="60">
                  <c:v>0.51244036630343248</c:v>
                </c:pt>
                <c:pt idx="64">
                  <c:v>0.81061645169894003</c:v>
                </c:pt>
                <c:pt idx="66">
                  <c:v>2.4072173760262299</c:v>
                </c:pt>
                <c:pt idx="67">
                  <c:v>1.25426288924901</c:v>
                </c:pt>
                <c:pt idx="68">
                  <c:v>1.13454858480537</c:v>
                </c:pt>
                <c:pt idx="69">
                  <c:v>0.99956471075489506</c:v>
                </c:pt>
                <c:pt idx="70">
                  <c:v>1.1932436975735501</c:v>
                </c:pt>
                <c:pt idx="71">
                  <c:v>0.85419170023644253</c:v>
                </c:pt>
                <c:pt idx="72">
                  <c:v>0</c:v>
                </c:pt>
                <c:pt idx="73">
                  <c:v>0</c:v>
                </c:pt>
                <c:pt idx="74">
                  <c:v>1.3348544727944125</c:v>
                </c:pt>
                <c:pt idx="75">
                  <c:v>1.1993748002938676</c:v>
                </c:pt>
                <c:pt idx="76">
                  <c:v>1.1397797508432075</c:v>
                </c:pt>
                <c:pt idx="77">
                  <c:v>1.0275484426400625</c:v>
                </c:pt>
                <c:pt idx="78">
                  <c:v>0</c:v>
                </c:pt>
                <c:pt idx="79">
                  <c:v>0.95984970198324493</c:v>
                </c:pt>
                <c:pt idx="80">
                  <c:v>1.3355551810699124</c:v>
                </c:pt>
                <c:pt idx="81">
                  <c:v>1.1113195373306999</c:v>
                </c:pt>
                <c:pt idx="82">
                  <c:v>1.0044204297234951</c:v>
                </c:pt>
                <c:pt idx="83">
                  <c:v>0.71189129550605745</c:v>
                </c:pt>
                <c:pt idx="84">
                  <c:v>0</c:v>
                </c:pt>
                <c:pt idx="85">
                  <c:v>0.47449365167919122</c:v>
                </c:pt>
              </c:numCache>
            </c:numRef>
          </c:xVal>
          <c:yVal>
            <c:numRef>
              <c:f>'Summer '!$T$2:$T$87</c:f>
              <c:numCache>
                <c:formatCode>0.000</c:formatCode>
                <c:ptCount val="86"/>
                <c:pt idx="0">
                  <c:v>95.885999999999996</c:v>
                </c:pt>
                <c:pt idx="1">
                  <c:v>137.97319999999999</c:v>
                </c:pt>
                <c:pt idx="2">
                  <c:v>60.357999999999898</c:v>
                </c:pt>
                <c:pt idx="3">
                  <c:v>45.711999999999897</c:v>
                </c:pt>
                <c:pt idx="4">
                  <c:v>13.346799999999901</c:v>
                </c:pt>
                <c:pt idx="5">
                  <c:v>9.0307999999999904</c:v>
                </c:pt>
                <c:pt idx="6">
                  <c:v>10.092000000000001</c:v>
                </c:pt>
                <c:pt idx="7">
                  <c:v>13.925599999999999</c:v>
                </c:pt>
                <c:pt idx="8">
                  <c:v>126.08439999999899</c:v>
                </c:pt>
                <c:pt idx="9">
                  <c:v>43.206399999999903</c:v>
                </c:pt>
                <c:pt idx="10">
                  <c:v>20.805599999999899</c:v>
                </c:pt>
                <c:pt idx="11">
                  <c:v>10.3607999999999</c:v>
                </c:pt>
                <c:pt idx="12">
                  <c:v>3.1412203684533901</c:v>
                </c:pt>
                <c:pt idx="13">
                  <c:v>3.1412530097882798</c:v>
                </c:pt>
                <c:pt idx="14">
                  <c:v>3.1413182924580698</c:v>
                </c:pt>
                <c:pt idx="15">
                  <c:v>3.1413835751278598</c:v>
                </c:pt>
                <c:pt idx="16">
                  <c:v>3.1416120644721102</c:v>
                </c:pt>
                <c:pt idx="17">
                  <c:v>3.1416447058070101</c:v>
                </c:pt>
                <c:pt idx="18">
                  <c:v>3.1417426298116902</c:v>
                </c:pt>
                <c:pt idx="19">
                  <c:v>3.1567162981719199</c:v>
                </c:pt>
                <c:pt idx="20">
                  <c:v>3.1567489395068198</c:v>
                </c:pt>
                <c:pt idx="21">
                  <c:v>3.1567815808417099</c:v>
                </c:pt>
                <c:pt idx="22">
                  <c:v>3.1568142221766098</c:v>
                </c:pt>
                <c:pt idx="23">
                  <c:v>3.1568468635114999</c:v>
                </c:pt>
                <c:pt idx="24">
                  <c:v>3.1569339070712199</c:v>
                </c:pt>
                <c:pt idx="25">
                  <c:v>3.1570427115208601</c:v>
                </c:pt>
                <c:pt idx="26">
                  <c:v>3.1571079941906501</c:v>
                </c:pt>
                <c:pt idx="27">
                  <c:v>3.1571406355255398</c:v>
                </c:pt>
                <c:pt idx="28">
                  <c:v>3.1572059181953298</c:v>
                </c:pt>
                <c:pt idx="29">
                  <c:v>3.1572712008651198</c:v>
                </c:pt>
                <c:pt idx="30">
                  <c:v>3.1573038422000099</c:v>
                </c:pt>
                <c:pt idx="31">
                  <c:v>33.437199999999997</c:v>
                </c:pt>
                <c:pt idx="32">
                  <c:v>39.591999999999999</c:v>
                </c:pt>
                <c:pt idx="33">
                  <c:v>37.057600000000001</c:v>
                </c:pt>
                <c:pt idx="34">
                  <c:v>33.884399999999999</c:v>
                </c:pt>
                <c:pt idx="35">
                  <c:v>26.9192</c:v>
                </c:pt>
                <c:pt idx="36">
                  <c:v>20.897600000000001</c:v>
                </c:pt>
                <c:pt idx="37">
                  <c:v>17.011599999999898</c:v>
                </c:pt>
                <c:pt idx="38">
                  <c:v>37.755200000000002</c:v>
                </c:pt>
                <c:pt idx="39">
                  <c:v>35.681999999999903</c:v>
                </c:pt>
                <c:pt idx="40">
                  <c:v>29.9968</c:v>
                </c:pt>
                <c:pt idx="41">
                  <c:v>22.9848</c:v>
                </c:pt>
                <c:pt idx="42">
                  <c:v>18.417999999999999</c:v>
                </c:pt>
                <c:pt idx="43">
                  <c:v>15.4439999999999</c:v>
                </c:pt>
                <c:pt idx="44">
                  <c:v>13.4284</c:v>
                </c:pt>
                <c:pt idx="45">
                  <c:v>11.5524</c:v>
                </c:pt>
                <c:pt idx="46">
                  <c:v>11.089600000000001</c:v>
                </c:pt>
                <c:pt idx="47">
                  <c:v>12.7316</c:v>
                </c:pt>
                <c:pt idx="48">
                  <c:v>4.51231775700934</c:v>
                </c:pt>
                <c:pt idx="49">
                  <c:v>4.5110218068535799</c:v>
                </c:pt>
                <c:pt idx="50">
                  <c:v>4.5106230529594997</c:v>
                </c:pt>
                <c:pt idx="51">
                  <c:v>4.5098255451713296</c:v>
                </c:pt>
                <c:pt idx="52">
                  <c:v>4.4986604361370697</c:v>
                </c:pt>
                <c:pt idx="53">
                  <c:v>4.5108224299065398</c:v>
                </c:pt>
                <c:pt idx="54">
                  <c:v>4.5093271028037298</c:v>
                </c:pt>
                <c:pt idx="55">
                  <c:v>4.5078317757009296</c:v>
                </c:pt>
                <c:pt idx="56">
                  <c:v>4.5063364485981303</c:v>
                </c:pt>
                <c:pt idx="57">
                  <c:v>4.5048411214953203</c:v>
                </c:pt>
                <c:pt idx="58">
                  <c:v>4.5033457943925201</c:v>
                </c:pt>
                <c:pt idx="59">
                  <c:v>4.5018504672897199</c:v>
                </c:pt>
                <c:pt idx="60">
                  <c:v>4.50035514018691</c:v>
                </c:pt>
                <c:pt idx="61">
                  <c:v>4.4988598130841098</c:v>
                </c:pt>
                <c:pt idx="62">
                  <c:v>4.4973644859812998</c:v>
                </c:pt>
                <c:pt idx="63">
                  <c:v>4.4958691588784996</c:v>
                </c:pt>
                <c:pt idx="64">
                  <c:v>4.4943738317757003</c:v>
                </c:pt>
                <c:pt idx="65">
                  <c:v>4.4928785046728903</c:v>
                </c:pt>
                <c:pt idx="66">
                  <c:v>2.37361839564683</c:v>
                </c:pt>
                <c:pt idx="67">
                  <c:v>2.3735762682113299</c:v>
                </c:pt>
                <c:pt idx="68">
                  <c:v>2.3735341407758401</c:v>
                </c:pt>
                <c:pt idx="69">
                  <c:v>2.3734920133403499</c:v>
                </c:pt>
                <c:pt idx="70">
                  <c:v>2.3734498859048601</c:v>
                </c:pt>
                <c:pt idx="71">
                  <c:v>2.37332350359838</c:v>
                </c:pt>
                <c:pt idx="72">
                  <c:v>2.3732392487273999</c:v>
                </c:pt>
                <c:pt idx="73">
                  <c:v>2.3731128664209198</c:v>
                </c:pt>
                <c:pt idx="74">
                  <c:v>13.0708</c:v>
                </c:pt>
                <c:pt idx="75">
                  <c:v>13.643599999999999</c:v>
                </c:pt>
                <c:pt idx="76">
                  <c:v>12.4716</c:v>
                </c:pt>
                <c:pt idx="77">
                  <c:v>11.198399999999999</c:v>
                </c:pt>
                <c:pt idx="78">
                  <c:v>9.9955999999999996</c:v>
                </c:pt>
                <c:pt idx="79">
                  <c:v>8.8631999999999902</c:v>
                </c:pt>
                <c:pt idx="80">
                  <c:v>11.986000000000001</c:v>
                </c:pt>
                <c:pt idx="81">
                  <c:v>13.777999999999899</c:v>
                </c:pt>
                <c:pt idx="82">
                  <c:v>13.098000000000001</c:v>
                </c:pt>
                <c:pt idx="83">
                  <c:v>10.52</c:v>
                </c:pt>
                <c:pt idx="84">
                  <c:v>8.5039999999999996</c:v>
                </c:pt>
                <c:pt idx="85">
                  <c:v>6.4839999999999902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3F-4F8A-BDFD-3B4926EBED36}"/>
            </c:ext>
          </c:extLst>
        </c:ser>
        <c:ser>
          <c:idx val="2"/>
          <c:order val="2"/>
          <c:tx>
            <c:strRef>
              <c:f>'Summer '!$P$1</c:f>
              <c:strCache>
                <c:ptCount val="1"/>
                <c:pt idx="0">
                  <c:v>Respective Reach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25478615865454202"/>
                  <c:y val="9.3893428941598273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'!$H$2:$H$87</c:f>
              <c:numCache>
                <c:formatCode>0.0000</c:formatCode>
                <c:ptCount val="86"/>
                <c:pt idx="0">
                  <c:v>12.42059499105352</c:v>
                </c:pt>
                <c:pt idx="1">
                  <c:v>12.917667659613238</c:v>
                </c:pt>
                <c:pt idx="2">
                  <c:v>4.05181995661607</c:v>
                </c:pt>
                <c:pt idx="3">
                  <c:v>3.4720828614205299</c:v>
                </c:pt>
                <c:pt idx="4">
                  <c:v>1.6843076180902734</c:v>
                </c:pt>
                <c:pt idx="5">
                  <c:v>1.3097205793723499</c:v>
                </c:pt>
                <c:pt idx="6">
                  <c:v>2.4792040459396865</c:v>
                </c:pt>
                <c:pt idx="7">
                  <c:v>6.1584312598812998</c:v>
                </c:pt>
                <c:pt idx="8">
                  <c:v>10.503118006915519</c:v>
                </c:pt>
                <c:pt idx="9">
                  <c:v>3.0083665576103797</c:v>
                </c:pt>
                <c:pt idx="10">
                  <c:v>1.4577906907522695</c:v>
                </c:pt>
                <c:pt idx="11">
                  <c:v>1.2189465182507433</c:v>
                </c:pt>
                <c:pt idx="12">
                  <c:v>0.81093355630223884</c:v>
                </c:pt>
                <c:pt idx="13">
                  <c:v>0.67779828329961622</c:v>
                </c:pt>
                <c:pt idx="14">
                  <c:v>0.63223097869840805</c:v>
                </c:pt>
                <c:pt idx="15">
                  <c:v>0.64059153994189177</c:v>
                </c:pt>
                <c:pt idx="16">
                  <c:v>0.3795284226614497</c:v>
                </c:pt>
                <c:pt idx="17">
                  <c:v>0.25540994636617004</c:v>
                </c:pt>
                <c:pt idx="18">
                  <c:v>0.26461862273170189</c:v>
                </c:pt>
                <c:pt idx="19">
                  <c:v>0.17978326915702031</c:v>
                </c:pt>
                <c:pt idx="20">
                  <c:v>0.20670824007668936</c:v>
                </c:pt>
                <c:pt idx="21">
                  <c:v>0.37004991918953345</c:v>
                </c:pt>
                <c:pt idx="22">
                  <c:v>0.65572150300064624</c:v>
                </c:pt>
                <c:pt idx="23">
                  <c:v>0.62239773814796806</c:v>
                </c:pt>
                <c:pt idx="24">
                  <c:v>0.27757088646634936</c:v>
                </c:pt>
                <c:pt idx="25">
                  <c:v>0.23932675048380125</c:v>
                </c:pt>
                <c:pt idx="26">
                  <c:v>0.18463063927826467</c:v>
                </c:pt>
                <c:pt idx="27">
                  <c:v>0.18608289987021998</c:v>
                </c:pt>
                <c:pt idx="28">
                  <c:v>0.19585625568188858</c:v>
                </c:pt>
                <c:pt idx="29">
                  <c:v>0.20604215861937406</c:v>
                </c:pt>
                <c:pt idx="30">
                  <c:v>0.18269018151077018</c:v>
                </c:pt>
                <c:pt idx="31">
                  <c:v>2.9943162613702401</c:v>
                </c:pt>
                <c:pt idx="32">
                  <c:v>0.86155236948536007</c:v>
                </c:pt>
                <c:pt idx="33">
                  <c:v>0.62402435211444007</c:v>
                </c:pt>
                <c:pt idx="34">
                  <c:v>0.74831808175628001</c:v>
                </c:pt>
                <c:pt idx="35">
                  <c:v>0.53337838091197998</c:v>
                </c:pt>
                <c:pt idx="36">
                  <c:v>0.74561143823581988</c:v>
                </c:pt>
                <c:pt idx="37">
                  <c:v>0.93145151485235989</c:v>
                </c:pt>
                <c:pt idx="38">
                  <c:v>1.2514082631396399</c:v>
                </c:pt>
                <c:pt idx="39">
                  <c:v>1.00317261593764</c:v>
                </c:pt>
                <c:pt idx="40">
                  <c:v>0.67066455629003996</c:v>
                </c:pt>
                <c:pt idx="41">
                  <c:v>0.67506134010429997</c:v>
                </c:pt>
                <c:pt idx="42">
                  <c:v>0</c:v>
                </c:pt>
                <c:pt idx="43">
                  <c:v>0.56237380340356002</c:v>
                </c:pt>
                <c:pt idx="44">
                  <c:v>0</c:v>
                </c:pt>
                <c:pt idx="45">
                  <c:v>0.32430437517212002</c:v>
                </c:pt>
                <c:pt idx="46">
                  <c:v>0</c:v>
                </c:pt>
                <c:pt idx="47">
                  <c:v>0.42750517220431999</c:v>
                </c:pt>
                <c:pt idx="48">
                  <c:v>2.0222215051616801</c:v>
                </c:pt>
                <c:pt idx="49">
                  <c:v>1.1336781018156401</c:v>
                </c:pt>
                <c:pt idx="50">
                  <c:v>1.4723180433944001</c:v>
                </c:pt>
                <c:pt idx="51">
                  <c:v>1.2008849810370801</c:v>
                </c:pt>
                <c:pt idx="52">
                  <c:v>0.70097364508676874</c:v>
                </c:pt>
                <c:pt idx="53">
                  <c:v>1.3888700852562501</c:v>
                </c:pt>
                <c:pt idx="54">
                  <c:v>1.3211677463677476</c:v>
                </c:pt>
                <c:pt idx="55">
                  <c:v>1.243345664936105</c:v>
                </c:pt>
                <c:pt idx="56">
                  <c:v>0.96877795638711239</c:v>
                </c:pt>
                <c:pt idx="58">
                  <c:v>0.46451618132306999</c:v>
                </c:pt>
                <c:pt idx="60">
                  <c:v>0.51244036630343248</c:v>
                </c:pt>
                <c:pt idx="64">
                  <c:v>0.81061645169894003</c:v>
                </c:pt>
                <c:pt idx="66">
                  <c:v>2.4072173760262299</c:v>
                </c:pt>
                <c:pt idx="67">
                  <c:v>1.25426288924901</c:v>
                </c:pt>
                <c:pt idx="68">
                  <c:v>1.13454858480537</c:v>
                </c:pt>
                <c:pt idx="69">
                  <c:v>0.99956471075489506</c:v>
                </c:pt>
                <c:pt idx="70">
                  <c:v>1.1932436975735501</c:v>
                </c:pt>
                <c:pt idx="71">
                  <c:v>0.85419170023644253</c:v>
                </c:pt>
                <c:pt idx="72">
                  <c:v>0</c:v>
                </c:pt>
                <c:pt idx="73">
                  <c:v>0</c:v>
                </c:pt>
                <c:pt idx="74">
                  <c:v>1.3348544727944125</c:v>
                </c:pt>
                <c:pt idx="75">
                  <c:v>1.1993748002938676</c:v>
                </c:pt>
                <c:pt idx="76">
                  <c:v>1.1397797508432075</c:v>
                </c:pt>
                <c:pt idx="77">
                  <c:v>1.0275484426400625</c:v>
                </c:pt>
                <c:pt idx="78">
                  <c:v>0</c:v>
                </c:pt>
                <c:pt idx="79">
                  <c:v>0.95984970198324493</c:v>
                </c:pt>
                <c:pt idx="80">
                  <c:v>1.3355551810699124</c:v>
                </c:pt>
                <c:pt idx="81">
                  <c:v>1.1113195373306999</c:v>
                </c:pt>
                <c:pt idx="82">
                  <c:v>1.0044204297234951</c:v>
                </c:pt>
                <c:pt idx="83">
                  <c:v>0.71189129550605745</c:v>
                </c:pt>
                <c:pt idx="84">
                  <c:v>0</c:v>
                </c:pt>
                <c:pt idx="85">
                  <c:v>0.47449365167919122</c:v>
                </c:pt>
              </c:numCache>
            </c:numRef>
          </c:xVal>
          <c:yVal>
            <c:numRef>
              <c:f>'Summer '!$P$2:$P$87</c:f>
              <c:numCache>
                <c:formatCode>0.000</c:formatCode>
                <c:ptCount val="86"/>
                <c:pt idx="0">
                  <c:v>92.5304</c:v>
                </c:pt>
                <c:pt idx="1">
                  <c:v>197.94775999999999</c:v>
                </c:pt>
                <c:pt idx="2">
                  <c:v>78.192979999999906</c:v>
                </c:pt>
                <c:pt idx="3">
                  <c:v>74.057744</c:v>
                </c:pt>
                <c:pt idx="4">
                  <c:v>20.5702</c:v>
                </c:pt>
                <c:pt idx="5">
                  <c:v>9.0307999999999904</c:v>
                </c:pt>
                <c:pt idx="6">
                  <c:v>10.092000000000001</c:v>
                </c:pt>
                <c:pt idx="7">
                  <c:v>13.925599999999999</c:v>
                </c:pt>
                <c:pt idx="8">
                  <c:v>126.08439999999899</c:v>
                </c:pt>
                <c:pt idx="9">
                  <c:v>43.206399999999903</c:v>
                </c:pt>
                <c:pt idx="10">
                  <c:v>20.805599999999899</c:v>
                </c:pt>
                <c:pt idx="11">
                  <c:v>10.3607999999999</c:v>
                </c:pt>
                <c:pt idx="12">
                  <c:v>3.1412203684533901</c:v>
                </c:pt>
                <c:pt idx="13">
                  <c:v>3.1412530097882798</c:v>
                </c:pt>
                <c:pt idx="14">
                  <c:v>3.1413182924580698</c:v>
                </c:pt>
                <c:pt idx="15">
                  <c:v>3.1413835751278598</c:v>
                </c:pt>
                <c:pt idx="16">
                  <c:v>3.1416120644721102</c:v>
                </c:pt>
                <c:pt idx="17">
                  <c:v>3.1416447058070101</c:v>
                </c:pt>
                <c:pt idx="18">
                  <c:v>3.1417426298116902</c:v>
                </c:pt>
                <c:pt idx="19">
                  <c:v>3.1567162981719199</c:v>
                </c:pt>
                <c:pt idx="20">
                  <c:v>3.1567489395068198</c:v>
                </c:pt>
                <c:pt idx="21">
                  <c:v>3.1567815808417099</c:v>
                </c:pt>
                <c:pt idx="22">
                  <c:v>3.1568142221766098</c:v>
                </c:pt>
                <c:pt idx="23">
                  <c:v>3.1568468635114999</c:v>
                </c:pt>
                <c:pt idx="24">
                  <c:v>3.1569339070712199</c:v>
                </c:pt>
                <c:pt idx="25">
                  <c:v>3.1570427115208601</c:v>
                </c:pt>
                <c:pt idx="26">
                  <c:v>3.1571079941906501</c:v>
                </c:pt>
                <c:pt idx="27">
                  <c:v>3.1571406355255398</c:v>
                </c:pt>
                <c:pt idx="28">
                  <c:v>3.1572059181953298</c:v>
                </c:pt>
                <c:pt idx="29">
                  <c:v>3.1572712008651198</c:v>
                </c:pt>
                <c:pt idx="30">
                  <c:v>3.1573038422000099</c:v>
                </c:pt>
                <c:pt idx="31">
                  <c:v>28.3628</c:v>
                </c:pt>
                <c:pt idx="32">
                  <c:v>35.5732</c:v>
                </c:pt>
                <c:pt idx="33">
                  <c:v>34.972000000000001</c:v>
                </c:pt>
                <c:pt idx="34">
                  <c:v>32.542400000000001</c:v>
                </c:pt>
                <c:pt idx="35">
                  <c:v>26.4848</c:v>
                </c:pt>
                <c:pt idx="36">
                  <c:v>20.574000000000002</c:v>
                </c:pt>
                <c:pt idx="37">
                  <c:v>17.004000000000001</c:v>
                </c:pt>
                <c:pt idx="38">
                  <c:v>37.755200000000002</c:v>
                </c:pt>
                <c:pt idx="39">
                  <c:v>35.681999999999903</c:v>
                </c:pt>
                <c:pt idx="40">
                  <c:v>29.9968</c:v>
                </c:pt>
                <c:pt idx="41">
                  <c:v>22.9848</c:v>
                </c:pt>
                <c:pt idx="42">
                  <c:v>18.417999999999999</c:v>
                </c:pt>
                <c:pt idx="43">
                  <c:v>15.4439999999999</c:v>
                </c:pt>
                <c:pt idx="44">
                  <c:v>13.4284</c:v>
                </c:pt>
                <c:pt idx="45">
                  <c:v>11.5524</c:v>
                </c:pt>
                <c:pt idx="46">
                  <c:v>11.089600000000001</c:v>
                </c:pt>
                <c:pt idx="47">
                  <c:v>12.7316</c:v>
                </c:pt>
                <c:pt idx="48">
                  <c:v>13.715999999999999</c:v>
                </c:pt>
                <c:pt idx="49">
                  <c:v>16.154399999999999</c:v>
                </c:pt>
                <c:pt idx="50">
                  <c:v>14.494399999999899</c:v>
                </c:pt>
                <c:pt idx="51">
                  <c:v>11.944000000000001</c:v>
                </c:pt>
                <c:pt idx="52">
                  <c:v>7.8642666666666603</c:v>
                </c:pt>
                <c:pt idx="53">
                  <c:v>4.5108224299065398</c:v>
                </c:pt>
                <c:pt idx="54">
                  <c:v>4.5093271028037298</c:v>
                </c:pt>
                <c:pt idx="55">
                  <c:v>4.5078317757009296</c:v>
                </c:pt>
                <c:pt idx="56">
                  <c:v>4.5063364485981303</c:v>
                </c:pt>
                <c:pt idx="57">
                  <c:v>4.5048411214953203</c:v>
                </c:pt>
                <c:pt idx="58">
                  <c:v>4.5033457943925201</c:v>
                </c:pt>
                <c:pt idx="59">
                  <c:v>4.5018504672897199</c:v>
                </c:pt>
                <c:pt idx="60">
                  <c:v>4.50035514018691</c:v>
                </c:pt>
                <c:pt idx="61">
                  <c:v>4.4988598130841098</c:v>
                </c:pt>
                <c:pt idx="62">
                  <c:v>4.4973644859812998</c:v>
                </c:pt>
                <c:pt idx="63">
                  <c:v>4.4958691588784996</c:v>
                </c:pt>
                <c:pt idx="64">
                  <c:v>4.4943738317757003</c:v>
                </c:pt>
                <c:pt idx="65">
                  <c:v>4.4928785046728903</c:v>
                </c:pt>
                <c:pt idx="66">
                  <c:v>24.83</c:v>
                </c:pt>
                <c:pt idx="67">
                  <c:v>24.844000000000001</c:v>
                </c:pt>
                <c:pt idx="68">
                  <c:v>16.478000000000002</c:v>
                </c:pt>
                <c:pt idx="69">
                  <c:v>13.218</c:v>
                </c:pt>
                <c:pt idx="70">
                  <c:v>11.843999999999999</c:v>
                </c:pt>
                <c:pt idx="71">
                  <c:v>11.214</c:v>
                </c:pt>
                <c:pt idx="72">
                  <c:v>11.263999999999999</c:v>
                </c:pt>
                <c:pt idx="73">
                  <c:v>8.8166666666666593</c:v>
                </c:pt>
                <c:pt idx="74">
                  <c:v>13.0708</c:v>
                </c:pt>
                <c:pt idx="75">
                  <c:v>13.643599999999999</c:v>
                </c:pt>
                <c:pt idx="76">
                  <c:v>12.4716</c:v>
                </c:pt>
                <c:pt idx="77">
                  <c:v>11.198399999999999</c:v>
                </c:pt>
                <c:pt idx="78">
                  <c:v>9.9955999999999996</c:v>
                </c:pt>
                <c:pt idx="79">
                  <c:v>8.8631999999999902</c:v>
                </c:pt>
                <c:pt idx="80">
                  <c:v>11.986000000000001</c:v>
                </c:pt>
                <c:pt idx="81">
                  <c:v>13.777999999999899</c:v>
                </c:pt>
                <c:pt idx="82">
                  <c:v>13.098000000000001</c:v>
                </c:pt>
                <c:pt idx="83">
                  <c:v>10.52</c:v>
                </c:pt>
                <c:pt idx="84">
                  <c:v>8.5039999999999996</c:v>
                </c:pt>
                <c:pt idx="85">
                  <c:v>6.4839999999999902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3F-4F8A-BDFD-3B4926EBE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780031"/>
        <c:axId val="757788671"/>
      </c:scatterChart>
      <c:valAx>
        <c:axId val="75778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788671"/>
        <c:crosses val="autoZero"/>
        <c:crossBetween val="midCat"/>
      </c:valAx>
      <c:valAx>
        <c:axId val="75778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Sonde Turbidity (FNU)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780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to Sonde</a:t>
            </a:r>
            <a:r>
              <a:rPr lang="en-US" baseline="0"/>
              <a:t> fDOM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'Summer '!$S$1</c:f>
              <c:strCache>
                <c:ptCount val="1"/>
                <c:pt idx="0">
                  <c:v>Downstream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3175882297089937"/>
                  <c:y val="1.66363221929823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'!$J$2:$J$87</c:f>
              <c:numCache>
                <c:formatCode>0.00</c:formatCode>
                <c:ptCount val="86"/>
                <c:pt idx="0">
                  <c:v>9.1790000000000003</c:v>
                </c:pt>
                <c:pt idx="1">
                  <c:v>12.625</c:v>
                </c:pt>
                <c:pt idx="2">
                  <c:v>13.388</c:v>
                </c:pt>
                <c:pt idx="3">
                  <c:v>12.997</c:v>
                </c:pt>
                <c:pt idx="4">
                  <c:v>12.868</c:v>
                </c:pt>
                <c:pt idx="5">
                  <c:v>11.551</c:v>
                </c:pt>
                <c:pt idx="6">
                  <c:v>4.5220000000000002</c:v>
                </c:pt>
                <c:pt idx="7">
                  <c:v>4.4359999999999999</c:v>
                </c:pt>
                <c:pt idx="8">
                  <c:v>12.442</c:v>
                </c:pt>
                <c:pt idx="9">
                  <c:v>12.977</c:v>
                </c:pt>
                <c:pt idx="10">
                  <c:v>13.108000000000001</c:v>
                </c:pt>
                <c:pt idx="11">
                  <c:v>12.073</c:v>
                </c:pt>
                <c:pt idx="12" formatCode="0.000">
                  <c:v>4.9130000000000003</c:v>
                </c:pt>
                <c:pt idx="13" formatCode="0.000">
                  <c:v>6.55</c:v>
                </c:pt>
                <c:pt idx="14" formatCode="0.000">
                  <c:v>8.0350000000000001</c:v>
                </c:pt>
                <c:pt idx="15" formatCode="0.000">
                  <c:v>8.6910000000000007</c:v>
                </c:pt>
                <c:pt idx="16" formatCode="0.000">
                  <c:v>8.1240000000000006</c:v>
                </c:pt>
                <c:pt idx="17" formatCode="0.000">
                  <c:v>8.0730000000000004</c:v>
                </c:pt>
                <c:pt idx="18" formatCode="0.000">
                  <c:v>3.1280000000000001</c:v>
                </c:pt>
                <c:pt idx="19" formatCode="0.000">
                  <c:v>3.359</c:v>
                </c:pt>
                <c:pt idx="20" formatCode="0.000">
                  <c:v>3.4239999999999999</c:v>
                </c:pt>
                <c:pt idx="21" formatCode="0.000">
                  <c:v>3.9</c:v>
                </c:pt>
                <c:pt idx="22" formatCode="0.000">
                  <c:v>5.2789999999999999</c:v>
                </c:pt>
                <c:pt idx="23" formatCode="0.000">
                  <c:v>7.2069999999999999</c:v>
                </c:pt>
                <c:pt idx="24" formatCode="0.000">
                  <c:v>7.75</c:v>
                </c:pt>
                <c:pt idx="25" formatCode="0.000">
                  <c:v>8.41</c:v>
                </c:pt>
                <c:pt idx="26" formatCode="0.000">
                  <c:v>2.7050000000000001</c:v>
                </c:pt>
                <c:pt idx="27" formatCode="0.000">
                  <c:v>8.4209999999999994</c:v>
                </c:pt>
                <c:pt idx="28" formatCode="0.000">
                  <c:v>8.1829999999999998</c:v>
                </c:pt>
                <c:pt idx="29" formatCode="0.000">
                  <c:v>2.742</c:v>
                </c:pt>
                <c:pt idx="30" formatCode="0.000">
                  <c:v>8.0850000000000009</c:v>
                </c:pt>
                <c:pt idx="31" formatCode="General">
                  <c:v>2.7629999999999999</c:v>
                </c:pt>
                <c:pt idx="32" formatCode="General">
                  <c:v>3.1280000000000001</c:v>
                </c:pt>
                <c:pt idx="33" formatCode="General">
                  <c:v>3.5529999999999999</c:v>
                </c:pt>
                <c:pt idx="34" formatCode="General">
                  <c:v>3.9260000000000002</c:v>
                </c:pt>
                <c:pt idx="35" formatCode="General">
                  <c:v>4.1580000000000004</c:v>
                </c:pt>
                <c:pt idx="36" formatCode="General">
                  <c:v>4.5709999999999997</c:v>
                </c:pt>
                <c:pt idx="37" formatCode="General">
                  <c:v>5.15</c:v>
                </c:pt>
                <c:pt idx="38" formatCode="General">
                  <c:v>8.5760000000000005</c:v>
                </c:pt>
                <c:pt idx="39" formatCode="General">
                  <c:v>4.0309999999999997</c:v>
                </c:pt>
                <c:pt idx="40" formatCode="General">
                  <c:v>4.1859999999999999</c:v>
                </c:pt>
                <c:pt idx="41" formatCode="General">
                  <c:v>4.351</c:v>
                </c:pt>
                <c:pt idx="42" formatCode="General">
                  <c:v>4.3109999999999999</c:v>
                </c:pt>
                <c:pt idx="43" formatCode="General">
                  <c:v>4.4720000000000004</c:v>
                </c:pt>
                <c:pt idx="44" formatCode="General">
                  <c:v>4.6630000000000003</c:v>
                </c:pt>
                <c:pt idx="45" formatCode="General">
                  <c:v>4.9740000000000002</c:v>
                </c:pt>
                <c:pt idx="46" formatCode="General">
                  <c:v>4.9390000000000001</c:v>
                </c:pt>
                <c:pt idx="47" formatCode="General">
                  <c:v>5.2530000000000001</c:v>
                </c:pt>
                <c:pt idx="48" formatCode="General">
                  <c:v>4.4729999999999999</c:v>
                </c:pt>
                <c:pt idx="49" formatCode="General">
                  <c:v>3.9359999999999999</c:v>
                </c:pt>
                <c:pt idx="50" formatCode="General">
                  <c:v>3.9430000000000001</c:v>
                </c:pt>
                <c:pt idx="51" formatCode="General">
                  <c:v>4.0389999999999997</c:v>
                </c:pt>
                <c:pt idx="52" formatCode="General">
                  <c:v>2.786</c:v>
                </c:pt>
                <c:pt idx="53" formatCode="General">
                  <c:v>9.9</c:v>
                </c:pt>
                <c:pt idx="54" formatCode="General">
                  <c:v>3.379</c:v>
                </c:pt>
                <c:pt idx="55" formatCode="General">
                  <c:v>3.1909999999999998</c:v>
                </c:pt>
                <c:pt idx="56" formatCode="General">
                  <c:v>3.1280000000000001</c:v>
                </c:pt>
                <c:pt idx="57" formatCode="General">
                  <c:v>3.3319999999999999</c:v>
                </c:pt>
                <c:pt idx="58" formatCode="General">
                  <c:v>3.1309999999999998</c:v>
                </c:pt>
                <c:pt idx="59" formatCode="General">
                  <c:v>3.286</c:v>
                </c:pt>
                <c:pt idx="60" formatCode="General">
                  <c:v>2.9169999999999998</c:v>
                </c:pt>
                <c:pt idx="61" formatCode="General">
                  <c:v>2.548</c:v>
                </c:pt>
                <c:pt idx="62" formatCode="General">
                  <c:v>2.5049999999999999</c:v>
                </c:pt>
                <c:pt idx="63" formatCode="General">
                  <c:v>2.508</c:v>
                </c:pt>
                <c:pt idx="64" formatCode="General">
                  <c:v>2.4820000000000002</c:v>
                </c:pt>
                <c:pt idx="65" formatCode="General">
                  <c:v>3.1379999999999999</c:v>
                </c:pt>
                <c:pt idx="66" formatCode="General">
                  <c:v>3.1040000000000001</c:v>
                </c:pt>
                <c:pt idx="67" formatCode="General">
                  <c:v>3.3050000000000002</c:v>
                </c:pt>
                <c:pt idx="68" formatCode="General">
                  <c:v>3.3359999999999999</c:v>
                </c:pt>
                <c:pt idx="69" formatCode="General">
                  <c:v>3.1989999999999998</c:v>
                </c:pt>
                <c:pt idx="70" formatCode="General">
                  <c:v>3.226</c:v>
                </c:pt>
                <c:pt idx="71" formatCode="General">
                  <c:v>3.206</c:v>
                </c:pt>
                <c:pt idx="72" formatCode="General">
                  <c:v>3.262</c:v>
                </c:pt>
                <c:pt idx="73" formatCode="General">
                  <c:v>4.2779999999999996</c:v>
                </c:pt>
                <c:pt idx="74" formatCode="General">
                  <c:v>5.4009999999999998</c:v>
                </c:pt>
                <c:pt idx="75" formatCode="General">
                  <c:v>4.8639999999999999</c:v>
                </c:pt>
                <c:pt idx="76" formatCode="General">
                  <c:v>4.6319999999999997</c:v>
                </c:pt>
                <c:pt idx="77" formatCode="General">
                  <c:v>4.1559999999999997</c:v>
                </c:pt>
                <c:pt idx="78" formatCode="General">
                  <c:v>3.2890000000000001</c:v>
                </c:pt>
                <c:pt idx="79" formatCode="General">
                  <c:v>8.7289999999999992</c:v>
                </c:pt>
                <c:pt idx="80" formatCode="General">
                  <c:v>8.7050000000000001</c:v>
                </c:pt>
                <c:pt idx="81" formatCode="General">
                  <c:v>3.1509999999999998</c:v>
                </c:pt>
                <c:pt idx="82" formatCode="General">
                  <c:v>2.3119999999999998</c:v>
                </c:pt>
                <c:pt idx="83" formatCode="General">
                  <c:v>0.74299999999999999</c:v>
                </c:pt>
                <c:pt idx="85" formatCode="General">
                  <c:v>0</c:v>
                </c:pt>
              </c:numCache>
            </c:numRef>
          </c:xVal>
          <c:yVal>
            <c:numRef>
              <c:f>'Summer '!$S$2:$S$87</c:f>
              <c:numCache>
                <c:formatCode>0.000</c:formatCode>
                <c:ptCount val="86"/>
                <c:pt idx="0">
                  <c:v>25.148399999999999</c:v>
                </c:pt>
                <c:pt idx="1">
                  <c:v>25.114000000000001</c:v>
                </c:pt>
                <c:pt idx="2">
                  <c:v>37.8446</c:v>
                </c:pt>
                <c:pt idx="3">
                  <c:v>40.254799999999904</c:v>
                </c:pt>
                <c:pt idx="4">
                  <c:v>52.587200000000003</c:v>
                </c:pt>
                <c:pt idx="5">
                  <c:v>54.248399999999997</c:v>
                </c:pt>
                <c:pt idx="6">
                  <c:v>21.9376</c:v>
                </c:pt>
                <c:pt idx="7">
                  <c:v>21.957000000000001</c:v>
                </c:pt>
                <c:pt idx="8">
                  <c:v>27.346</c:v>
                </c:pt>
                <c:pt idx="9">
                  <c:v>40.674199999999999</c:v>
                </c:pt>
                <c:pt idx="10">
                  <c:v>47.753999999999998</c:v>
                </c:pt>
                <c:pt idx="11">
                  <c:v>54.304000000000002</c:v>
                </c:pt>
                <c:pt idx="12">
                  <c:v>17.312799999999999</c:v>
                </c:pt>
                <c:pt idx="13">
                  <c:v>24.931999999999999</c:v>
                </c:pt>
                <c:pt idx="14">
                  <c:v>33.9084</c:v>
                </c:pt>
                <c:pt idx="15">
                  <c:v>36.403199999999998</c:v>
                </c:pt>
                <c:pt idx="16">
                  <c:v>37.711066666666603</c:v>
                </c:pt>
                <c:pt idx="17">
                  <c:v>37.138933333333298</c:v>
                </c:pt>
                <c:pt idx="18">
                  <c:v>35.1289333333333</c:v>
                </c:pt>
                <c:pt idx="19">
                  <c:v>18.7592</c:v>
                </c:pt>
                <c:pt idx="20">
                  <c:v>20.030533333333299</c:v>
                </c:pt>
                <c:pt idx="21">
                  <c:v>21.281866666666598</c:v>
                </c:pt>
                <c:pt idx="22">
                  <c:v>26.152000000000001</c:v>
                </c:pt>
                <c:pt idx="23">
                  <c:v>31.234400000000001</c:v>
                </c:pt>
                <c:pt idx="24">
                  <c:v>35.32</c:v>
                </c:pt>
                <c:pt idx="25">
                  <c:v>37.662799999999997</c:v>
                </c:pt>
                <c:pt idx="26">
                  <c:v>38.017733333333297</c:v>
                </c:pt>
                <c:pt idx="27">
                  <c:v>38.203333333333298</c:v>
                </c:pt>
                <c:pt idx="28">
                  <c:v>38.651333333333298</c:v>
                </c:pt>
                <c:pt idx="29">
                  <c:v>39.066800000000001</c:v>
                </c:pt>
                <c:pt idx="30">
                  <c:v>39.000399999999999</c:v>
                </c:pt>
                <c:pt idx="31">
                  <c:v>6.9968000000000004</c:v>
                </c:pt>
                <c:pt idx="32">
                  <c:v>7.1007999999999996</c:v>
                </c:pt>
                <c:pt idx="33">
                  <c:v>7.9359999999999999</c:v>
                </c:pt>
                <c:pt idx="34">
                  <c:v>8.77</c:v>
                </c:pt>
                <c:pt idx="35">
                  <c:v>9.6544000000000008</c:v>
                </c:pt>
                <c:pt idx="36">
                  <c:v>10.4076</c:v>
                </c:pt>
                <c:pt idx="37">
                  <c:v>10.905999999999899</c:v>
                </c:pt>
                <c:pt idx="38">
                  <c:v>7.6048</c:v>
                </c:pt>
                <c:pt idx="39">
                  <c:v>8.4388000000000005</c:v>
                </c:pt>
                <c:pt idx="40">
                  <c:v>9.3040000000000003</c:v>
                </c:pt>
                <c:pt idx="41">
                  <c:v>10.147600000000001</c:v>
                </c:pt>
                <c:pt idx="42">
                  <c:v>10.730799999999901</c:v>
                </c:pt>
                <c:pt idx="43">
                  <c:v>11.129200000000001</c:v>
                </c:pt>
                <c:pt idx="44">
                  <c:v>11.424799999999999</c:v>
                </c:pt>
                <c:pt idx="45">
                  <c:v>11.9759999999999</c:v>
                </c:pt>
                <c:pt idx="46">
                  <c:v>12.485066666666601</c:v>
                </c:pt>
                <c:pt idx="47">
                  <c:v>12.996133333333299</c:v>
                </c:pt>
                <c:pt idx="48">
                  <c:v>7.4420000000000002</c:v>
                </c:pt>
                <c:pt idx="49">
                  <c:v>9.5616000000000003</c:v>
                </c:pt>
                <c:pt idx="50">
                  <c:v>9.6416000000000004</c:v>
                </c:pt>
                <c:pt idx="51">
                  <c:v>9.69</c:v>
                </c:pt>
                <c:pt idx="52">
                  <c:v>7.7591999999999999</c:v>
                </c:pt>
                <c:pt idx="53">
                  <c:v>9.6280000000000001</c:v>
                </c:pt>
                <c:pt idx="54">
                  <c:v>9.6379999999999999</c:v>
                </c:pt>
                <c:pt idx="55">
                  <c:v>9.1639999999999908</c:v>
                </c:pt>
                <c:pt idx="56">
                  <c:v>8.5879999999999992</c:v>
                </c:pt>
                <c:pt idx="57">
                  <c:v>8.4359999999999893</c:v>
                </c:pt>
                <c:pt idx="58">
                  <c:v>8.2419999999999902</c:v>
                </c:pt>
                <c:pt idx="59">
                  <c:v>8.01</c:v>
                </c:pt>
                <c:pt idx="60">
                  <c:v>7.8559999999999999</c:v>
                </c:pt>
                <c:pt idx="61">
                  <c:v>7.7720000000000002</c:v>
                </c:pt>
                <c:pt idx="62">
                  <c:v>7.6760000000000002</c:v>
                </c:pt>
                <c:pt idx="63">
                  <c:v>7.63</c:v>
                </c:pt>
                <c:pt idx="64">
                  <c:v>7.62</c:v>
                </c:pt>
                <c:pt idx="65">
                  <c:v>7.56</c:v>
                </c:pt>
                <c:pt idx="66">
                  <c:v>6.556</c:v>
                </c:pt>
                <c:pt idx="67">
                  <c:v>8.5739999999999998</c:v>
                </c:pt>
                <c:pt idx="68">
                  <c:v>9.4719999999999995</c:v>
                </c:pt>
                <c:pt idx="69">
                  <c:v>9.4939999999999998</c:v>
                </c:pt>
                <c:pt idx="70">
                  <c:v>9.2100000000000009</c:v>
                </c:pt>
                <c:pt idx="71">
                  <c:v>8.93</c:v>
                </c:pt>
                <c:pt idx="72">
                  <c:v>8.7859999999999996</c:v>
                </c:pt>
                <c:pt idx="73">
                  <c:v>9.3473333333333297</c:v>
                </c:pt>
                <c:pt idx="74">
                  <c:v>5.5644417329796596</c:v>
                </c:pt>
                <c:pt idx="75">
                  <c:v>5.5649563218390803</c:v>
                </c:pt>
                <c:pt idx="76">
                  <c:v>5.5654709106984903</c:v>
                </c:pt>
                <c:pt idx="77">
                  <c:v>5.5659854995579101</c:v>
                </c:pt>
                <c:pt idx="78">
                  <c:v>5.5665000884173299</c:v>
                </c:pt>
                <c:pt idx="79">
                  <c:v>5.5670832891246604</c:v>
                </c:pt>
                <c:pt idx="80">
                  <c:v>5.5642015915119298</c:v>
                </c:pt>
                <c:pt idx="81">
                  <c:v>5.5647161803713496</c:v>
                </c:pt>
                <c:pt idx="82">
                  <c:v>5.5652307692307597</c:v>
                </c:pt>
                <c:pt idx="83">
                  <c:v>5.5662599469496001</c:v>
                </c:pt>
                <c:pt idx="84">
                  <c:v>5.56728912466843</c:v>
                </c:pt>
                <c:pt idx="85">
                  <c:v>5.5688328912466796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71-47A5-A46C-52D7093393C1}"/>
            </c:ext>
          </c:extLst>
        </c:ser>
        <c:ser>
          <c:idx val="1"/>
          <c:order val="1"/>
          <c:tx>
            <c:strRef>
              <c:f>'Summer '!$U$1</c:f>
              <c:strCache>
                <c:ptCount val="1"/>
                <c:pt idx="0">
                  <c:v>Upstream 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48151419196729967"/>
                  <c:y val="-0.3229105273547619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'!$J$2:$J$87</c:f>
              <c:numCache>
                <c:formatCode>0.00</c:formatCode>
                <c:ptCount val="86"/>
                <c:pt idx="0">
                  <c:v>9.1790000000000003</c:v>
                </c:pt>
                <c:pt idx="1">
                  <c:v>12.625</c:v>
                </c:pt>
                <c:pt idx="2">
                  <c:v>13.388</c:v>
                </c:pt>
                <c:pt idx="3">
                  <c:v>12.997</c:v>
                </c:pt>
                <c:pt idx="4">
                  <c:v>12.868</c:v>
                </c:pt>
                <c:pt idx="5">
                  <c:v>11.551</c:v>
                </c:pt>
                <c:pt idx="6">
                  <c:v>4.5220000000000002</c:v>
                </c:pt>
                <c:pt idx="7">
                  <c:v>4.4359999999999999</c:v>
                </c:pt>
                <c:pt idx="8">
                  <c:v>12.442</c:v>
                </c:pt>
                <c:pt idx="9">
                  <c:v>12.977</c:v>
                </c:pt>
                <c:pt idx="10">
                  <c:v>13.108000000000001</c:v>
                </c:pt>
                <c:pt idx="11">
                  <c:v>12.073</c:v>
                </c:pt>
                <c:pt idx="12" formatCode="0.000">
                  <c:v>4.9130000000000003</c:v>
                </c:pt>
                <c:pt idx="13" formatCode="0.000">
                  <c:v>6.55</c:v>
                </c:pt>
                <c:pt idx="14" formatCode="0.000">
                  <c:v>8.0350000000000001</c:v>
                </c:pt>
                <c:pt idx="15" formatCode="0.000">
                  <c:v>8.6910000000000007</c:v>
                </c:pt>
                <c:pt idx="16" formatCode="0.000">
                  <c:v>8.1240000000000006</c:v>
                </c:pt>
                <c:pt idx="17" formatCode="0.000">
                  <c:v>8.0730000000000004</c:v>
                </c:pt>
                <c:pt idx="18" formatCode="0.000">
                  <c:v>3.1280000000000001</c:v>
                </c:pt>
                <c:pt idx="19" formatCode="0.000">
                  <c:v>3.359</c:v>
                </c:pt>
                <c:pt idx="20" formatCode="0.000">
                  <c:v>3.4239999999999999</c:v>
                </c:pt>
                <c:pt idx="21" formatCode="0.000">
                  <c:v>3.9</c:v>
                </c:pt>
                <c:pt idx="22" formatCode="0.000">
                  <c:v>5.2789999999999999</c:v>
                </c:pt>
                <c:pt idx="23" formatCode="0.000">
                  <c:v>7.2069999999999999</c:v>
                </c:pt>
                <c:pt idx="24" formatCode="0.000">
                  <c:v>7.75</c:v>
                </c:pt>
                <c:pt idx="25" formatCode="0.000">
                  <c:v>8.41</c:v>
                </c:pt>
                <c:pt idx="26" formatCode="0.000">
                  <c:v>2.7050000000000001</c:v>
                </c:pt>
                <c:pt idx="27" formatCode="0.000">
                  <c:v>8.4209999999999994</c:v>
                </c:pt>
                <c:pt idx="28" formatCode="0.000">
                  <c:v>8.1829999999999998</c:v>
                </c:pt>
                <c:pt idx="29" formatCode="0.000">
                  <c:v>2.742</c:v>
                </c:pt>
                <c:pt idx="30" formatCode="0.000">
                  <c:v>8.0850000000000009</c:v>
                </c:pt>
                <c:pt idx="31" formatCode="General">
                  <c:v>2.7629999999999999</c:v>
                </c:pt>
                <c:pt idx="32" formatCode="General">
                  <c:v>3.1280000000000001</c:v>
                </c:pt>
                <c:pt idx="33" formatCode="General">
                  <c:v>3.5529999999999999</c:v>
                </c:pt>
                <c:pt idx="34" formatCode="General">
                  <c:v>3.9260000000000002</c:v>
                </c:pt>
                <c:pt idx="35" formatCode="General">
                  <c:v>4.1580000000000004</c:v>
                </c:pt>
                <c:pt idx="36" formatCode="General">
                  <c:v>4.5709999999999997</c:v>
                </c:pt>
                <c:pt idx="37" formatCode="General">
                  <c:v>5.15</c:v>
                </c:pt>
                <c:pt idx="38" formatCode="General">
                  <c:v>8.5760000000000005</c:v>
                </c:pt>
                <c:pt idx="39" formatCode="General">
                  <c:v>4.0309999999999997</c:v>
                </c:pt>
                <c:pt idx="40" formatCode="General">
                  <c:v>4.1859999999999999</c:v>
                </c:pt>
                <c:pt idx="41" formatCode="General">
                  <c:v>4.351</c:v>
                </c:pt>
                <c:pt idx="42" formatCode="General">
                  <c:v>4.3109999999999999</c:v>
                </c:pt>
                <c:pt idx="43" formatCode="General">
                  <c:v>4.4720000000000004</c:v>
                </c:pt>
                <c:pt idx="44" formatCode="General">
                  <c:v>4.6630000000000003</c:v>
                </c:pt>
                <c:pt idx="45" formatCode="General">
                  <c:v>4.9740000000000002</c:v>
                </c:pt>
                <c:pt idx="46" formatCode="General">
                  <c:v>4.9390000000000001</c:v>
                </c:pt>
                <c:pt idx="47" formatCode="General">
                  <c:v>5.2530000000000001</c:v>
                </c:pt>
                <c:pt idx="48" formatCode="General">
                  <c:v>4.4729999999999999</c:v>
                </c:pt>
                <c:pt idx="49" formatCode="General">
                  <c:v>3.9359999999999999</c:v>
                </c:pt>
                <c:pt idx="50" formatCode="General">
                  <c:v>3.9430000000000001</c:v>
                </c:pt>
                <c:pt idx="51" formatCode="General">
                  <c:v>4.0389999999999997</c:v>
                </c:pt>
                <c:pt idx="52" formatCode="General">
                  <c:v>2.786</c:v>
                </c:pt>
                <c:pt idx="53" formatCode="General">
                  <c:v>9.9</c:v>
                </c:pt>
                <c:pt idx="54" formatCode="General">
                  <c:v>3.379</c:v>
                </c:pt>
                <c:pt idx="55" formatCode="General">
                  <c:v>3.1909999999999998</c:v>
                </c:pt>
                <c:pt idx="56" formatCode="General">
                  <c:v>3.1280000000000001</c:v>
                </c:pt>
                <c:pt idx="57" formatCode="General">
                  <c:v>3.3319999999999999</c:v>
                </c:pt>
                <c:pt idx="58" formatCode="General">
                  <c:v>3.1309999999999998</c:v>
                </c:pt>
                <c:pt idx="59" formatCode="General">
                  <c:v>3.286</c:v>
                </c:pt>
                <c:pt idx="60" formatCode="General">
                  <c:v>2.9169999999999998</c:v>
                </c:pt>
                <c:pt idx="61" formatCode="General">
                  <c:v>2.548</c:v>
                </c:pt>
                <c:pt idx="62" formatCode="General">
                  <c:v>2.5049999999999999</c:v>
                </c:pt>
                <c:pt idx="63" formatCode="General">
                  <c:v>2.508</c:v>
                </c:pt>
                <c:pt idx="64" formatCode="General">
                  <c:v>2.4820000000000002</c:v>
                </c:pt>
                <c:pt idx="65" formatCode="General">
                  <c:v>3.1379999999999999</c:v>
                </c:pt>
                <c:pt idx="66" formatCode="General">
                  <c:v>3.1040000000000001</c:v>
                </c:pt>
                <c:pt idx="67" formatCode="General">
                  <c:v>3.3050000000000002</c:v>
                </c:pt>
                <c:pt idx="68" formatCode="General">
                  <c:v>3.3359999999999999</c:v>
                </c:pt>
                <c:pt idx="69" formatCode="General">
                  <c:v>3.1989999999999998</c:v>
                </c:pt>
                <c:pt idx="70" formatCode="General">
                  <c:v>3.226</c:v>
                </c:pt>
                <c:pt idx="71" formatCode="General">
                  <c:v>3.206</c:v>
                </c:pt>
                <c:pt idx="72" formatCode="General">
                  <c:v>3.262</c:v>
                </c:pt>
                <c:pt idx="73" formatCode="General">
                  <c:v>4.2779999999999996</c:v>
                </c:pt>
                <c:pt idx="74" formatCode="General">
                  <c:v>5.4009999999999998</c:v>
                </c:pt>
                <c:pt idx="75" formatCode="General">
                  <c:v>4.8639999999999999</c:v>
                </c:pt>
                <c:pt idx="76" formatCode="General">
                  <c:v>4.6319999999999997</c:v>
                </c:pt>
                <c:pt idx="77" formatCode="General">
                  <c:v>4.1559999999999997</c:v>
                </c:pt>
                <c:pt idx="78" formatCode="General">
                  <c:v>3.2890000000000001</c:v>
                </c:pt>
                <c:pt idx="79" formatCode="General">
                  <c:v>8.7289999999999992</c:v>
                </c:pt>
                <c:pt idx="80" formatCode="General">
                  <c:v>8.7050000000000001</c:v>
                </c:pt>
                <c:pt idx="81" formatCode="General">
                  <c:v>3.1509999999999998</c:v>
                </c:pt>
                <c:pt idx="82" formatCode="General">
                  <c:v>2.3119999999999998</c:v>
                </c:pt>
                <c:pt idx="83" formatCode="General">
                  <c:v>0.74299999999999999</c:v>
                </c:pt>
                <c:pt idx="85" formatCode="General">
                  <c:v>0</c:v>
                </c:pt>
              </c:numCache>
            </c:numRef>
          </c:xVal>
          <c:yVal>
            <c:numRef>
              <c:f>'Summer '!$U$2:$U$87</c:f>
              <c:numCache>
                <c:formatCode>0.000</c:formatCode>
                <c:ptCount val="86"/>
                <c:pt idx="0">
                  <c:v>18.795999999999999</c:v>
                </c:pt>
                <c:pt idx="1">
                  <c:v>17.669599999999999</c:v>
                </c:pt>
                <c:pt idx="2">
                  <c:v>27.986000000000001</c:v>
                </c:pt>
                <c:pt idx="3">
                  <c:v>30.934000000000001</c:v>
                </c:pt>
                <c:pt idx="4">
                  <c:v>39.0732</c:v>
                </c:pt>
                <c:pt idx="5">
                  <c:v>38.270000000000003</c:v>
                </c:pt>
                <c:pt idx="6">
                  <c:v>16.559999999999999</c:v>
                </c:pt>
                <c:pt idx="7">
                  <c:v>16.904799999999899</c:v>
                </c:pt>
                <c:pt idx="8">
                  <c:v>19.173200000000001</c:v>
                </c:pt>
                <c:pt idx="9">
                  <c:v>31.476400000000002</c:v>
                </c:pt>
                <c:pt idx="10">
                  <c:v>37.244</c:v>
                </c:pt>
                <c:pt idx="11">
                  <c:v>38.999200000000002</c:v>
                </c:pt>
                <c:pt idx="12">
                  <c:v>5.5433241451956903</c:v>
                </c:pt>
                <c:pt idx="13">
                  <c:v>5.54325131463888</c:v>
                </c:pt>
                <c:pt idx="14">
                  <c:v>5.5431056535252798</c:v>
                </c:pt>
                <c:pt idx="15">
                  <c:v>5.5429599924116699</c:v>
                </c:pt>
                <c:pt idx="16">
                  <c:v>5.5424501785140601</c:v>
                </c:pt>
                <c:pt idx="17">
                  <c:v>5.5423773479572498</c:v>
                </c:pt>
                <c:pt idx="18">
                  <c:v>5.54215885628685</c:v>
                </c:pt>
                <c:pt idx="19">
                  <c:v>5.5087490521962996</c:v>
                </c:pt>
                <c:pt idx="20">
                  <c:v>5.5086762216395</c:v>
                </c:pt>
                <c:pt idx="21">
                  <c:v>5.5086033910827004</c:v>
                </c:pt>
                <c:pt idx="22">
                  <c:v>5.5085305605258901</c:v>
                </c:pt>
                <c:pt idx="23">
                  <c:v>5.5084577299690896</c:v>
                </c:pt>
                <c:pt idx="24">
                  <c:v>5.5082635151509498</c:v>
                </c:pt>
                <c:pt idx="25">
                  <c:v>5.5080207466282802</c:v>
                </c:pt>
                <c:pt idx="26">
                  <c:v>5.5078750855146703</c:v>
                </c:pt>
                <c:pt idx="27">
                  <c:v>5.5078022549578698</c:v>
                </c:pt>
                <c:pt idx="28">
                  <c:v>5.5076565938442599</c:v>
                </c:pt>
                <c:pt idx="29">
                  <c:v>5.5075109327306597</c:v>
                </c:pt>
                <c:pt idx="30">
                  <c:v>5.5074381021738601</c:v>
                </c:pt>
                <c:pt idx="31">
                  <c:v>6.95</c:v>
                </c:pt>
                <c:pt idx="32">
                  <c:v>7.1947999999999999</c:v>
                </c:pt>
                <c:pt idx="33">
                  <c:v>8.0852000000000004</c:v>
                </c:pt>
                <c:pt idx="34">
                  <c:v>8.9596</c:v>
                </c:pt>
                <c:pt idx="35">
                  <c:v>9.9071999999999996</c:v>
                </c:pt>
                <c:pt idx="36">
                  <c:v>10.7044</c:v>
                </c:pt>
                <c:pt idx="37">
                  <c:v>11.237599999999899</c:v>
                </c:pt>
                <c:pt idx="38">
                  <c:v>7.7267999999999999</c:v>
                </c:pt>
                <c:pt idx="39">
                  <c:v>8.6044</c:v>
                </c:pt>
                <c:pt idx="40">
                  <c:v>9.5231999999999992</c:v>
                </c:pt>
                <c:pt idx="41">
                  <c:v>10.421200000000001</c:v>
                </c:pt>
                <c:pt idx="42">
                  <c:v>11.054399999999999</c:v>
                </c:pt>
                <c:pt idx="43">
                  <c:v>11.464399999999999</c:v>
                </c:pt>
                <c:pt idx="44">
                  <c:v>11.779199999999999</c:v>
                </c:pt>
                <c:pt idx="45">
                  <c:v>12.388</c:v>
                </c:pt>
                <c:pt idx="46">
                  <c:v>12.837999999999999</c:v>
                </c:pt>
                <c:pt idx="47">
                  <c:v>13.862399999999999</c:v>
                </c:pt>
                <c:pt idx="48">
                  <c:v>2.0589408099688402</c:v>
                </c:pt>
                <c:pt idx="49">
                  <c:v>2.0615273104880498</c:v>
                </c:pt>
                <c:pt idx="50">
                  <c:v>2.0623231568016598</c:v>
                </c:pt>
                <c:pt idx="51">
                  <c:v>2.0639148494288602</c:v>
                </c:pt>
                <c:pt idx="52">
                  <c:v>2.0861985462097601</c:v>
                </c:pt>
                <c:pt idx="53">
                  <c:v>2.0619252336448599</c:v>
                </c:pt>
                <c:pt idx="54">
                  <c:v>2.0649096573208698</c:v>
                </c:pt>
                <c:pt idx="55">
                  <c:v>2.0678940809968802</c:v>
                </c:pt>
                <c:pt idx="56">
                  <c:v>2.0708785046728901</c:v>
                </c:pt>
                <c:pt idx="57">
                  <c:v>2.0738629283489098</c:v>
                </c:pt>
                <c:pt idx="58">
                  <c:v>2.0768473520249202</c:v>
                </c:pt>
                <c:pt idx="59">
                  <c:v>2.0798317757009301</c:v>
                </c:pt>
                <c:pt idx="60">
                  <c:v>2.0828161993769401</c:v>
                </c:pt>
                <c:pt idx="61">
                  <c:v>2.0858006230529602</c:v>
                </c:pt>
                <c:pt idx="62">
                  <c:v>2.0887850467289701</c:v>
                </c:pt>
                <c:pt idx="63">
                  <c:v>2.0917694704049801</c:v>
                </c:pt>
                <c:pt idx="64">
                  <c:v>2.09475389408099</c:v>
                </c:pt>
                <c:pt idx="65">
                  <c:v>2.0977383177570101</c:v>
                </c:pt>
                <c:pt idx="66">
                  <c:v>6.8488730911005797</c:v>
                </c:pt>
                <c:pt idx="67">
                  <c:v>6.8489805160610802</c:v>
                </c:pt>
                <c:pt idx="68">
                  <c:v>6.8490879410215904</c:v>
                </c:pt>
                <c:pt idx="69">
                  <c:v>6.8491953659820899</c:v>
                </c:pt>
                <c:pt idx="70">
                  <c:v>6.8493027909426001</c:v>
                </c:pt>
                <c:pt idx="71">
                  <c:v>6.8496250658241102</c:v>
                </c:pt>
                <c:pt idx="72">
                  <c:v>6.8498399157451297</c:v>
                </c:pt>
                <c:pt idx="73">
                  <c:v>6.8501621906266399</c:v>
                </c:pt>
                <c:pt idx="74">
                  <c:v>8.1267999999999994</c:v>
                </c:pt>
                <c:pt idx="75">
                  <c:v>7.7088000000000001</c:v>
                </c:pt>
                <c:pt idx="76">
                  <c:v>7.7016</c:v>
                </c:pt>
                <c:pt idx="77">
                  <c:v>8.0440000000000005</c:v>
                </c:pt>
                <c:pt idx="78">
                  <c:v>8.6972000000000005</c:v>
                </c:pt>
                <c:pt idx="79">
                  <c:v>9.6288</c:v>
                </c:pt>
                <c:pt idx="80">
                  <c:v>8.1620000000000008</c:v>
                </c:pt>
                <c:pt idx="81">
                  <c:v>7.8979999999999997</c:v>
                </c:pt>
                <c:pt idx="82">
                  <c:v>7.6559999999999997</c:v>
                </c:pt>
                <c:pt idx="83">
                  <c:v>8.2680000000000007</c:v>
                </c:pt>
                <c:pt idx="84">
                  <c:v>9.8059999999999992</c:v>
                </c:pt>
                <c:pt idx="85">
                  <c:v>11.23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71-47A5-A46C-52D7093393C1}"/>
            </c:ext>
          </c:extLst>
        </c:ser>
        <c:ser>
          <c:idx val="2"/>
          <c:order val="2"/>
          <c:tx>
            <c:strRef>
              <c:f>'Summer '!$Q$1</c:f>
              <c:strCache>
                <c:ptCount val="1"/>
                <c:pt idx="0">
                  <c:v>Respective Site fDOM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195338359550257"/>
                  <c:y val="-0.2808491103293819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'!$J$2:$J$87</c:f>
              <c:numCache>
                <c:formatCode>0.00</c:formatCode>
                <c:ptCount val="86"/>
                <c:pt idx="0">
                  <c:v>9.1790000000000003</c:v>
                </c:pt>
                <c:pt idx="1">
                  <c:v>12.625</c:v>
                </c:pt>
                <c:pt idx="2">
                  <c:v>13.388</c:v>
                </c:pt>
                <c:pt idx="3">
                  <c:v>12.997</c:v>
                </c:pt>
                <c:pt idx="4">
                  <c:v>12.868</c:v>
                </c:pt>
                <c:pt idx="5">
                  <c:v>11.551</c:v>
                </c:pt>
                <c:pt idx="6">
                  <c:v>4.5220000000000002</c:v>
                </c:pt>
                <c:pt idx="7">
                  <c:v>4.4359999999999999</c:v>
                </c:pt>
                <c:pt idx="8">
                  <c:v>12.442</c:v>
                </c:pt>
                <c:pt idx="9">
                  <c:v>12.977</c:v>
                </c:pt>
                <c:pt idx="10">
                  <c:v>13.108000000000001</c:v>
                </c:pt>
                <c:pt idx="11">
                  <c:v>12.073</c:v>
                </c:pt>
                <c:pt idx="12" formatCode="0.000">
                  <c:v>4.9130000000000003</c:v>
                </c:pt>
                <c:pt idx="13" formatCode="0.000">
                  <c:v>6.55</c:v>
                </c:pt>
                <c:pt idx="14" formatCode="0.000">
                  <c:v>8.0350000000000001</c:v>
                </c:pt>
                <c:pt idx="15" formatCode="0.000">
                  <c:v>8.6910000000000007</c:v>
                </c:pt>
                <c:pt idx="16" formatCode="0.000">
                  <c:v>8.1240000000000006</c:v>
                </c:pt>
                <c:pt idx="17" formatCode="0.000">
                  <c:v>8.0730000000000004</c:v>
                </c:pt>
                <c:pt idx="18" formatCode="0.000">
                  <c:v>3.1280000000000001</c:v>
                </c:pt>
                <c:pt idx="19" formatCode="0.000">
                  <c:v>3.359</c:v>
                </c:pt>
                <c:pt idx="20" formatCode="0.000">
                  <c:v>3.4239999999999999</c:v>
                </c:pt>
                <c:pt idx="21" formatCode="0.000">
                  <c:v>3.9</c:v>
                </c:pt>
                <c:pt idx="22" formatCode="0.000">
                  <c:v>5.2789999999999999</c:v>
                </c:pt>
                <c:pt idx="23" formatCode="0.000">
                  <c:v>7.2069999999999999</c:v>
                </c:pt>
                <c:pt idx="24" formatCode="0.000">
                  <c:v>7.75</c:v>
                </c:pt>
                <c:pt idx="25" formatCode="0.000">
                  <c:v>8.41</c:v>
                </c:pt>
                <c:pt idx="26" formatCode="0.000">
                  <c:v>2.7050000000000001</c:v>
                </c:pt>
                <c:pt idx="27" formatCode="0.000">
                  <c:v>8.4209999999999994</c:v>
                </c:pt>
                <c:pt idx="28" formatCode="0.000">
                  <c:v>8.1829999999999998</c:v>
                </c:pt>
                <c:pt idx="29" formatCode="0.000">
                  <c:v>2.742</c:v>
                </c:pt>
                <c:pt idx="30" formatCode="0.000">
                  <c:v>8.0850000000000009</c:v>
                </c:pt>
                <c:pt idx="31" formatCode="General">
                  <c:v>2.7629999999999999</c:v>
                </c:pt>
                <c:pt idx="32" formatCode="General">
                  <c:v>3.1280000000000001</c:v>
                </c:pt>
                <c:pt idx="33" formatCode="General">
                  <c:v>3.5529999999999999</c:v>
                </c:pt>
                <c:pt idx="34" formatCode="General">
                  <c:v>3.9260000000000002</c:v>
                </c:pt>
                <c:pt idx="35" formatCode="General">
                  <c:v>4.1580000000000004</c:v>
                </c:pt>
                <c:pt idx="36" formatCode="General">
                  <c:v>4.5709999999999997</c:v>
                </c:pt>
                <c:pt idx="37" formatCode="General">
                  <c:v>5.15</c:v>
                </c:pt>
                <c:pt idx="38" formatCode="General">
                  <c:v>8.5760000000000005</c:v>
                </c:pt>
                <c:pt idx="39" formatCode="General">
                  <c:v>4.0309999999999997</c:v>
                </c:pt>
                <c:pt idx="40" formatCode="General">
                  <c:v>4.1859999999999999</c:v>
                </c:pt>
                <c:pt idx="41" formatCode="General">
                  <c:v>4.351</c:v>
                </c:pt>
                <c:pt idx="42" formatCode="General">
                  <c:v>4.3109999999999999</c:v>
                </c:pt>
                <c:pt idx="43" formatCode="General">
                  <c:v>4.4720000000000004</c:v>
                </c:pt>
                <c:pt idx="44" formatCode="General">
                  <c:v>4.6630000000000003</c:v>
                </c:pt>
                <c:pt idx="45" formatCode="General">
                  <c:v>4.9740000000000002</c:v>
                </c:pt>
                <c:pt idx="46" formatCode="General">
                  <c:v>4.9390000000000001</c:v>
                </c:pt>
                <c:pt idx="47" formatCode="General">
                  <c:v>5.2530000000000001</c:v>
                </c:pt>
                <c:pt idx="48" formatCode="General">
                  <c:v>4.4729999999999999</c:v>
                </c:pt>
                <c:pt idx="49" formatCode="General">
                  <c:v>3.9359999999999999</c:v>
                </c:pt>
                <c:pt idx="50" formatCode="General">
                  <c:v>3.9430000000000001</c:v>
                </c:pt>
                <c:pt idx="51" formatCode="General">
                  <c:v>4.0389999999999997</c:v>
                </c:pt>
                <c:pt idx="52" formatCode="General">
                  <c:v>2.786</c:v>
                </c:pt>
                <c:pt idx="53" formatCode="General">
                  <c:v>9.9</c:v>
                </c:pt>
                <c:pt idx="54" formatCode="General">
                  <c:v>3.379</c:v>
                </c:pt>
                <c:pt idx="55" formatCode="General">
                  <c:v>3.1909999999999998</c:v>
                </c:pt>
                <c:pt idx="56" formatCode="General">
                  <c:v>3.1280000000000001</c:v>
                </c:pt>
                <c:pt idx="57" formatCode="General">
                  <c:v>3.3319999999999999</c:v>
                </c:pt>
                <c:pt idx="58" formatCode="General">
                  <c:v>3.1309999999999998</c:v>
                </c:pt>
                <c:pt idx="59" formatCode="General">
                  <c:v>3.286</c:v>
                </c:pt>
                <c:pt idx="60" formatCode="General">
                  <c:v>2.9169999999999998</c:v>
                </c:pt>
                <c:pt idx="61" formatCode="General">
                  <c:v>2.548</c:v>
                </c:pt>
                <c:pt idx="62" formatCode="General">
                  <c:v>2.5049999999999999</c:v>
                </c:pt>
                <c:pt idx="63" formatCode="General">
                  <c:v>2.508</c:v>
                </c:pt>
                <c:pt idx="64" formatCode="General">
                  <c:v>2.4820000000000002</c:v>
                </c:pt>
                <c:pt idx="65" formatCode="General">
                  <c:v>3.1379999999999999</c:v>
                </c:pt>
                <c:pt idx="66" formatCode="General">
                  <c:v>3.1040000000000001</c:v>
                </c:pt>
                <c:pt idx="67" formatCode="General">
                  <c:v>3.3050000000000002</c:v>
                </c:pt>
                <c:pt idx="68" formatCode="General">
                  <c:v>3.3359999999999999</c:v>
                </c:pt>
                <c:pt idx="69" formatCode="General">
                  <c:v>3.1989999999999998</c:v>
                </c:pt>
                <c:pt idx="70" formatCode="General">
                  <c:v>3.226</c:v>
                </c:pt>
                <c:pt idx="71" formatCode="General">
                  <c:v>3.206</c:v>
                </c:pt>
                <c:pt idx="72" formatCode="General">
                  <c:v>3.262</c:v>
                </c:pt>
                <c:pt idx="73" formatCode="General">
                  <c:v>4.2779999999999996</c:v>
                </c:pt>
                <c:pt idx="74" formatCode="General">
                  <c:v>5.4009999999999998</c:v>
                </c:pt>
                <c:pt idx="75" formatCode="General">
                  <c:v>4.8639999999999999</c:v>
                </c:pt>
                <c:pt idx="76" formatCode="General">
                  <c:v>4.6319999999999997</c:v>
                </c:pt>
                <c:pt idx="77" formatCode="General">
                  <c:v>4.1559999999999997</c:v>
                </c:pt>
                <c:pt idx="78" formatCode="General">
                  <c:v>3.2890000000000001</c:v>
                </c:pt>
                <c:pt idx="79" formatCode="General">
                  <c:v>8.7289999999999992</c:v>
                </c:pt>
                <c:pt idx="80" formatCode="General">
                  <c:v>8.7050000000000001</c:v>
                </c:pt>
                <c:pt idx="81" formatCode="General">
                  <c:v>3.1509999999999998</c:v>
                </c:pt>
                <c:pt idx="82" formatCode="General">
                  <c:v>2.3119999999999998</c:v>
                </c:pt>
                <c:pt idx="83" formatCode="General">
                  <c:v>0.74299999999999999</c:v>
                </c:pt>
                <c:pt idx="85" formatCode="General">
                  <c:v>0</c:v>
                </c:pt>
              </c:numCache>
            </c:numRef>
          </c:xVal>
          <c:yVal>
            <c:numRef>
              <c:f>'Summer '!$Q$2:$Q$87</c:f>
              <c:numCache>
                <c:formatCode>0.000</c:formatCode>
                <c:ptCount val="86"/>
                <c:pt idx="0">
                  <c:v>25.148399999999999</c:v>
                </c:pt>
                <c:pt idx="1">
                  <c:v>25.114000000000001</c:v>
                </c:pt>
                <c:pt idx="2">
                  <c:v>37.8446</c:v>
                </c:pt>
                <c:pt idx="3">
                  <c:v>40.254799999999904</c:v>
                </c:pt>
                <c:pt idx="4">
                  <c:v>52.587200000000003</c:v>
                </c:pt>
                <c:pt idx="5">
                  <c:v>38.270000000000003</c:v>
                </c:pt>
                <c:pt idx="6">
                  <c:v>16.559999999999999</c:v>
                </c:pt>
                <c:pt idx="7">
                  <c:v>16.904799999999899</c:v>
                </c:pt>
                <c:pt idx="8">
                  <c:v>19.173200000000001</c:v>
                </c:pt>
                <c:pt idx="9">
                  <c:v>31.476400000000002</c:v>
                </c:pt>
                <c:pt idx="10">
                  <c:v>37.244</c:v>
                </c:pt>
                <c:pt idx="11">
                  <c:v>38.999200000000002</c:v>
                </c:pt>
                <c:pt idx="12">
                  <c:v>5.5433241451956903</c:v>
                </c:pt>
                <c:pt idx="13">
                  <c:v>5.54325131463888</c:v>
                </c:pt>
                <c:pt idx="14">
                  <c:v>5.5431056535252798</c:v>
                </c:pt>
                <c:pt idx="15">
                  <c:v>5.5429599924116699</c:v>
                </c:pt>
                <c:pt idx="16">
                  <c:v>5.5424501785140601</c:v>
                </c:pt>
                <c:pt idx="17">
                  <c:v>5.5423773479572498</c:v>
                </c:pt>
                <c:pt idx="18">
                  <c:v>5.54215885628685</c:v>
                </c:pt>
                <c:pt idx="19">
                  <c:v>5.5087490521962996</c:v>
                </c:pt>
                <c:pt idx="20">
                  <c:v>5.5086762216395</c:v>
                </c:pt>
                <c:pt idx="21">
                  <c:v>5.5086033910827004</c:v>
                </c:pt>
                <c:pt idx="22">
                  <c:v>5.5085305605258901</c:v>
                </c:pt>
                <c:pt idx="23">
                  <c:v>5.5084577299690896</c:v>
                </c:pt>
                <c:pt idx="24">
                  <c:v>5.5082635151509498</c:v>
                </c:pt>
                <c:pt idx="25">
                  <c:v>5.5080207466282802</c:v>
                </c:pt>
                <c:pt idx="26">
                  <c:v>5.5078750855146703</c:v>
                </c:pt>
                <c:pt idx="27">
                  <c:v>5.5078022549578698</c:v>
                </c:pt>
                <c:pt idx="28">
                  <c:v>5.5076565938442599</c:v>
                </c:pt>
                <c:pt idx="29">
                  <c:v>5.5075109327306597</c:v>
                </c:pt>
                <c:pt idx="30">
                  <c:v>5.5074381021738601</c:v>
                </c:pt>
                <c:pt idx="31">
                  <c:v>6.9968000000000004</c:v>
                </c:pt>
                <c:pt idx="32">
                  <c:v>7.1007999999999996</c:v>
                </c:pt>
                <c:pt idx="33">
                  <c:v>7.9359999999999999</c:v>
                </c:pt>
                <c:pt idx="34">
                  <c:v>8.77</c:v>
                </c:pt>
                <c:pt idx="35">
                  <c:v>9.6544000000000008</c:v>
                </c:pt>
                <c:pt idx="36">
                  <c:v>10.4076</c:v>
                </c:pt>
                <c:pt idx="37">
                  <c:v>10.905999999999899</c:v>
                </c:pt>
                <c:pt idx="38">
                  <c:v>7.7267999999999999</c:v>
                </c:pt>
                <c:pt idx="39">
                  <c:v>8.6044</c:v>
                </c:pt>
                <c:pt idx="40">
                  <c:v>9.5231999999999992</c:v>
                </c:pt>
                <c:pt idx="41">
                  <c:v>10.421200000000001</c:v>
                </c:pt>
                <c:pt idx="42">
                  <c:v>11.054399999999999</c:v>
                </c:pt>
                <c:pt idx="43">
                  <c:v>11.464399999999999</c:v>
                </c:pt>
                <c:pt idx="44">
                  <c:v>11.779199999999999</c:v>
                </c:pt>
                <c:pt idx="45">
                  <c:v>12.388</c:v>
                </c:pt>
                <c:pt idx="46">
                  <c:v>12.837999999999999</c:v>
                </c:pt>
                <c:pt idx="47">
                  <c:v>13.862399999999999</c:v>
                </c:pt>
                <c:pt idx="48">
                  <c:v>7.4420000000000002</c:v>
                </c:pt>
                <c:pt idx="49">
                  <c:v>9.5616000000000003</c:v>
                </c:pt>
                <c:pt idx="50">
                  <c:v>9.6416000000000004</c:v>
                </c:pt>
                <c:pt idx="51">
                  <c:v>9.69</c:v>
                </c:pt>
                <c:pt idx="52">
                  <c:v>7.7591999999999999</c:v>
                </c:pt>
                <c:pt idx="53">
                  <c:v>2.0619252336448599</c:v>
                </c:pt>
                <c:pt idx="54">
                  <c:v>2.0649096573208698</c:v>
                </c:pt>
                <c:pt idx="55">
                  <c:v>2.0678940809968802</c:v>
                </c:pt>
                <c:pt idx="56">
                  <c:v>2.0708785046728901</c:v>
                </c:pt>
                <c:pt idx="57">
                  <c:v>2.0738629283489098</c:v>
                </c:pt>
                <c:pt idx="58">
                  <c:v>2.0768473520249202</c:v>
                </c:pt>
                <c:pt idx="59">
                  <c:v>2.0798317757009301</c:v>
                </c:pt>
                <c:pt idx="60">
                  <c:v>2.0828161993769401</c:v>
                </c:pt>
                <c:pt idx="61">
                  <c:v>2.0858006230529602</c:v>
                </c:pt>
                <c:pt idx="62">
                  <c:v>2.0887850467289701</c:v>
                </c:pt>
                <c:pt idx="63">
                  <c:v>2.0917694704049801</c:v>
                </c:pt>
                <c:pt idx="64">
                  <c:v>2.09475389408099</c:v>
                </c:pt>
                <c:pt idx="65">
                  <c:v>2.0977383177570101</c:v>
                </c:pt>
                <c:pt idx="66">
                  <c:v>6.556</c:v>
                </c:pt>
                <c:pt idx="67">
                  <c:v>8.5739999999999998</c:v>
                </c:pt>
                <c:pt idx="68">
                  <c:v>9.4719999999999995</c:v>
                </c:pt>
                <c:pt idx="69">
                  <c:v>9.4939999999999998</c:v>
                </c:pt>
                <c:pt idx="70">
                  <c:v>9.2100000000000009</c:v>
                </c:pt>
                <c:pt idx="71">
                  <c:v>8.93</c:v>
                </c:pt>
                <c:pt idx="72">
                  <c:v>8.7859999999999996</c:v>
                </c:pt>
                <c:pt idx="73">
                  <c:v>9.3473333333333297</c:v>
                </c:pt>
                <c:pt idx="74">
                  <c:v>8.1267999999999994</c:v>
                </c:pt>
                <c:pt idx="75">
                  <c:v>7.7088000000000001</c:v>
                </c:pt>
                <c:pt idx="76">
                  <c:v>7.7016</c:v>
                </c:pt>
                <c:pt idx="77">
                  <c:v>8.0440000000000005</c:v>
                </c:pt>
                <c:pt idx="78">
                  <c:v>8.6972000000000005</c:v>
                </c:pt>
                <c:pt idx="79">
                  <c:v>9.6288</c:v>
                </c:pt>
                <c:pt idx="80">
                  <c:v>8.1620000000000008</c:v>
                </c:pt>
                <c:pt idx="81">
                  <c:v>7.8979999999999997</c:v>
                </c:pt>
                <c:pt idx="82">
                  <c:v>7.6559999999999997</c:v>
                </c:pt>
                <c:pt idx="83">
                  <c:v>8.2680000000000007</c:v>
                </c:pt>
                <c:pt idx="84">
                  <c:v>9.8059999999999992</c:v>
                </c:pt>
                <c:pt idx="85">
                  <c:v>11.23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71-47A5-A46C-52D709339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780031"/>
        <c:axId val="757788671"/>
      </c:scatterChart>
      <c:valAx>
        <c:axId val="75778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DOC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788671"/>
        <c:crosses val="autoZero"/>
        <c:crossBetween val="midCat"/>
      </c:valAx>
      <c:valAx>
        <c:axId val="75778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Sonde fDOM (RFU)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780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to Sonde</a:t>
            </a:r>
            <a:r>
              <a:rPr lang="en-US" baseline="0"/>
              <a:t> Turbidity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'Summer '!$R$1</c:f>
              <c:strCache>
                <c:ptCount val="1"/>
                <c:pt idx="0">
                  <c:v>Downstream Turbidity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28803233277167234"/>
                  <c:y val="-1.843891678383249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'!$I$2:$I$87</c:f>
              <c:numCache>
                <c:formatCode>0.00</c:formatCode>
                <c:ptCount val="86"/>
                <c:pt idx="0">
                  <c:v>51.659921769552554</c:v>
                </c:pt>
                <c:pt idx="1">
                  <c:v>50.228119059076278</c:v>
                </c:pt>
                <c:pt idx="2">
                  <c:v>14.502380030123016</c:v>
                </c:pt>
                <c:pt idx="3">
                  <c:v>11.68107543204323</c:v>
                </c:pt>
                <c:pt idx="4">
                  <c:v>6.4107928979951785</c:v>
                </c:pt>
                <c:pt idx="5">
                  <c:v>4.8049034388889487</c:v>
                </c:pt>
                <c:pt idx="6">
                  <c:v>11.105057316639133</c:v>
                </c:pt>
                <c:pt idx="7">
                  <c:v>29.712120711541949</c:v>
                </c:pt>
                <c:pt idx="8">
                  <c:v>41.279350758196514</c:v>
                </c:pt>
                <c:pt idx="9">
                  <c:v>9.5240654624066199</c:v>
                </c:pt>
                <c:pt idx="10">
                  <c:v>6.5386440491243301</c:v>
                </c:pt>
                <c:pt idx="11">
                  <c:v>5.7074800685992573</c:v>
                </c:pt>
                <c:pt idx="12">
                  <c:v>6.7843516799317234</c:v>
                </c:pt>
                <c:pt idx="13">
                  <c:v>5.7154758689570473</c:v>
                </c:pt>
                <c:pt idx="14">
                  <c:v>5.1903043978196211</c:v>
                </c:pt>
                <c:pt idx="15">
                  <c:v>5.4588115887677189</c:v>
                </c:pt>
                <c:pt idx="16">
                  <c:v>2.0882180227795768</c:v>
                </c:pt>
                <c:pt idx="17">
                  <c:v>3.1493521090486243</c:v>
                </c:pt>
                <c:pt idx="18">
                  <c:v>2.1601520222996071</c:v>
                </c:pt>
                <c:pt idx="19">
                  <c:v>1.5244913860512195</c:v>
                </c:pt>
                <c:pt idx="20">
                  <c:v>1.7083325626172676</c:v>
                </c:pt>
                <c:pt idx="21">
                  <c:v>3.0587693766699737</c:v>
                </c:pt>
                <c:pt idx="22">
                  <c:v>5.365091662580971</c:v>
                </c:pt>
                <c:pt idx="23">
                  <c:v>5.1217720387423311</c:v>
                </c:pt>
                <c:pt idx="24">
                  <c:v>2.2666249098999622</c:v>
                </c:pt>
                <c:pt idx="25">
                  <c:v>1.9722023113621858</c:v>
                </c:pt>
                <c:pt idx="26">
                  <c:v>1.5392300064882425</c:v>
                </c:pt>
                <c:pt idx="27">
                  <c:v>1.5186721608603606</c:v>
                </c:pt>
                <c:pt idx="28">
                  <c:v>1.6114551232671432</c:v>
                </c:pt>
                <c:pt idx="29">
                  <c:v>1.7405149401873126</c:v>
                </c:pt>
                <c:pt idx="30">
                  <c:v>1.4926887941071181</c:v>
                </c:pt>
                <c:pt idx="31">
                  <c:v>29.943162613702402</c:v>
                </c:pt>
                <c:pt idx="32">
                  <c:v>9.5728041053928887</c:v>
                </c:pt>
                <c:pt idx="33">
                  <c:v>6.9336039123826678</c:v>
                </c:pt>
                <c:pt idx="34">
                  <c:v>7.4831808175628005</c:v>
                </c:pt>
                <c:pt idx="35">
                  <c:v>5.9264264545775553</c:v>
                </c:pt>
                <c:pt idx="36">
                  <c:v>8.2845715359535532</c:v>
                </c:pt>
                <c:pt idx="37">
                  <c:v>10.349461276137333</c:v>
                </c:pt>
                <c:pt idx="38">
                  <c:v>13.904536257107111</c:v>
                </c:pt>
                <c:pt idx="39">
                  <c:v>11.14636239930711</c:v>
                </c:pt>
                <c:pt idx="40">
                  <c:v>7.4518284032226658</c:v>
                </c:pt>
                <c:pt idx="41">
                  <c:v>7.5006815567144436</c:v>
                </c:pt>
                <c:pt idx="43">
                  <c:v>5.9197242463532636</c:v>
                </c:pt>
                <c:pt idx="45">
                  <c:v>2.9482215924738182</c:v>
                </c:pt>
                <c:pt idx="47">
                  <c:v>4.2750517220431998</c:v>
                </c:pt>
                <c:pt idx="48">
                  <c:v>7.7777750198526157</c:v>
                </c:pt>
                <c:pt idx="49">
                  <c:v>4.5347124072625604</c:v>
                </c:pt>
                <c:pt idx="50">
                  <c:v>5.8892721735776004</c:v>
                </c:pt>
                <c:pt idx="51">
                  <c:v>4.8035399241483203</c:v>
                </c:pt>
                <c:pt idx="52">
                  <c:v>2.9207235211948697</c:v>
                </c:pt>
                <c:pt idx="53">
                  <c:v>5.5554803410250004</c:v>
                </c:pt>
                <c:pt idx="54">
                  <c:v>5.0814144091067215</c:v>
                </c:pt>
                <c:pt idx="55">
                  <c:v>4.7820987112927114</c:v>
                </c:pt>
                <c:pt idx="56">
                  <c:v>4.036574818279635</c:v>
                </c:pt>
                <c:pt idx="58">
                  <c:v>5.1612909035896664</c:v>
                </c:pt>
                <c:pt idx="60">
                  <c:v>5.1244036630343253</c:v>
                </c:pt>
                <c:pt idx="64">
                  <c:v>3.2424658067957601</c:v>
                </c:pt>
                <c:pt idx="66">
                  <c:v>12.669565136980157</c:v>
                </c:pt>
                <c:pt idx="67">
                  <c:v>6.2713144462450501</c:v>
                </c:pt>
                <c:pt idx="68">
                  <c:v>5.6727429240268501</c:v>
                </c:pt>
                <c:pt idx="69">
                  <c:v>4.6491381895576511</c:v>
                </c:pt>
                <c:pt idx="70">
                  <c:v>5.4238349889706816</c:v>
                </c:pt>
                <c:pt idx="71">
                  <c:v>4.495745790718118</c:v>
                </c:pt>
                <c:pt idx="74">
                  <c:v>5.33941789117765</c:v>
                </c:pt>
                <c:pt idx="75">
                  <c:v>4.6129800011302597</c:v>
                </c:pt>
                <c:pt idx="76">
                  <c:v>4.3837682724738745</c:v>
                </c:pt>
                <c:pt idx="77">
                  <c:v>4.11019377056025</c:v>
                </c:pt>
                <c:pt idx="79">
                  <c:v>3.7641164783656667</c:v>
                </c:pt>
                <c:pt idx="80">
                  <c:v>5.1367506964227401</c:v>
                </c:pt>
                <c:pt idx="81">
                  <c:v>4.1936586314366027</c:v>
                </c:pt>
                <c:pt idx="82">
                  <c:v>4.1850851238478963</c:v>
                </c:pt>
                <c:pt idx="83">
                  <c:v>2.9662137312752392</c:v>
                </c:pt>
                <c:pt idx="85">
                  <c:v>4.7449365167919124</c:v>
                </c:pt>
              </c:numCache>
            </c:numRef>
          </c:xVal>
          <c:yVal>
            <c:numRef>
              <c:f>'Summer '!$R$2:$R$87</c:f>
              <c:numCache>
                <c:formatCode>0.000</c:formatCode>
                <c:ptCount val="86"/>
                <c:pt idx="0">
                  <c:v>92.5304</c:v>
                </c:pt>
                <c:pt idx="1">
                  <c:v>197.94775999999999</c:v>
                </c:pt>
                <c:pt idx="2">
                  <c:v>78.192979999999906</c:v>
                </c:pt>
                <c:pt idx="3">
                  <c:v>74.057744</c:v>
                </c:pt>
                <c:pt idx="4">
                  <c:v>20.5702</c:v>
                </c:pt>
                <c:pt idx="5">
                  <c:v>16.9712</c:v>
                </c:pt>
                <c:pt idx="6">
                  <c:v>12.229200000000001</c:v>
                </c:pt>
                <c:pt idx="7">
                  <c:v>18.771000000000001</c:v>
                </c:pt>
                <c:pt idx="8">
                  <c:v>182.640559999999</c:v>
                </c:pt>
                <c:pt idx="9">
                  <c:v>73.380716000000007</c:v>
                </c:pt>
                <c:pt idx="10">
                  <c:v>35.428628000000003</c:v>
                </c:pt>
                <c:pt idx="11">
                  <c:v>12.141999999999999</c:v>
                </c:pt>
                <c:pt idx="12">
                  <c:v>16.7956</c:v>
                </c:pt>
                <c:pt idx="13">
                  <c:v>19.789199999999902</c:v>
                </c:pt>
                <c:pt idx="14">
                  <c:v>10.3628</c:v>
                </c:pt>
                <c:pt idx="15">
                  <c:v>13.1524</c:v>
                </c:pt>
                <c:pt idx="16">
                  <c:v>9.5941333333333301</c:v>
                </c:pt>
                <c:pt idx="17">
                  <c:v>9.1205333333333307</c:v>
                </c:pt>
                <c:pt idx="18">
                  <c:v>7.7619999999999996</c:v>
                </c:pt>
                <c:pt idx="19">
                  <c:v>5.6118666666666597</c:v>
                </c:pt>
                <c:pt idx="20">
                  <c:v>7.4348000000000001</c:v>
                </c:pt>
                <c:pt idx="21">
                  <c:v>9.4147999999999996</c:v>
                </c:pt>
                <c:pt idx="22">
                  <c:v>15.5524</c:v>
                </c:pt>
                <c:pt idx="23">
                  <c:v>20.757200000000001</c:v>
                </c:pt>
                <c:pt idx="24">
                  <c:v>14.5328</c:v>
                </c:pt>
                <c:pt idx="25">
                  <c:v>9.2880000000000003</c:v>
                </c:pt>
                <c:pt idx="26">
                  <c:v>8.1485333333333294</c:v>
                </c:pt>
                <c:pt idx="27">
                  <c:v>7.5998666666666601</c:v>
                </c:pt>
                <c:pt idx="28">
                  <c:v>6.7853333333333303</c:v>
                </c:pt>
                <c:pt idx="29">
                  <c:v>6.1841333333333299</c:v>
                </c:pt>
                <c:pt idx="30">
                  <c:v>5.9731999999999896</c:v>
                </c:pt>
                <c:pt idx="31">
                  <c:v>28.3628</c:v>
                </c:pt>
                <c:pt idx="32">
                  <c:v>35.5732</c:v>
                </c:pt>
                <c:pt idx="33">
                  <c:v>34.972000000000001</c:v>
                </c:pt>
                <c:pt idx="34">
                  <c:v>32.542400000000001</c:v>
                </c:pt>
                <c:pt idx="35">
                  <c:v>26.4848</c:v>
                </c:pt>
                <c:pt idx="36">
                  <c:v>20.574000000000002</c:v>
                </c:pt>
                <c:pt idx="37">
                  <c:v>17.004000000000001</c:v>
                </c:pt>
                <c:pt idx="38">
                  <c:v>35.4</c:v>
                </c:pt>
                <c:pt idx="39">
                  <c:v>33.956800000000001</c:v>
                </c:pt>
                <c:pt idx="40">
                  <c:v>29.175999999999998</c:v>
                </c:pt>
                <c:pt idx="41">
                  <c:v>22.698799999999999</c:v>
                </c:pt>
                <c:pt idx="42">
                  <c:v>18.052</c:v>
                </c:pt>
                <c:pt idx="43">
                  <c:v>15.383599999999999</c:v>
                </c:pt>
                <c:pt idx="44">
                  <c:v>13.183999999999999</c:v>
                </c:pt>
                <c:pt idx="45">
                  <c:v>10.696400000000001</c:v>
                </c:pt>
                <c:pt idx="46">
                  <c:v>8.9494666666666607</c:v>
                </c:pt>
                <c:pt idx="47">
                  <c:v>9.0177333333333305</c:v>
                </c:pt>
                <c:pt idx="48">
                  <c:v>13.715999999999999</c:v>
                </c:pt>
                <c:pt idx="49">
                  <c:v>16.154399999999999</c:v>
                </c:pt>
                <c:pt idx="50">
                  <c:v>14.494399999999899</c:v>
                </c:pt>
                <c:pt idx="51">
                  <c:v>11.944000000000001</c:v>
                </c:pt>
                <c:pt idx="52">
                  <c:v>7.8642666666666603</c:v>
                </c:pt>
                <c:pt idx="53">
                  <c:v>15.231999999999999</c:v>
                </c:pt>
                <c:pt idx="54">
                  <c:v>10.95</c:v>
                </c:pt>
                <c:pt idx="55">
                  <c:v>9.2100000000000009</c:v>
                </c:pt>
                <c:pt idx="56">
                  <c:v>7.968</c:v>
                </c:pt>
                <c:pt idx="57">
                  <c:v>7.5539999999999896</c:v>
                </c:pt>
                <c:pt idx="58">
                  <c:v>7.2919999999999998</c:v>
                </c:pt>
                <c:pt idx="59">
                  <c:v>7.2699999999999898</c:v>
                </c:pt>
                <c:pt idx="60">
                  <c:v>7.6459999999999901</c:v>
                </c:pt>
                <c:pt idx="61">
                  <c:v>7.8399999999999901</c:v>
                </c:pt>
                <c:pt idx="62">
                  <c:v>8.0220000000000002</c:v>
                </c:pt>
                <c:pt idx="63">
                  <c:v>7.8779999999999903</c:v>
                </c:pt>
                <c:pt idx="64">
                  <c:v>7.3079999999999998</c:v>
                </c:pt>
                <c:pt idx="65">
                  <c:v>6.6479999999999899</c:v>
                </c:pt>
                <c:pt idx="66">
                  <c:v>24.83</c:v>
                </c:pt>
                <c:pt idx="67">
                  <c:v>24.844000000000001</c:v>
                </c:pt>
                <c:pt idx="68">
                  <c:v>16.478000000000002</c:v>
                </c:pt>
                <c:pt idx="69">
                  <c:v>13.218</c:v>
                </c:pt>
                <c:pt idx="70">
                  <c:v>11.843999999999999</c:v>
                </c:pt>
                <c:pt idx="71">
                  <c:v>11.214</c:v>
                </c:pt>
                <c:pt idx="72">
                  <c:v>11.263999999999999</c:v>
                </c:pt>
                <c:pt idx="73">
                  <c:v>8.8166666666666593</c:v>
                </c:pt>
                <c:pt idx="74">
                  <c:v>1.97369195402298</c:v>
                </c:pt>
                <c:pt idx="75">
                  <c:v>1.97258850574712</c:v>
                </c:pt>
                <c:pt idx="76">
                  <c:v>1.9714850574712599</c:v>
                </c:pt>
                <c:pt idx="77">
                  <c:v>1.9703816091954001</c:v>
                </c:pt>
                <c:pt idx="78">
                  <c:v>1.96927816091954</c:v>
                </c:pt>
                <c:pt idx="79">
                  <c:v>1.9680275862068899</c:v>
                </c:pt>
                <c:pt idx="80">
                  <c:v>1.9742068965517201</c:v>
                </c:pt>
                <c:pt idx="81">
                  <c:v>1.97310344827586</c:v>
                </c:pt>
                <c:pt idx="82">
                  <c:v>1.972</c:v>
                </c:pt>
                <c:pt idx="83">
                  <c:v>1.9697931034482701</c:v>
                </c:pt>
                <c:pt idx="84">
                  <c:v>1.9675862068965499</c:v>
                </c:pt>
                <c:pt idx="85">
                  <c:v>1.96427586206896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F2-4AA4-B629-A44FCE4B763F}"/>
            </c:ext>
          </c:extLst>
        </c:ser>
        <c:ser>
          <c:idx val="1"/>
          <c:order val="1"/>
          <c:tx>
            <c:strRef>
              <c:f>'Summer '!$T$1</c:f>
              <c:strCache>
                <c:ptCount val="1"/>
                <c:pt idx="0">
                  <c:v>Upstream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4575151073099209"/>
                  <c:y val="-1.101623651710056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'!$I$2:$I$87</c:f>
              <c:numCache>
                <c:formatCode>0.00</c:formatCode>
                <c:ptCount val="86"/>
                <c:pt idx="0">
                  <c:v>51.659921769552554</c:v>
                </c:pt>
                <c:pt idx="1">
                  <c:v>50.228119059076278</c:v>
                </c:pt>
                <c:pt idx="2">
                  <c:v>14.502380030123016</c:v>
                </c:pt>
                <c:pt idx="3">
                  <c:v>11.68107543204323</c:v>
                </c:pt>
                <c:pt idx="4">
                  <c:v>6.4107928979951785</c:v>
                </c:pt>
                <c:pt idx="5">
                  <c:v>4.8049034388889487</c:v>
                </c:pt>
                <c:pt idx="6">
                  <c:v>11.105057316639133</c:v>
                </c:pt>
                <c:pt idx="7">
                  <c:v>29.712120711541949</c:v>
                </c:pt>
                <c:pt idx="8">
                  <c:v>41.279350758196514</c:v>
                </c:pt>
                <c:pt idx="9">
                  <c:v>9.5240654624066199</c:v>
                </c:pt>
                <c:pt idx="10">
                  <c:v>6.5386440491243301</c:v>
                </c:pt>
                <c:pt idx="11">
                  <c:v>5.7074800685992573</c:v>
                </c:pt>
                <c:pt idx="12">
                  <c:v>6.7843516799317234</c:v>
                </c:pt>
                <c:pt idx="13">
                  <c:v>5.7154758689570473</c:v>
                </c:pt>
                <c:pt idx="14">
                  <c:v>5.1903043978196211</c:v>
                </c:pt>
                <c:pt idx="15">
                  <c:v>5.4588115887677189</c:v>
                </c:pt>
                <c:pt idx="16">
                  <c:v>2.0882180227795768</c:v>
                </c:pt>
                <c:pt idx="17">
                  <c:v>3.1493521090486243</c:v>
                </c:pt>
                <c:pt idx="18">
                  <c:v>2.1601520222996071</c:v>
                </c:pt>
                <c:pt idx="19">
                  <c:v>1.5244913860512195</c:v>
                </c:pt>
                <c:pt idx="20">
                  <c:v>1.7083325626172676</c:v>
                </c:pt>
                <c:pt idx="21">
                  <c:v>3.0587693766699737</c:v>
                </c:pt>
                <c:pt idx="22">
                  <c:v>5.365091662580971</c:v>
                </c:pt>
                <c:pt idx="23">
                  <c:v>5.1217720387423311</c:v>
                </c:pt>
                <c:pt idx="24">
                  <c:v>2.2666249098999622</c:v>
                </c:pt>
                <c:pt idx="25">
                  <c:v>1.9722023113621858</c:v>
                </c:pt>
                <c:pt idx="26">
                  <c:v>1.5392300064882425</c:v>
                </c:pt>
                <c:pt idx="27">
                  <c:v>1.5186721608603606</c:v>
                </c:pt>
                <c:pt idx="28">
                  <c:v>1.6114551232671432</c:v>
                </c:pt>
                <c:pt idx="29">
                  <c:v>1.7405149401873126</c:v>
                </c:pt>
                <c:pt idx="30">
                  <c:v>1.4926887941071181</c:v>
                </c:pt>
                <c:pt idx="31">
                  <c:v>29.943162613702402</c:v>
                </c:pt>
                <c:pt idx="32">
                  <c:v>9.5728041053928887</c:v>
                </c:pt>
                <c:pt idx="33">
                  <c:v>6.9336039123826678</c:v>
                </c:pt>
                <c:pt idx="34">
                  <c:v>7.4831808175628005</c:v>
                </c:pt>
                <c:pt idx="35">
                  <c:v>5.9264264545775553</c:v>
                </c:pt>
                <c:pt idx="36">
                  <c:v>8.2845715359535532</c:v>
                </c:pt>
                <c:pt idx="37">
                  <c:v>10.349461276137333</c:v>
                </c:pt>
                <c:pt idx="38">
                  <c:v>13.904536257107111</c:v>
                </c:pt>
                <c:pt idx="39">
                  <c:v>11.14636239930711</c:v>
                </c:pt>
                <c:pt idx="40">
                  <c:v>7.4518284032226658</c:v>
                </c:pt>
                <c:pt idx="41">
                  <c:v>7.5006815567144436</c:v>
                </c:pt>
                <c:pt idx="43">
                  <c:v>5.9197242463532636</c:v>
                </c:pt>
                <c:pt idx="45">
                  <c:v>2.9482215924738182</c:v>
                </c:pt>
                <c:pt idx="47">
                  <c:v>4.2750517220431998</c:v>
                </c:pt>
                <c:pt idx="48">
                  <c:v>7.7777750198526157</c:v>
                </c:pt>
                <c:pt idx="49">
                  <c:v>4.5347124072625604</c:v>
                </c:pt>
                <c:pt idx="50">
                  <c:v>5.8892721735776004</c:v>
                </c:pt>
                <c:pt idx="51">
                  <c:v>4.8035399241483203</c:v>
                </c:pt>
                <c:pt idx="52">
                  <c:v>2.9207235211948697</c:v>
                </c:pt>
                <c:pt idx="53">
                  <c:v>5.5554803410250004</c:v>
                </c:pt>
                <c:pt idx="54">
                  <c:v>5.0814144091067215</c:v>
                </c:pt>
                <c:pt idx="55">
                  <c:v>4.7820987112927114</c:v>
                </c:pt>
                <c:pt idx="56">
                  <c:v>4.036574818279635</c:v>
                </c:pt>
                <c:pt idx="58">
                  <c:v>5.1612909035896664</c:v>
                </c:pt>
                <c:pt idx="60">
                  <c:v>5.1244036630343253</c:v>
                </c:pt>
                <c:pt idx="64">
                  <c:v>3.2424658067957601</c:v>
                </c:pt>
                <c:pt idx="66">
                  <c:v>12.669565136980157</c:v>
                </c:pt>
                <c:pt idx="67">
                  <c:v>6.2713144462450501</c:v>
                </c:pt>
                <c:pt idx="68">
                  <c:v>5.6727429240268501</c:v>
                </c:pt>
                <c:pt idx="69">
                  <c:v>4.6491381895576511</c:v>
                </c:pt>
                <c:pt idx="70">
                  <c:v>5.4238349889706816</c:v>
                </c:pt>
                <c:pt idx="71">
                  <c:v>4.495745790718118</c:v>
                </c:pt>
                <c:pt idx="74">
                  <c:v>5.33941789117765</c:v>
                </c:pt>
                <c:pt idx="75">
                  <c:v>4.6129800011302597</c:v>
                </c:pt>
                <c:pt idx="76">
                  <c:v>4.3837682724738745</c:v>
                </c:pt>
                <c:pt idx="77">
                  <c:v>4.11019377056025</c:v>
                </c:pt>
                <c:pt idx="79">
                  <c:v>3.7641164783656667</c:v>
                </c:pt>
                <c:pt idx="80">
                  <c:v>5.1367506964227401</c:v>
                </c:pt>
                <c:pt idx="81">
                  <c:v>4.1936586314366027</c:v>
                </c:pt>
                <c:pt idx="82">
                  <c:v>4.1850851238478963</c:v>
                </c:pt>
                <c:pt idx="83">
                  <c:v>2.9662137312752392</c:v>
                </c:pt>
                <c:pt idx="85">
                  <c:v>4.7449365167919124</c:v>
                </c:pt>
              </c:numCache>
            </c:numRef>
          </c:xVal>
          <c:yVal>
            <c:numRef>
              <c:f>'Summer '!$T$2:$T$87</c:f>
              <c:numCache>
                <c:formatCode>0.000</c:formatCode>
                <c:ptCount val="86"/>
                <c:pt idx="0">
                  <c:v>95.885999999999996</c:v>
                </c:pt>
                <c:pt idx="1">
                  <c:v>137.97319999999999</c:v>
                </c:pt>
                <c:pt idx="2">
                  <c:v>60.357999999999898</c:v>
                </c:pt>
                <c:pt idx="3">
                  <c:v>45.711999999999897</c:v>
                </c:pt>
                <c:pt idx="4">
                  <c:v>13.346799999999901</c:v>
                </c:pt>
                <c:pt idx="5">
                  <c:v>9.0307999999999904</c:v>
                </c:pt>
                <c:pt idx="6">
                  <c:v>10.092000000000001</c:v>
                </c:pt>
                <c:pt idx="7">
                  <c:v>13.925599999999999</c:v>
                </c:pt>
                <c:pt idx="8">
                  <c:v>126.08439999999899</c:v>
                </c:pt>
                <c:pt idx="9">
                  <c:v>43.206399999999903</c:v>
                </c:pt>
                <c:pt idx="10">
                  <c:v>20.805599999999899</c:v>
                </c:pt>
                <c:pt idx="11">
                  <c:v>10.3607999999999</c:v>
                </c:pt>
                <c:pt idx="12">
                  <c:v>3.1412203684533901</c:v>
                </c:pt>
                <c:pt idx="13">
                  <c:v>3.1412530097882798</c:v>
                </c:pt>
                <c:pt idx="14">
                  <c:v>3.1413182924580698</c:v>
                </c:pt>
                <c:pt idx="15">
                  <c:v>3.1413835751278598</c:v>
                </c:pt>
                <c:pt idx="16">
                  <c:v>3.1416120644721102</c:v>
                </c:pt>
                <c:pt idx="17">
                  <c:v>3.1416447058070101</c:v>
                </c:pt>
                <c:pt idx="18">
                  <c:v>3.1417426298116902</c:v>
                </c:pt>
                <c:pt idx="19">
                  <c:v>3.1567162981719199</c:v>
                </c:pt>
                <c:pt idx="20">
                  <c:v>3.1567489395068198</c:v>
                </c:pt>
                <c:pt idx="21">
                  <c:v>3.1567815808417099</c:v>
                </c:pt>
                <c:pt idx="22">
                  <c:v>3.1568142221766098</c:v>
                </c:pt>
                <c:pt idx="23">
                  <c:v>3.1568468635114999</c:v>
                </c:pt>
                <c:pt idx="24">
                  <c:v>3.1569339070712199</c:v>
                </c:pt>
                <c:pt idx="25">
                  <c:v>3.1570427115208601</c:v>
                </c:pt>
                <c:pt idx="26">
                  <c:v>3.1571079941906501</c:v>
                </c:pt>
                <c:pt idx="27">
                  <c:v>3.1571406355255398</c:v>
                </c:pt>
                <c:pt idx="28">
                  <c:v>3.1572059181953298</c:v>
                </c:pt>
                <c:pt idx="29">
                  <c:v>3.1572712008651198</c:v>
                </c:pt>
                <c:pt idx="30">
                  <c:v>3.1573038422000099</c:v>
                </c:pt>
                <c:pt idx="31">
                  <c:v>33.437199999999997</c:v>
                </c:pt>
                <c:pt idx="32">
                  <c:v>39.591999999999999</c:v>
                </c:pt>
                <c:pt idx="33">
                  <c:v>37.057600000000001</c:v>
                </c:pt>
                <c:pt idx="34">
                  <c:v>33.884399999999999</c:v>
                </c:pt>
                <c:pt idx="35">
                  <c:v>26.9192</c:v>
                </c:pt>
                <c:pt idx="36">
                  <c:v>20.897600000000001</c:v>
                </c:pt>
                <c:pt idx="37">
                  <c:v>17.011599999999898</c:v>
                </c:pt>
                <c:pt idx="38">
                  <c:v>37.755200000000002</c:v>
                </c:pt>
                <c:pt idx="39">
                  <c:v>35.681999999999903</c:v>
                </c:pt>
                <c:pt idx="40">
                  <c:v>29.9968</c:v>
                </c:pt>
                <c:pt idx="41">
                  <c:v>22.9848</c:v>
                </c:pt>
                <c:pt idx="42">
                  <c:v>18.417999999999999</c:v>
                </c:pt>
                <c:pt idx="43">
                  <c:v>15.4439999999999</c:v>
                </c:pt>
                <c:pt idx="44">
                  <c:v>13.4284</c:v>
                </c:pt>
                <c:pt idx="45">
                  <c:v>11.5524</c:v>
                </c:pt>
                <c:pt idx="46">
                  <c:v>11.089600000000001</c:v>
                </c:pt>
                <c:pt idx="47">
                  <c:v>12.7316</c:v>
                </c:pt>
                <c:pt idx="48">
                  <c:v>4.51231775700934</c:v>
                </c:pt>
                <c:pt idx="49">
                  <c:v>4.5110218068535799</c:v>
                </c:pt>
                <c:pt idx="50">
                  <c:v>4.5106230529594997</c:v>
                </c:pt>
                <c:pt idx="51">
                  <c:v>4.5098255451713296</c:v>
                </c:pt>
                <c:pt idx="52">
                  <c:v>4.4986604361370697</c:v>
                </c:pt>
                <c:pt idx="53">
                  <c:v>4.5108224299065398</c:v>
                </c:pt>
                <c:pt idx="54">
                  <c:v>4.5093271028037298</c:v>
                </c:pt>
                <c:pt idx="55">
                  <c:v>4.5078317757009296</c:v>
                </c:pt>
                <c:pt idx="56">
                  <c:v>4.5063364485981303</c:v>
                </c:pt>
                <c:pt idx="57">
                  <c:v>4.5048411214953203</c:v>
                </c:pt>
                <c:pt idx="58">
                  <c:v>4.5033457943925201</c:v>
                </c:pt>
                <c:pt idx="59">
                  <c:v>4.5018504672897199</c:v>
                </c:pt>
                <c:pt idx="60">
                  <c:v>4.50035514018691</c:v>
                </c:pt>
                <c:pt idx="61">
                  <c:v>4.4988598130841098</c:v>
                </c:pt>
                <c:pt idx="62">
                  <c:v>4.4973644859812998</c:v>
                </c:pt>
                <c:pt idx="63">
                  <c:v>4.4958691588784996</c:v>
                </c:pt>
                <c:pt idx="64">
                  <c:v>4.4943738317757003</c:v>
                </c:pt>
                <c:pt idx="65">
                  <c:v>4.4928785046728903</c:v>
                </c:pt>
                <c:pt idx="66">
                  <c:v>2.37361839564683</c:v>
                </c:pt>
                <c:pt idx="67">
                  <c:v>2.3735762682113299</c:v>
                </c:pt>
                <c:pt idx="68">
                  <c:v>2.3735341407758401</c:v>
                </c:pt>
                <c:pt idx="69">
                  <c:v>2.3734920133403499</c:v>
                </c:pt>
                <c:pt idx="70">
                  <c:v>2.3734498859048601</c:v>
                </c:pt>
                <c:pt idx="71">
                  <c:v>2.37332350359838</c:v>
                </c:pt>
                <c:pt idx="72">
                  <c:v>2.3732392487273999</c:v>
                </c:pt>
                <c:pt idx="73">
                  <c:v>2.3731128664209198</c:v>
                </c:pt>
                <c:pt idx="74">
                  <c:v>13.0708</c:v>
                </c:pt>
                <c:pt idx="75">
                  <c:v>13.643599999999999</c:v>
                </c:pt>
                <c:pt idx="76">
                  <c:v>12.4716</c:v>
                </c:pt>
                <c:pt idx="77">
                  <c:v>11.198399999999999</c:v>
                </c:pt>
                <c:pt idx="78">
                  <c:v>9.9955999999999996</c:v>
                </c:pt>
                <c:pt idx="79">
                  <c:v>8.8631999999999902</c:v>
                </c:pt>
                <c:pt idx="80">
                  <c:v>11.986000000000001</c:v>
                </c:pt>
                <c:pt idx="81">
                  <c:v>13.777999999999899</c:v>
                </c:pt>
                <c:pt idx="82">
                  <c:v>13.098000000000001</c:v>
                </c:pt>
                <c:pt idx="83">
                  <c:v>10.52</c:v>
                </c:pt>
                <c:pt idx="84">
                  <c:v>8.5039999999999996</c:v>
                </c:pt>
                <c:pt idx="85">
                  <c:v>6.4839999999999902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F2-4AA4-B629-A44FCE4B763F}"/>
            </c:ext>
          </c:extLst>
        </c:ser>
        <c:ser>
          <c:idx val="2"/>
          <c:order val="2"/>
          <c:tx>
            <c:strRef>
              <c:f>'Summer '!$P$1</c:f>
              <c:strCache>
                <c:ptCount val="1"/>
                <c:pt idx="0">
                  <c:v>Respective Reach Turbidity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14911202577310792"/>
                  <c:y val="9.3185593141622849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'!$I$2:$I$87</c:f>
              <c:numCache>
                <c:formatCode>0.00</c:formatCode>
                <c:ptCount val="86"/>
                <c:pt idx="0">
                  <c:v>51.659921769552554</c:v>
                </c:pt>
                <c:pt idx="1">
                  <c:v>50.228119059076278</c:v>
                </c:pt>
                <c:pt idx="2">
                  <c:v>14.502380030123016</c:v>
                </c:pt>
                <c:pt idx="3">
                  <c:v>11.68107543204323</c:v>
                </c:pt>
                <c:pt idx="4">
                  <c:v>6.4107928979951785</c:v>
                </c:pt>
                <c:pt idx="5">
                  <c:v>4.8049034388889487</c:v>
                </c:pt>
                <c:pt idx="6">
                  <c:v>11.105057316639133</c:v>
                </c:pt>
                <c:pt idx="7">
                  <c:v>29.712120711541949</c:v>
                </c:pt>
                <c:pt idx="8">
                  <c:v>41.279350758196514</c:v>
                </c:pt>
                <c:pt idx="9">
                  <c:v>9.5240654624066199</c:v>
                </c:pt>
                <c:pt idx="10">
                  <c:v>6.5386440491243301</c:v>
                </c:pt>
                <c:pt idx="11">
                  <c:v>5.7074800685992573</c:v>
                </c:pt>
                <c:pt idx="12">
                  <c:v>6.7843516799317234</c:v>
                </c:pt>
                <c:pt idx="13">
                  <c:v>5.7154758689570473</c:v>
                </c:pt>
                <c:pt idx="14">
                  <c:v>5.1903043978196211</c:v>
                </c:pt>
                <c:pt idx="15">
                  <c:v>5.4588115887677189</c:v>
                </c:pt>
                <c:pt idx="16">
                  <c:v>2.0882180227795768</c:v>
                </c:pt>
                <c:pt idx="17">
                  <c:v>3.1493521090486243</c:v>
                </c:pt>
                <c:pt idx="18">
                  <c:v>2.1601520222996071</c:v>
                </c:pt>
                <c:pt idx="19">
                  <c:v>1.5244913860512195</c:v>
                </c:pt>
                <c:pt idx="20">
                  <c:v>1.7083325626172676</c:v>
                </c:pt>
                <c:pt idx="21">
                  <c:v>3.0587693766699737</c:v>
                </c:pt>
                <c:pt idx="22">
                  <c:v>5.365091662580971</c:v>
                </c:pt>
                <c:pt idx="23">
                  <c:v>5.1217720387423311</c:v>
                </c:pt>
                <c:pt idx="24">
                  <c:v>2.2666249098999622</c:v>
                </c:pt>
                <c:pt idx="25">
                  <c:v>1.9722023113621858</c:v>
                </c:pt>
                <c:pt idx="26">
                  <c:v>1.5392300064882425</c:v>
                </c:pt>
                <c:pt idx="27">
                  <c:v>1.5186721608603606</c:v>
                </c:pt>
                <c:pt idx="28">
                  <c:v>1.6114551232671432</c:v>
                </c:pt>
                <c:pt idx="29">
                  <c:v>1.7405149401873126</c:v>
                </c:pt>
                <c:pt idx="30">
                  <c:v>1.4926887941071181</c:v>
                </c:pt>
                <c:pt idx="31">
                  <c:v>29.943162613702402</c:v>
                </c:pt>
                <c:pt idx="32">
                  <c:v>9.5728041053928887</c:v>
                </c:pt>
                <c:pt idx="33">
                  <c:v>6.9336039123826678</c:v>
                </c:pt>
                <c:pt idx="34">
                  <c:v>7.4831808175628005</c:v>
                </c:pt>
                <c:pt idx="35">
                  <c:v>5.9264264545775553</c:v>
                </c:pt>
                <c:pt idx="36">
                  <c:v>8.2845715359535532</c:v>
                </c:pt>
                <c:pt idx="37">
                  <c:v>10.349461276137333</c:v>
                </c:pt>
                <c:pt idx="38">
                  <c:v>13.904536257107111</c:v>
                </c:pt>
                <c:pt idx="39">
                  <c:v>11.14636239930711</c:v>
                </c:pt>
                <c:pt idx="40">
                  <c:v>7.4518284032226658</c:v>
                </c:pt>
                <c:pt idx="41">
                  <c:v>7.5006815567144436</c:v>
                </c:pt>
                <c:pt idx="43">
                  <c:v>5.9197242463532636</c:v>
                </c:pt>
                <c:pt idx="45">
                  <c:v>2.9482215924738182</c:v>
                </c:pt>
                <c:pt idx="47">
                  <c:v>4.2750517220431998</c:v>
                </c:pt>
                <c:pt idx="48">
                  <c:v>7.7777750198526157</c:v>
                </c:pt>
                <c:pt idx="49">
                  <c:v>4.5347124072625604</c:v>
                </c:pt>
                <c:pt idx="50">
                  <c:v>5.8892721735776004</c:v>
                </c:pt>
                <c:pt idx="51">
                  <c:v>4.8035399241483203</c:v>
                </c:pt>
                <c:pt idx="52">
                  <c:v>2.9207235211948697</c:v>
                </c:pt>
                <c:pt idx="53">
                  <c:v>5.5554803410250004</c:v>
                </c:pt>
                <c:pt idx="54">
                  <c:v>5.0814144091067215</c:v>
                </c:pt>
                <c:pt idx="55">
                  <c:v>4.7820987112927114</c:v>
                </c:pt>
                <c:pt idx="56">
                  <c:v>4.036574818279635</c:v>
                </c:pt>
                <c:pt idx="58">
                  <c:v>5.1612909035896664</c:v>
                </c:pt>
                <c:pt idx="60">
                  <c:v>5.1244036630343253</c:v>
                </c:pt>
                <c:pt idx="64">
                  <c:v>3.2424658067957601</c:v>
                </c:pt>
                <c:pt idx="66">
                  <c:v>12.669565136980157</c:v>
                </c:pt>
                <c:pt idx="67">
                  <c:v>6.2713144462450501</c:v>
                </c:pt>
                <c:pt idx="68">
                  <c:v>5.6727429240268501</c:v>
                </c:pt>
                <c:pt idx="69">
                  <c:v>4.6491381895576511</c:v>
                </c:pt>
                <c:pt idx="70">
                  <c:v>5.4238349889706816</c:v>
                </c:pt>
                <c:pt idx="71">
                  <c:v>4.495745790718118</c:v>
                </c:pt>
                <c:pt idx="74">
                  <c:v>5.33941789117765</c:v>
                </c:pt>
                <c:pt idx="75">
                  <c:v>4.6129800011302597</c:v>
                </c:pt>
                <c:pt idx="76">
                  <c:v>4.3837682724738745</c:v>
                </c:pt>
                <c:pt idx="77">
                  <c:v>4.11019377056025</c:v>
                </c:pt>
                <c:pt idx="79">
                  <c:v>3.7641164783656667</c:v>
                </c:pt>
                <c:pt idx="80">
                  <c:v>5.1367506964227401</c:v>
                </c:pt>
                <c:pt idx="81">
                  <c:v>4.1936586314366027</c:v>
                </c:pt>
                <c:pt idx="82">
                  <c:v>4.1850851238478963</c:v>
                </c:pt>
                <c:pt idx="83">
                  <c:v>2.9662137312752392</c:v>
                </c:pt>
                <c:pt idx="85">
                  <c:v>4.7449365167919124</c:v>
                </c:pt>
              </c:numCache>
            </c:numRef>
          </c:xVal>
          <c:yVal>
            <c:numRef>
              <c:f>'Summer '!$P$2:$P$87</c:f>
              <c:numCache>
                <c:formatCode>0.000</c:formatCode>
                <c:ptCount val="86"/>
                <c:pt idx="0">
                  <c:v>92.5304</c:v>
                </c:pt>
                <c:pt idx="1">
                  <c:v>197.94775999999999</c:v>
                </c:pt>
                <c:pt idx="2">
                  <c:v>78.192979999999906</c:v>
                </c:pt>
                <c:pt idx="3">
                  <c:v>74.057744</c:v>
                </c:pt>
                <c:pt idx="4">
                  <c:v>20.5702</c:v>
                </c:pt>
                <c:pt idx="5">
                  <c:v>9.0307999999999904</c:v>
                </c:pt>
                <c:pt idx="6">
                  <c:v>10.092000000000001</c:v>
                </c:pt>
                <c:pt idx="7">
                  <c:v>13.925599999999999</c:v>
                </c:pt>
                <c:pt idx="8">
                  <c:v>126.08439999999899</c:v>
                </c:pt>
                <c:pt idx="9">
                  <c:v>43.206399999999903</c:v>
                </c:pt>
                <c:pt idx="10">
                  <c:v>20.805599999999899</c:v>
                </c:pt>
                <c:pt idx="11">
                  <c:v>10.3607999999999</c:v>
                </c:pt>
                <c:pt idx="12">
                  <c:v>3.1412203684533901</c:v>
                </c:pt>
                <c:pt idx="13">
                  <c:v>3.1412530097882798</c:v>
                </c:pt>
                <c:pt idx="14">
                  <c:v>3.1413182924580698</c:v>
                </c:pt>
                <c:pt idx="15">
                  <c:v>3.1413835751278598</c:v>
                </c:pt>
                <c:pt idx="16">
                  <c:v>3.1416120644721102</c:v>
                </c:pt>
                <c:pt idx="17">
                  <c:v>3.1416447058070101</c:v>
                </c:pt>
                <c:pt idx="18">
                  <c:v>3.1417426298116902</c:v>
                </c:pt>
                <c:pt idx="19">
                  <c:v>3.1567162981719199</c:v>
                </c:pt>
                <c:pt idx="20">
                  <c:v>3.1567489395068198</c:v>
                </c:pt>
                <c:pt idx="21">
                  <c:v>3.1567815808417099</c:v>
                </c:pt>
                <c:pt idx="22">
                  <c:v>3.1568142221766098</c:v>
                </c:pt>
                <c:pt idx="23">
                  <c:v>3.1568468635114999</c:v>
                </c:pt>
                <c:pt idx="24">
                  <c:v>3.1569339070712199</c:v>
                </c:pt>
                <c:pt idx="25">
                  <c:v>3.1570427115208601</c:v>
                </c:pt>
                <c:pt idx="26">
                  <c:v>3.1571079941906501</c:v>
                </c:pt>
                <c:pt idx="27">
                  <c:v>3.1571406355255398</c:v>
                </c:pt>
                <c:pt idx="28">
                  <c:v>3.1572059181953298</c:v>
                </c:pt>
                <c:pt idx="29">
                  <c:v>3.1572712008651198</c:v>
                </c:pt>
                <c:pt idx="30">
                  <c:v>3.1573038422000099</c:v>
                </c:pt>
                <c:pt idx="31">
                  <c:v>28.3628</c:v>
                </c:pt>
                <c:pt idx="32">
                  <c:v>35.5732</c:v>
                </c:pt>
                <c:pt idx="33">
                  <c:v>34.972000000000001</c:v>
                </c:pt>
                <c:pt idx="34">
                  <c:v>32.542400000000001</c:v>
                </c:pt>
                <c:pt idx="35">
                  <c:v>26.4848</c:v>
                </c:pt>
                <c:pt idx="36">
                  <c:v>20.574000000000002</c:v>
                </c:pt>
                <c:pt idx="37">
                  <c:v>17.004000000000001</c:v>
                </c:pt>
                <c:pt idx="38">
                  <c:v>37.755200000000002</c:v>
                </c:pt>
                <c:pt idx="39">
                  <c:v>35.681999999999903</c:v>
                </c:pt>
                <c:pt idx="40">
                  <c:v>29.9968</c:v>
                </c:pt>
                <c:pt idx="41">
                  <c:v>22.9848</c:v>
                </c:pt>
                <c:pt idx="42">
                  <c:v>18.417999999999999</c:v>
                </c:pt>
                <c:pt idx="43">
                  <c:v>15.4439999999999</c:v>
                </c:pt>
                <c:pt idx="44">
                  <c:v>13.4284</c:v>
                </c:pt>
                <c:pt idx="45">
                  <c:v>11.5524</c:v>
                </c:pt>
                <c:pt idx="46">
                  <c:v>11.089600000000001</c:v>
                </c:pt>
                <c:pt idx="47">
                  <c:v>12.7316</c:v>
                </c:pt>
                <c:pt idx="48">
                  <c:v>13.715999999999999</c:v>
                </c:pt>
                <c:pt idx="49">
                  <c:v>16.154399999999999</c:v>
                </c:pt>
                <c:pt idx="50">
                  <c:v>14.494399999999899</c:v>
                </c:pt>
                <c:pt idx="51">
                  <c:v>11.944000000000001</c:v>
                </c:pt>
                <c:pt idx="52">
                  <c:v>7.8642666666666603</c:v>
                </c:pt>
                <c:pt idx="53">
                  <c:v>4.5108224299065398</c:v>
                </c:pt>
                <c:pt idx="54">
                  <c:v>4.5093271028037298</c:v>
                </c:pt>
                <c:pt idx="55">
                  <c:v>4.5078317757009296</c:v>
                </c:pt>
                <c:pt idx="56">
                  <c:v>4.5063364485981303</c:v>
                </c:pt>
                <c:pt idx="57">
                  <c:v>4.5048411214953203</c:v>
                </c:pt>
                <c:pt idx="58">
                  <c:v>4.5033457943925201</c:v>
                </c:pt>
                <c:pt idx="59">
                  <c:v>4.5018504672897199</c:v>
                </c:pt>
                <c:pt idx="60">
                  <c:v>4.50035514018691</c:v>
                </c:pt>
                <c:pt idx="61">
                  <c:v>4.4988598130841098</c:v>
                </c:pt>
                <c:pt idx="62">
                  <c:v>4.4973644859812998</c:v>
                </c:pt>
                <c:pt idx="63">
                  <c:v>4.4958691588784996</c:v>
                </c:pt>
                <c:pt idx="64">
                  <c:v>4.4943738317757003</c:v>
                </c:pt>
                <c:pt idx="65">
                  <c:v>4.4928785046728903</c:v>
                </c:pt>
                <c:pt idx="66">
                  <c:v>24.83</c:v>
                </c:pt>
                <c:pt idx="67">
                  <c:v>24.844000000000001</c:v>
                </c:pt>
                <c:pt idx="68">
                  <c:v>16.478000000000002</c:v>
                </c:pt>
                <c:pt idx="69">
                  <c:v>13.218</c:v>
                </c:pt>
                <c:pt idx="70">
                  <c:v>11.843999999999999</c:v>
                </c:pt>
                <c:pt idx="71">
                  <c:v>11.214</c:v>
                </c:pt>
                <c:pt idx="72">
                  <c:v>11.263999999999999</c:v>
                </c:pt>
                <c:pt idx="73">
                  <c:v>8.8166666666666593</c:v>
                </c:pt>
                <c:pt idx="74">
                  <c:v>13.0708</c:v>
                </c:pt>
                <c:pt idx="75">
                  <c:v>13.643599999999999</c:v>
                </c:pt>
                <c:pt idx="76">
                  <c:v>12.4716</c:v>
                </c:pt>
                <c:pt idx="77">
                  <c:v>11.198399999999999</c:v>
                </c:pt>
                <c:pt idx="78">
                  <c:v>9.9955999999999996</c:v>
                </c:pt>
                <c:pt idx="79">
                  <c:v>8.8631999999999902</c:v>
                </c:pt>
                <c:pt idx="80">
                  <c:v>11.986000000000001</c:v>
                </c:pt>
                <c:pt idx="81">
                  <c:v>13.777999999999899</c:v>
                </c:pt>
                <c:pt idx="82">
                  <c:v>13.098000000000001</c:v>
                </c:pt>
                <c:pt idx="83">
                  <c:v>10.52</c:v>
                </c:pt>
                <c:pt idx="84">
                  <c:v>8.5039999999999996</c:v>
                </c:pt>
                <c:pt idx="85">
                  <c:v>6.4839999999999902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BF2-4AA4-B629-A44FCE4B7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780031"/>
        <c:axId val="757788671"/>
      </c:scatterChart>
      <c:valAx>
        <c:axId val="75778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788671"/>
        <c:crosses val="autoZero"/>
        <c:crossBetween val="midCat"/>
      </c:valAx>
      <c:valAx>
        <c:axId val="75778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Sonde Turbidity (FNU)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780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5" Type="http://schemas.openxmlformats.org/officeDocument/2006/relationships/chart" Target="../charts/chart29.xml"/><Relationship Id="rId10" Type="http://schemas.openxmlformats.org/officeDocument/2006/relationships/chart" Target="../charts/chart34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84224</xdr:colOff>
      <xdr:row>0</xdr:row>
      <xdr:rowOff>90923</xdr:rowOff>
    </xdr:from>
    <xdr:to>
      <xdr:col>28</xdr:col>
      <xdr:colOff>249850</xdr:colOff>
      <xdr:row>10</xdr:row>
      <xdr:rowOff>120104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CABAC6-3D75-48F9-A3D1-F0FD2F371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62136</xdr:colOff>
      <xdr:row>11</xdr:row>
      <xdr:rowOff>33608</xdr:rowOff>
    </xdr:from>
    <xdr:to>
      <xdr:col>28</xdr:col>
      <xdr:colOff>229518</xdr:colOff>
      <xdr:row>22</xdr:row>
      <xdr:rowOff>88037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89A407-391B-40DC-B31E-179063CD7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62135</xdr:colOff>
      <xdr:row>22</xdr:row>
      <xdr:rowOff>160663</xdr:rowOff>
    </xdr:from>
    <xdr:to>
      <xdr:col>28</xdr:col>
      <xdr:colOff>229517</xdr:colOff>
      <xdr:row>34</xdr:row>
      <xdr:rowOff>74430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8E2C45-15B5-42CD-A4F7-DB2BBE91A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321323</xdr:colOff>
      <xdr:row>11</xdr:row>
      <xdr:rowOff>27543</xdr:rowOff>
    </xdr:from>
    <xdr:to>
      <xdr:col>22</xdr:col>
      <xdr:colOff>608222</xdr:colOff>
      <xdr:row>21</xdr:row>
      <xdr:rowOff>112923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907B7BF-D0C1-4170-B168-9BFD4F34C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298374</xdr:colOff>
      <xdr:row>22</xdr:row>
      <xdr:rowOff>172140</xdr:rowOff>
    </xdr:from>
    <xdr:to>
      <xdr:col>22</xdr:col>
      <xdr:colOff>599042</xdr:colOff>
      <xdr:row>34</xdr:row>
      <xdr:rowOff>106039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C55DF24-D1C6-402F-95E1-C60C6A2AE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322547</xdr:colOff>
      <xdr:row>0</xdr:row>
      <xdr:rowOff>539415</xdr:rowOff>
    </xdr:from>
    <xdr:to>
      <xdr:col>42</xdr:col>
      <xdr:colOff>388309</xdr:colOff>
      <xdr:row>12</xdr:row>
      <xdr:rowOff>130574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C01DEB5-CF62-44A7-A26C-F8DC929CE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460557</xdr:colOff>
      <xdr:row>0</xdr:row>
      <xdr:rowOff>519856</xdr:rowOff>
    </xdr:from>
    <xdr:to>
      <xdr:col>47</xdr:col>
      <xdr:colOff>462852</xdr:colOff>
      <xdr:row>12</xdr:row>
      <xdr:rowOff>163703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AE681A9-BE6F-4863-8540-22F2DA02A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47</xdr:col>
      <xdr:colOff>501700</xdr:colOff>
      <xdr:row>0</xdr:row>
      <xdr:rowOff>536902</xdr:rowOff>
    </xdr:from>
    <xdr:to>
      <xdr:col>52</xdr:col>
      <xdr:colOff>605116</xdr:colOff>
      <xdr:row>12</xdr:row>
      <xdr:rowOff>156883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C698101-74BD-419F-9D7A-0FFA46A0A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252469</xdr:colOff>
      <xdr:row>34</xdr:row>
      <xdr:rowOff>172138</xdr:rowOff>
    </xdr:from>
    <xdr:to>
      <xdr:col>24</xdr:col>
      <xdr:colOff>195091</xdr:colOff>
      <xdr:row>49</xdr:row>
      <xdr:rowOff>68855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210DCE5-B6D8-43BC-B249-7463F42DB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275422</xdr:colOff>
      <xdr:row>34</xdr:row>
      <xdr:rowOff>172140</xdr:rowOff>
    </xdr:from>
    <xdr:to>
      <xdr:col>30</xdr:col>
      <xdr:colOff>573796</xdr:colOff>
      <xdr:row>49</xdr:row>
      <xdr:rowOff>68857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332FB4-4419-4BB4-9B8C-7B0120F25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195091</xdr:colOff>
      <xdr:row>49</xdr:row>
      <xdr:rowOff>172138</xdr:rowOff>
    </xdr:from>
    <xdr:to>
      <xdr:col>24</xdr:col>
      <xdr:colOff>137713</xdr:colOff>
      <xdr:row>64</xdr:row>
      <xdr:rowOff>68856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1D5B0ED-5474-47AF-9E0E-4048363E8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206566</xdr:colOff>
      <xdr:row>64</xdr:row>
      <xdr:rowOff>114760</xdr:rowOff>
    </xdr:from>
    <xdr:to>
      <xdr:col>24</xdr:col>
      <xdr:colOff>149188</xdr:colOff>
      <xdr:row>79</xdr:row>
      <xdr:rowOff>11477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41FA141-EDD2-4F6F-AEE8-7B86662FC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240994</xdr:colOff>
      <xdr:row>49</xdr:row>
      <xdr:rowOff>160662</xdr:rowOff>
    </xdr:from>
    <xdr:to>
      <xdr:col>30</xdr:col>
      <xdr:colOff>539368</xdr:colOff>
      <xdr:row>64</xdr:row>
      <xdr:rowOff>57380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2969181-1182-42D5-9524-33C0BF86AE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286898</xdr:colOff>
      <xdr:row>64</xdr:row>
      <xdr:rowOff>137711</xdr:rowOff>
    </xdr:from>
    <xdr:to>
      <xdr:col>30</xdr:col>
      <xdr:colOff>585272</xdr:colOff>
      <xdr:row>79</xdr:row>
      <xdr:rowOff>34428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394840F-91D0-4511-AACB-65CE04793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18</xdr:col>
      <xdr:colOff>206566</xdr:colOff>
      <xdr:row>80</xdr:row>
      <xdr:rowOff>34428</xdr:rowOff>
    </xdr:from>
    <xdr:to>
      <xdr:col>24</xdr:col>
      <xdr:colOff>149188</xdr:colOff>
      <xdr:row>94</xdr:row>
      <xdr:rowOff>126236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E445612-227E-49FA-8F58-25633A617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273324</xdr:colOff>
      <xdr:row>80</xdr:row>
      <xdr:rowOff>0</xdr:rowOff>
    </xdr:from>
    <xdr:to>
      <xdr:col>30</xdr:col>
      <xdr:colOff>547251</xdr:colOff>
      <xdr:row>94</xdr:row>
      <xdr:rowOff>91808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E16D163-2547-4971-9977-8C52B5BE6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256760</xdr:colOff>
      <xdr:row>95</xdr:row>
      <xdr:rowOff>16565</xdr:rowOff>
    </xdr:from>
    <xdr:to>
      <xdr:col>30</xdr:col>
      <xdr:colOff>530687</xdr:colOff>
      <xdr:row>109</xdr:row>
      <xdr:rowOff>108373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C5B0F865-5426-4DA7-8012-E0D781720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37</xdr:col>
      <xdr:colOff>246530</xdr:colOff>
      <xdr:row>13</xdr:row>
      <xdr:rowOff>11206</xdr:rowOff>
    </xdr:from>
    <xdr:to>
      <xdr:col>44</xdr:col>
      <xdr:colOff>156882</xdr:colOff>
      <xdr:row>29</xdr:row>
      <xdr:rowOff>56030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EC392E7-81F5-4FC1-9A5D-F5D0B7643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44</xdr:col>
      <xdr:colOff>235324</xdr:colOff>
      <xdr:row>13</xdr:row>
      <xdr:rowOff>22411</xdr:rowOff>
    </xdr:from>
    <xdr:to>
      <xdr:col>50</xdr:col>
      <xdr:colOff>537882</xdr:colOff>
      <xdr:row>29</xdr:row>
      <xdr:rowOff>67235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3A98AD1-53C4-4D9B-A032-A63C556014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37</xdr:col>
      <xdr:colOff>302560</xdr:colOff>
      <xdr:row>30</xdr:row>
      <xdr:rowOff>33618</xdr:rowOff>
    </xdr:from>
    <xdr:to>
      <xdr:col>44</xdr:col>
      <xdr:colOff>212912</xdr:colOff>
      <xdr:row>46</xdr:row>
      <xdr:rowOff>78442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1EE866E6-F16F-4623-95BA-AD3B23529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37</xdr:col>
      <xdr:colOff>313766</xdr:colOff>
      <xdr:row>46</xdr:row>
      <xdr:rowOff>168088</xdr:rowOff>
    </xdr:from>
    <xdr:to>
      <xdr:col>44</xdr:col>
      <xdr:colOff>224118</xdr:colOff>
      <xdr:row>63</xdr:row>
      <xdr:rowOff>22412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F37B0E21-0CCE-4FBE-A597-0D95E1B41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44</xdr:col>
      <xdr:colOff>302558</xdr:colOff>
      <xdr:row>29</xdr:row>
      <xdr:rowOff>179294</xdr:rowOff>
    </xdr:from>
    <xdr:to>
      <xdr:col>51</xdr:col>
      <xdr:colOff>212911</xdr:colOff>
      <xdr:row>46</xdr:row>
      <xdr:rowOff>33618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12824ECD-0A68-4F5C-8F0D-F825FAB80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44</xdr:col>
      <xdr:colOff>302558</xdr:colOff>
      <xdr:row>46</xdr:row>
      <xdr:rowOff>145677</xdr:rowOff>
    </xdr:from>
    <xdr:to>
      <xdr:col>51</xdr:col>
      <xdr:colOff>212911</xdr:colOff>
      <xdr:row>63</xdr:row>
      <xdr:rowOff>1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5EA50BD0-81CC-4362-B8FE-E10B0B18B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179293</xdr:colOff>
      <xdr:row>95</xdr:row>
      <xdr:rowOff>44823</xdr:rowOff>
    </xdr:from>
    <xdr:to>
      <xdr:col>24</xdr:col>
      <xdr:colOff>141491</xdr:colOff>
      <xdr:row>109</xdr:row>
      <xdr:rowOff>132040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73F9A3B3-1B77-4E55-A666-715BEF664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153080</xdr:colOff>
      <xdr:row>0</xdr:row>
      <xdr:rowOff>492579</xdr:rowOff>
    </xdr:from>
    <xdr:to>
      <xdr:col>28</xdr:col>
      <xdr:colOff>177836</xdr:colOff>
      <xdr:row>12</xdr:row>
      <xdr:rowOff>166007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A7FEC6-40AE-ACB1-53AA-EA18B3189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176895</xdr:colOff>
      <xdr:row>13</xdr:row>
      <xdr:rowOff>68035</xdr:rowOff>
    </xdr:from>
    <xdr:to>
      <xdr:col>28</xdr:col>
      <xdr:colOff>204109</xdr:colOff>
      <xdr:row>24</xdr:row>
      <xdr:rowOff>122464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290371-AFAA-4FD8-832A-892924ECE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176894</xdr:colOff>
      <xdr:row>25</xdr:row>
      <xdr:rowOff>0</xdr:rowOff>
    </xdr:from>
    <xdr:to>
      <xdr:col>28</xdr:col>
      <xdr:colOff>204108</xdr:colOff>
      <xdr:row>36</xdr:row>
      <xdr:rowOff>108857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67A2D5-A0CF-49A6-B236-DCF450E6F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285749</xdr:colOff>
      <xdr:row>13</xdr:row>
      <xdr:rowOff>54428</xdr:rowOff>
    </xdr:from>
    <xdr:to>
      <xdr:col>33</xdr:col>
      <xdr:colOff>312964</xdr:colOff>
      <xdr:row>24</xdr:row>
      <xdr:rowOff>108857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4A5B8C-EB65-4632-826E-869D5CC77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312963</xdr:colOff>
      <xdr:row>25</xdr:row>
      <xdr:rowOff>0</xdr:rowOff>
    </xdr:from>
    <xdr:to>
      <xdr:col>33</xdr:col>
      <xdr:colOff>340178</xdr:colOff>
      <xdr:row>36</xdr:row>
      <xdr:rowOff>108857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5BB81A-1557-4F21-B192-3A62C55AA2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285750</xdr:colOff>
      <xdr:row>0</xdr:row>
      <xdr:rowOff>489858</xdr:rowOff>
    </xdr:from>
    <xdr:to>
      <xdr:col>33</xdr:col>
      <xdr:colOff>312965</xdr:colOff>
      <xdr:row>12</xdr:row>
      <xdr:rowOff>163286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6B282B-831E-4965-AB73-9DD0693E59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280148</xdr:colOff>
      <xdr:row>36</xdr:row>
      <xdr:rowOff>156881</xdr:rowOff>
    </xdr:from>
    <xdr:to>
      <xdr:col>33</xdr:col>
      <xdr:colOff>304904</xdr:colOff>
      <xdr:row>48</xdr:row>
      <xdr:rowOff>166485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6F40BB3-3F87-4E45-8E07-27CEE9811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451727</xdr:colOff>
      <xdr:row>0</xdr:row>
      <xdr:rowOff>501018</xdr:rowOff>
    </xdr:from>
    <xdr:to>
      <xdr:col>41</xdr:col>
      <xdr:colOff>145893</xdr:colOff>
      <xdr:row>15</xdr:row>
      <xdr:rowOff>193555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0162ADC-CF40-160C-E9B4-AA0A6CD37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450274</xdr:colOff>
      <xdr:row>16</xdr:row>
      <xdr:rowOff>51954</xdr:rowOff>
    </xdr:from>
    <xdr:to>
      <xdr:col>41</xdr:col>
      <xdr:colOff>144440</xdr:colOff>
      <xdr:row>30</xdr:row>
      <xdr:rowOff>73536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44488CA-1C56-493D-A396-96C840D29B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33</xdr:col>
      <xdr:colOff>426969</xdr:colOff>
      <xdr:row>45</xdr:row>
      <xdr:rowOff>124239</xdr:rowOff>
    </xdr:from>
    <xdr:to>
      <xdr:col>41</xdr:col>
      <xdr:colOff>121135</xdr:colOff>
      <xdr:row>60</xdr:row>
      <xdr:rowOff>73762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4B8D530-8F07-4985-9F9C-7A6F9976B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33</xdr:col>
      <xdr:colOff>438150</xdr:colOff>
      <xdr:row>30</xdr:row>
      <xdr:rowOff>123825</xdr:rowOff>
    </xdr:from>
    <xdr:to>
      <xdr:col>41</xdr:col>
      <xdr:colOff>132316</xdr:colOff>
      <xdr:row>45</xdr:row>
      <xdr:rowOff>69207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C026B37-CBA2-4BF0-8315-B9AEB5725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F5147-870F-4065-86F1-3AC0DA635208}">
  <dimension ref="A1:AK167"/>
  <sheetViews>
    <sheetView zoomScale="85" zoomScaleNormal="85" workbookViewId="0">
      <selection activeCell="I14" sqref="I14"/>
    </sheetView>
  </sheetViews>
  <sheetFormatPr defaultRowHeight="15" x14ac:dyDescent="0.25"/>
  <cols>
    <col min="1" max="1" width="26.7109375" style="5" customWidth="1"/>
    <col min="2" max="2" width="15.42578125" style="5" customWidth="1"/>
    <col min="3" max="3" width="18" style="5" customWidth="1"/>
    <col min="4" max="4" width="12.7109375" style="5" customWidth="1"/>
    <col min="5" max="5" width="22.42578125" style="5" customWidth="1"/>
    <col min="6" max="10" width="16.85546875" style="5" customWidth="1"/>
    <col min="11" max="11" width="12.140625" customWidth="1"/>
    <col min="12" max="13" width="18" customWidth="1"/>
    <col min="14" max="14" width="19" customWidth="1"/>
    <col min="15" max="15" width="17.42578125" customWidth="1"/>
    <col min="16" max="16" width="18.28515625" customWidth="1"/>
    <col min="17" max="17" width="18.42578125" customWidth="1"/>
    <col min="18" max="18" width="15.5703125" customWidth="1"/>
    <col min="20" max="20" width="14.140625" customWidth="1"/>
    <col min="32" max="32" width="20.5703125" customWidth="1"/>
    <col min="33" max="33" width="11" style="5" customWidth="1"/>
    <col min="34" max="34" width="11.7109375" style="5" customWidth="1"/>
    <col min="35" max="35" width="14.5703125" customWidth="1"/>
    <col min="36" max="36" width="15.7109375" customWidth="1"/>
    <col min="37" max="37" width="13.85546875" customWidth="1"/>
  </cols>
  <sheetData>
    <row r="1" spans="1:37" ht="44.25" customHeight="1" x14ac:dyDescent="0.25">
      <c r="A1" s="144" t="s">
        <v>1</v>
      </c>
      <c r="B1" s="145" t="s">
        <v>0</v>
      </c>
      <c r="C1" s="146" t="s">
        <v>2</v>
      </c>
      <c r="D1" s="146" t="s">
        <v>3</v>
      </c>
      <c r="E1" s="146" t="s">
        <v>71</v>
      </c>
      <c r="F1" s="146" t="s">
        <v>4</v>
      </c>
      <c r="G1" s="146" t="s">
        <v>97</v>
      </c>
      <c r="H1" s="146" t="s">
        <v>72</v>
      </c>
      <c r="I1" s="146" t="s">
        <v>70</v>
      </c>
      <c r="J1" s="146" t="s">
        <v>69</v>
      </c>
      <c r="K1" s="146" t="s">
        <v>61</v>
      </c>
      <c r="L1" s="146" t="s">
        <v>67</v>
      </c>
      <c r="M1" s="251" t="s">
        <v>337</v>
      </c>
      <c r="N1" s="248" t="s">
        <v>342</v>
      </c>
      <c r="O1" s="251" t="s">
        <v>338</v>
      </c>
      <c r="P1" s="248" t="s">
        <v>340</v>
      </c>
      <c r="Q1" s="251" t="s">
        <v>339</v>
      </c>
      <c r="R1" s="248" t="s">
        <v>341</v>
      </c>
      <c r="AG1" s="5" t="s">
        <v>173</v>
      </c>
      <c r="AH1" s="5" t="s">
        <v>343</v>
      </c>
      <c r="AI1" s="251" t="s">
        <v>337</v>
      </c>
      <c r="AJ1" s="251" t="s">
        <v>338</v>
      </c>
      <c r="AK1" s="251" t="s">
        <v>339</v>
      </c>
    </row>
    <row r="2" spans="1:37" x14ac:dyDescent="0.25">
      <c r="A2" s="231" t="s">
        <v>182</v>
      </c>
      <c r="B2" s="2">
        <v>210</v>
      </c>
      <c r="C2" s="14">
        <v>0.23780000000000001</v>
      </c>
      <c r="D2" s="14">
        <v>0.2404</v>
      </c>
      <c r="E2" s="2">
        <f>D2-C2</f>
        <v>2.5999999999999912E-3</v>
      </c>
      <c r="F2" s="149">
        <f>E2/B2*1000*1000</f>
        <v>12.380952380952339</v>
      </c>
      <c r="G2" s="149"/>
      <c r="H2" s="232"/>
      <c r="I2" s="31"/>
      <c r="J2" s="2">
        <v>3.7290000000000001</v>
      </c>
      <c r="K2" s="2">
        <v>195</v>
      </c>
      <c r="L2" s="233">
        <v>45031.520833333336</v>
      </c>
      <c r="M2" s="249">
        <v>6.3695391092076497</v>
      </c>
      <c r="N2" s="249"/>
      <c r="O2" s="249">
        <v>6.3695391092076497</v>
      </c>
      <c r="P2" s="249"/>
      <c r="Q2" s="249">
        <v>3.9399494811242901</v>
      </c>
      <c r="R2" s="249"/>
      <c r="T2" s="222" t="s">
        <v>180</v>
      </c>
      <c r="AF2" t="s">
        <v>192</v>
      </c>
      <c r="AG2" s="250">
        <v>23.157894736842042</v>
      </c>
      <c r="AH2" s="250">
        <v>106.21</v>
      </c>
      <c r="AI2" s="249"/>
      <c r="AJ2" s="249"/>
      <c r="AK2" s="249"/>
    </row>
    <row r="3" spans="1:37" x14ac:dyDescent="0.25">
      <c r="A3" s="231" t="s">
        <v>183</v>
      </c>
      <c r="B3" s="2">
        <v>190</v>
      </c>
      <c r="C3" s="14">
        <v>0.2354</v>
      </c>
      <c r="D3" s="14">
        <v>0.23719999999999999</v>
      </c>
      <c r="E3" s="2">
        <f t="shared" ref="E3:E14" si="0">D3-C3</f>
        <v>1.799999999999996E-3</v>
      </c>
      <c r="F3" s="149">
        <f t="shared" ref="F3:F14" si="1">E3/B3*1000*1000</f>
        <v>9.4736842105262955</v>
      </c>
      <c r="G3" s="149"/>
      <c r="H3" s="232"/>
      <c r="I3" s="31"/>
      <c r="J3" s="234">
        <v>3.573</v>
      </c>
      <c r="K3" s="2">
        <v>196</v>
      </c>
      <c r="L3" s="233">
        <v>45031.6875</v>
      </c>
      <c r="M3" s="249">
        <v>6.3686278197342103</v>
      </c>
      <c r="N3" s="249"/>
      <c r="O3" s="249">
        <v>6.3686278197342103</v>
      </c>
      <c r="P3" s="249"/>
      <c r="Q3" s="249">
        <v>3.9404717424825901</v>
      </c>
      <c r="R3" s="249"/>
      <c r="T3" s="201" t="s">
        <v>181</v>
      </c>
      <c r="AF3" t="s">
        <v>193</v>
      </c>
      <c r="AG3" s="250">
        <v>15.000000000000014</v>
      </c>
      <c r="AH3" s="250">
        <v>51.232999999999997</v>
      </c>
      <c r="AI3" s="249"/>
      <c r="AJ3" s="249"/>
      <c r="AK3" s="249">
        <v>17.909116588666599</v>
      </c>
    </row>
    <row r="4" spans="1:37" x14ac:dyDescent="0.25">
      <c r="A4" s="231" t="s">
        <v>184</v>
      </c>
      <c r="B4" s="2">
        <v>200</v>
      </c>
      <c r="C4" s="14">
        <v>0.23449999999999999</v>
      </c>
      <c r="D4" s="14">
        <v>0.23549999999999999</v>
      </c>
      <c r="E4" s="2">
        <f t="shared" si="0"/>
        <v>1.0000000000000009E-3</v>
      </c>
      <c r="F4" s="149">
        <f t="shared" si="1"/>
        <v>5.0000000000000044</v>
      </c>
      <c r="G4" s="149"/>
      <c r="H4" s="232"/>
      <c r="I4" s="31"/>
      <c r="J4" s="234">
        <v>3.2410000000000001</v>
      </c>
      <c r="K4" s="2">
        <v>197</v>
      </c>
      <c r="L4" s="233">
        <v>45031.854166666664</v>
      </c>
      <c r="M4" s="249">
        <v>6.3677165302607701</v>
      </c>
      <c r="N4" s="249"/>
      <c r="O4" s="249">
        <v>6.3677165302607701</v>
      </c>
      <c r="P4" s="249"/>
      <c r="Q4" s="249">
        <v>3.9409940038408902</v>
      </c>
      <c r="R4" s="249"/>
      <c r="AF4" t="s">
        <v>195</v>
      </c>
      <c r="AG4" s="250">
        <v>8.9473684210526692</v>
      </c>
      <c r="AH4" s="250">
        <v>59.16</v>
      </c>
      <c r="AI4" s="249">
        <v>12.815805599999999</v>
      </c>
      <c r="AJ4" s="249">
        <v>12.815805599999999</v>
      </c>
      <c r="AK4" s="249">
        <v>12.5026276</v>
      </c>
    </row>
    <row r="5" spans="1:37" x14ac:dyDescent="0.25">
      <c r="A5" s="231" t="s">
        <v>185</v>
      </c>
      <c r="B5" s="2">
        <v>200</v>
      </c>
      <c r="C5" s="14">
        <v>0.23519999999999999</v>
      </c>
      <c r="D5" s="14">
        <v>0.23599999999999999</v>
      </c>
      <c r="E5" s="2">
        <f t="shared" si="0"/>
        <v>7.9999999999999516E-4</v>
      </c>
      <c r="F5" s="149">
        <f t="shared" si="1"/>
        <v>3.999999999999976</v>
      </c>
      <c r="G5" s="149"/>
      <c r="H5" s="232"/>
      <c r="I5" s="31"/>
      <c r="J5" s="234">
        <v>3.202</v>
      </c>
      <c r="K5" s="2">
        <v>198</v>
      </c>
      <c r="L5" s="233">
        <v>45032.020833333336</v>
      </c>
      <c r="M5" s="249">
        <v>6.3668052407873201</v>
      </c>
      <c r="N5" s="249"/>
      <c r="O5" s="249">
        <v>6.3668052407873201</v>
      </c>
      <c r="P5" s="249"/>
      <c r="Q5" s="249">
        <v>3.9415162651991902</v>
      </c>
      <c r="R5" s="249"/>
      <c r="AF5" t="s">
        <v>194</v>
      </c>
      <c r="AG5" s="250">
        <v>9.4999999999999254</v>
      </c>
      <c r="AH5" s="250">
        <v>48.47</v>
      </c>
      <c r="AI5" s="249">
        <v>12.0457119999999</v>
      </c>
      <c r="AJ5" s="249">
        <v>12.0457119999999</v>
      </c>
      <c r="AK5" s="249">
        <v>12.258317999999999</v>
      </c>
    </row>
    <row r="6" spans="1:37" x14ac:dyDescent="0.25">
      <c r="A6" s="231" t="s">
        <v>186</v>
      </c>
      <c r="B6" s="2">
        <v>210</v>
      </c>
      <c r="C6" s="14">
        <v>0.23469999999999999</v>
      </c>
      <c r="D6" s="14">
        <v>0.2369</v>
      </c>
      <c r="E6" s="2">
        <f t="shared" si="0"/>
        <v>2.2000000000000075E-3</v>
      </c>
      <c r="F6" s="149">
        <f t="shared" si="1"/>
        <v>10.476190476190512</v>
      </c>
      <c r="G6" s="149"/>
      <c r="H6" s="232"/>
      <c r="I6" s="31"/>
      <c r="J6" s="234">
        <v>3.234</v>
      </c>
      <c r="K6" s="2">
        <v>199</v>
      </c>
      <c r="L6" s="233">
        <v>45032.520833333336</v>
      </c>
      <c r="M6" s="249">
        <v>6.3640713723669897</v>
      </c>
      <c r="N6" s="249"/>
      <c r="O6" s="249">
        <v>6.3640713723669897</v>
      </c>
      <c r="P6" s="249"/>
      <c r="Q6" s="249">
        <v>3.9430830492740898</v>
      </c>
      <c r="R6" s="249"/>
      <c r="AF6" t="s">
        <v>198</v>
      </c>
      <c r="AG6" s="250">
        <v>23.000000000000103</v>
      </c>
      <c r="AH6" s="250">
        <v>78.709999999999994</v>
      </c>
      <c r="AI6" s="249">
        <v>21.1627592</v>
      </c>
      <c r="AJ6" s="249">
        <v>21.1627592</v>
      </c>
      <c r="AK6" s="249">
        <v>25.906272033333298</v>
      </c>
    </row>
    <row r="7" spans="1:37" x14ac:dyDescent="0.25">
      <c r="A7" s="231" t="s">
        <v>187</v>
      </c>
      <c r="B7" s="2">
        <v>150</v>
      </c>
      <c r="C7" s="14">
        <v>0.2346</v>
      </c>
      <c r="D7" s="14">
        <v>0.23599999999999999</v>
      </c>
      <c r="E7" s="2">
        <f t="shared" si="0"/>
        <v>1.3999999999999846E-3</v>
      </c>
      <c r="F7" s="149">
        <f t="shared" si="1"/>
        <v>9.3333333333332309</v>
      </c>
      <c r="G7" s="149"/>
      <c r="H7" s="232"/>
      <c r="I7" s="31"/>
      <c r="J7" s="234">
        <v>3.2930000000000001</v>
      </c>
      <c r="K7" s="2">
        <v>200</v>
      </c>
      <c r="L7" s="233">
        <v>45032.6875</v>
      </c>
      <c r="M7" s="249">
        <v>6.3631600828935397</v>
      </c>
      <c r="N7" s="249"/>
      <c r="O7" s="249">
        <v>6.3631600828935397</v>
      </c>
      <c r="P7" s="249"/>
      <c r="Q7" s="249">
        <v>3.9436053106323898</v>
      </c>
      <c r="R7" s="249"/>
      <c r="AF7" t="s">
        <v>199</v>
      </c>
      <c r="AG7" s="250">
        <v>15.000000000000014</v>
      </c>
      <c r="AH7" s="250">
        <v>45.42</v>
      </c>
      <c r="AI7" s="249">
        <v>14.5804768</v>
      </c>
      <c r="AJ7" s="249">
        <v>14.5804768</v>
      </c>
      <c r="AK7" s="249">
        <v>15.555403466666601</v>
      </c>
    </row>
    <row r="8" spans="1:37" x14ac:dyDescent="0.25">
      <c r="A8" s="231" t="s">
        <v>188</v>
      </c>
      <c r="B8" s="2">
        <v>145</v>
      </c>
      <c r="C8" s="14">
        <v>0.23710000000000001</v>
      </c>
      <c r="D8" s="14">
        <v>0.23849999999999999</v>
      </c>
      <c r="E8" s="2">
        <f t="shared" si="0"/>
        <v>1.3999999999999846E-3</v>
      </c>
      <c r="F8" s="149">
        <f t="shared" si="1"/>
        <v>9.6551724137929966</v>
      </c>
      <c r="G8" s="149"/>
      <c r="H8" s="232"/>
      <c r="I8" s="31"/>
      <c r="J8" s="234">
        <v>3.1789999999999998</v>
      </c>
      <c r="K8" s="2">
        <v>201</v>
      </c>
      <c r="L8" s="233">
        <v>45033.020833333336</v>
      </c>
      <c r="M8" s="249">
        <v>6.3613375039466602</v>
      </c>
      <c r="N8" s="249"/>
      <c r="O8" s="249">
        <v>6.3613375039466602</v>
      </c>
      <c r="P8" s="249"/>
      <c r="Q8" s="249">
        <v>3.9446498333489801</v>
      </c>
      <c r="R8" s="249"/>
      <c r="AF8" t="s">
        <v>200</v>
      </c>
      <c r="AG8" s="250">
        <v>9.0909090909090988</v>
      </c>
      <c r="AH8" s="250">
        <v>74.75</v>
      </c>
      <c r="AI8" s="249">
        <v>12.4211408</v>
      </c>
      <c r="AJ8" s="249">
        <v>12.4211408</v>
      </c>
      <c r="AK8" s="249">
        <v>12.1499004</v>
      </c>
    </row>
    <row r="9" spans="1:37" x14ac:dyDescent="0.25">
      <c r="A9" s="231" t="s">
        <v>189</v>
      </c>
      <c r="B9" s="2">
        <v>150</v>
      </c>
      <c r="C9" s="14">
        <v>0.23330000000000001</v>
      </c>
      <c r="D9" s="14">
        <v>0.2339</v>
      </c>
      <c r="E9" s="2">
        <f t="shared" si="0"/>
        <v>5.9999999999998943E-4</v>
      </c>
      <c r="F9" s="149">
        <f t="shared" si="1"/>
        <v>3.9999999999999298</v>
      </c>
      <c r="G9" s="149"/>
      <c r="H9" s="232"/>
      <c r="I9" s="31"/>
      <c r="J9" s="234">
        <v>3.1110000000000002</v>
      </c>
      <c r="K9" s="2">
        <v>202</v>
      </c>
      <c r="L9" s="233">
        <v>45033.1875</v>
      </c>
      <c r="M9" s="249">
        <v>6.3604262144732102</v>
      </c>
      <c r="N9" s="249"/>
      <c r="O9" s="249">
        <v>6.3604262144732102</v>
      </c>
      <c r="P9" s="249"/>
      <c r="Q9" s="249">
        <v>3.9451720947072801</v>
      </c>
      <c r="R9" s="249"/>
      <c r="AF9" t="s">
        <v>202</v>
      </c>
      <c r="AG9" s="250">
        <v>4.3750000000000382</v>
      </c>
      <c r="AH9" s="250">
        <v>56.59</v>
      </c>
      <c r="AI9" s="249">
        <v>12.41495316</v>
      </c>
      <c r="AJ9" s="249">
        <v>12.41495316</v>
      </c>
      <c r="AK9" s="249">
        <v>10.979372994666599</v>
      </c>
    </row>
    <row r="10" spans="1:37" x14ac:dyDescent="0.25">
      <c r="A10" s="231" t="s">
        <v>190</v>
      </c>
      <c r="B10" s="2">
        <v>200</v>
      </c>
      <c r="C10" s="14">
        <v>0.23630000000000001</v>
      </c>
      <c r="D10" s="14">
        <v>0.2366</v>
      </c>
      <c r="E10" s="2">
        <f t="shared" si="0"/>
        <v>2.9999999999999472E-4</v>
      </c>
      <c r="F10" s="149">
        <f t="shared" si="1"/>
        <v>1.4999999999999736</v>
      </c>
      <c r="G10" s="149"/>
      <c r="H10" s="232"/>
      <c r="I10" s="31"/>
      <c r="J10" s="234">
        <v>3.0259999999999998</v>
      </c>
      <c r="K10" s="2">
        <v>203</v>
      </c>
      <c r="L10" s="233">
        <v>45033.354166666664</v>
      </c>
      <c r="M10" s="249">
        <v>6.35951492499977</v>
      </c>
      <c r="N10" s="249"/>
      <c r="O10" s="249">
        <v>6.35951492499977</v>
      </c>
      <c r="P10" s="249"/>
      <c r="Q10" s="249">
        <v>3.9456943560655802</v>
      </c>
      <c r="R10" s="249"/>
      <c r="AF10" t="s">
        <v>242</v>
      </c>
      <c r="AG10" s="250">
        <v>41.999999999999993</v>
      </c>
      <c r="AH10" s="250">
        <v>63.56</v>
      </c>
      <c r="AI10" s="249">
        <v>43.856735999999998</v>
      </c>
      <c r="AJ10" s="249">
        <v>43.856735999999998</v>
      </c>
      <c r="AK10" s="249">
        <v>38.639293733333297</v>
      </c>
    </row>
    <row r="11" spans="1:37" ht="13.15" customHeight="1" x14ac:dyDescent="0.25">
      <c r="A11" s="231" t="s">
        <v>191</v>
      </c>
      <c r="B11" s="2">
        <v>200</v>
      </c>
      <c r="C11" s="14">
        <v>0.23549999999999999</v>
      </c>
      <c r="D11" s="14">
        <v>0.2366</v>
      </c>
      <c r="E11" s="2">
        <f t="shared" si="0"/>
        <v>1.1000000000000176E-3</v>
      </c>
      <c r="F11" s="149">
        <f t="shared" si="1"/>
        <v>5.5000000000000879</v>
      </c>
      <c r="G11" s="149"/>
      <c r="H11" s="232"/>
      <c r="I11" s="31"/>
      <c r="J11" s="234">
        <v>3.0910000000000002</v>
      </c>
      <c r="K11" s="2">
        <v>204</v>
      </c>
      <c r="L11" s="233">
        <v>45033.520833333336</v>
      </c>
      <c r="M11" s="249">
        <v>5.28249032</v>
      </c>
      <c r="N11" s="249"/>
      <c r="O11" s="249">
        <v>5.28249032</v>
      </c>
      <c r="P11" s="249"/>
      <c r="Q11" s="249">
        <v>4.8290856666666597</v>
      </c>
      <c r="R11" s="249"/>
      <c r="AF11" t="s">
        <v>243</v>
      </c>
      <c r="AG11" s="250">
        <v>17.419354838709729</v>
      </c>
      <c r="AH11" s="250">
        <v>85.89</v>
      </c>
      <c r="AI11" s="249">
        <v>16.958527199999999</v>
      </c>
      <c r="AJ11" s="249">
        <v>16.958527199999999</v>
      </c>
      <c r="AK11" s="249">
        <v>21.475960133333299</v>
      </c>
    </row>
    <row r="12" spans="1:37" x14ac:dyDescent="0.25">
      <c r="A12" s="231" t="s">
        <v>192</v>
      </c>
      <c r="B12" s="2">
        <v>190</v>
      </c>
      <c r="C12" s="14">
        <v>0.23780000000000001</v>
      </c>
      <c r="D12" s="14">
        <v>0.2422</v>
      </c>
      <c r="E12" s="2">
        <f t="shared" si="0"/>
        <v>4.3999999999999873E-3</v>
      </c>
      <c r="F12" s="149">
        <f t="shared" si="1"/>
        <v>23.157894736842042</v>
      </c>
      <c r="G12" s="2">
        <v>106.21</v>
      </c>
      <c r="H12" s="232"/>
      <c r="I12" s="31"/>
      <c r="J12" s="234">
        <v>3.206</v>
      </c>
      <c r="K12" s="2">
        <v>205</v>
      </c>
      <c r="L12" s="233">
        <v>45033.6875</v>
      </c>
      <c r="M12" s="249"/>
      <c r="N12" s="249">
        <v>0.60768966400000002</v>
      </c>
      <c r="O12" s="249"/>
      <c r="P12" s="249">
        <v>0.60768966400000002</v>
      </c>
      <c r="Q12" s="249"/>
      <c r="R12" s="249">
        <v>0.75582086533333404</v>
      </c>
      <c r="AF12" t="s">
        <v>246</v>
      </c>
      <c r="AG12" s="250">
        <v>6.000000000000079</v>
      </c>
      <c r="AH12" s="250">
        <v>50.13</v>
      </c>
      <c r="AI12" s="249">
        <v>13.655055599999899</v>
      </c>
      <c r="AJ12" s="249">
        <v>13.655055599999899</v>
      </c>
      <c r="AK12" s="249">
        <v>16.170986133333301</v>
      </c>
    </row>
    <row r="13" spans="1:37" ht="16.149999999999999" customHeight="1" x14ac:dyDescent="0.25">
      <c r="A13" s="231" t="s">
        <v>193</v>
      </c>
      <c r="B13" s="2">
        <v>200</v>
      </c>
      <c r="C13" s="14">
        <v>0.23519999999999999</v>
      </c>
      <c r="D13" s="14">
        <v>0.2382</v>
      </c>
      <c r="E13" s="2">
        <f t="shared" si="0"/>
        <v>3.0000000000000027E-3</v>
      </c>
      <c r="F13" s="149">
        <f t="shared" si="1"/>
        <v>15.000000000000014</v>
      </c>
      <c r="G13" s="2">
        <v>51.232999999999997</v>
      </c>
      <c r="H13" s="232"/>
      <c r="I13" s="31"/>
      <c r="J13" s="234">
        <v>3.6629999999999998</v>
      </c>
      <c r="K13" s="2">
        <v>206</v>
      </c>
      <c r="L13" s="233">
        <v>45033.854166666664</v>
      </c>
      <c r="M13" s="249"/>
      <c r="N13" s="249">
        <v>0.67526825599999996</v>
      </c>
      <c r="O13" s="249"/>
      <c r="P13" s="249">
        <v>0.67526825599999996</v>
      </c>
      <c r="Q13" s="249">
        <v>17.909116588666599</v>
      </c>
      <c r="R13" s="249">
        <v>0.91088503333333404</v>
      </c>
      <c r="AF13" t="s">
        <v>247</v>
      </c>
      <c r="AG13" s="250">
        <v>22.142857142857082</v>
      </c>
      <c r="AH13" s="250">
        <v>44.99</v>
      </c>
      <c r="AI13" s="249">
        <v>22.0529236</v>
      </c>
      <c r="AJ13" s="249">
        <v>22.0529236</v>
      </c>
      <c r="AK13" s="249"/>
    </row>
    <row r="14" spans="1:37" x14ac:dyDescent="0.25">
      <c r="A14" s="231" t="s">
        <v>195</v>
      </c>
      <c r="B14" s="2">
        <v>190</v>
      </c>
      <c r="C14" s="14">
        <v>0.23599999999999999</v>
      </c>
      <c r="D14" s="14">
        <v>0.23769999999999999</v>
      </c>
      <c r="E14" s="2">
        <f t="shared" si="0"/>
        <v>1.7000000000000071E-3</v>
      </c>
      <c r="F14" s="149">
        <f t="shared" si="1"/>
        <v>8.9473684210526692</v>
      </c>
      <c r="G14" s="2">
        <v>59.16</v>
      </c>
      <c r="H14" s="30">
        <f>0.009677027797625*27.38</f>
        <v>0.26495702109897251</v>
      </c>
      <c r="I14" s="236">
        <f>H14/B14*1000</f>
        <v>1.3945106373630132</v>
      </c>
      <c r="J14" s="234">
        <v>3.806</v>
      </c>
      <c r="K14" s="2">
        <v>222</v>
      </c>
      <c r="L14" s="233">
        <v>45034.020833333336</v>
      </c>
      <c r="M14" s="249">
        <v>12.815805599999999</v>
      </c>
      <c r="N14" s="249">
        <v>0.66271287999999995</v>
      </c>
      <c r="O14" s="249">
        <v>12.815805599999999</v>
      </c>
      <c r="P14" s="249">
        <v>0.66271287999999995</v>
      </c>
      <c r="Q14" s="249">
        <v>12.5026276</v>
      </c>
      <c r="R14" s="249">
        <v>0.88109358000000004</v>
      </c>
      <c r="AF14" t="s">
        <v>248</v>
      </c>
      <c r="AG14" s="250">
        <v>10.000000000000009</v>
      </c>
      <c r="AH14" s="250">
        <v>35.729999999999997</v>
      </c>
      <c r="AI14" s="249">
        <v>12.440960799999999</v>
      </c>
      <c r="AJ14" s="249">
        <v>12.440960799999999</v>
      </c>
      <c r="AK14" s="249">
        <v>12.641193039999999</v>
      </c>
    </row>
    <row r="15" spans="1:37" x14ac:dyDescent="0.25">
      <c r="A15" s="231" t="s">
        <v>194</v>
      </c>
      <c r="B15" s="2">
        <v>200</v>
      </c>
      <c r="C15" s="14">
        <v>0.2341</v>
      </c>
      <c r="D15" s="14">
        <v>0.23599999999999999</v>
      </c>
      <c r="E15" s="2">
        <f>D15-C15</f>
        <v>1.899999999999985E-3</v>
      </c>
      <c r="F15" s="149">
        <f>E15/B15*1000*1000</f>
        <v>9.4999999999999254</v>
      </c>
      <c r="G15" s="2">
        <v>48.47</v>
      </c>
      <c r="H15" s="30"/>
      <c r="I15" s="236"/>
      <c r="J15" s="234">
        <v>3.391</v>
      </c>
      <c r="K15" s="2">
        <v>207</v>
      </c>
      <c r="L15" s="233">
        <v>45034.1875</v>
      </c>
      <c r="M15" s="249">
        <v>12.0457119999999</v>
      </c>
      <c r="N15" s="249">
        <v>0.63474413999999901</v>
      </c>
      <c r="O15" s="249">
        <v>12.0457119999999</v>
      </c>
      <c r="P15" s="249">
        <v>0.63474413999999901</v>
      </c>
      <c r="Q15" s="249">
        <v>12.258317999999999</v>
      </c>
      <c r="R15" s="249">
        <v>0.81627632400000005</v>
      </c>
      <c r="AF15" t="s">
        <v>249</v>
      </c>
      <c r="AG15" s="250">
        <v>6.4285714285713151</v>
      </c>
      <c r="AH15" s="250">
        <v>31.62</v>
      </c>
      <c r="AI15" s="249">
        <v>9.0430761999999998</v>
      </c>
      <c r="AJ15" s="249">
        <v>9.0430761999999998</v>
      </c>
      <c r="AK15" s="249">
        <v>10.0303982666666</v>
      </c>
    </row>
    <row r="16" spans="1:37" x14ac:dyDescent="0.25">
      <c r="A16" s="231" t="s">
        <v>196</v>
      </c>
      <c r="B16" s="2">
        <v>210</v>
      </c>
      <c r="C16" s="14">
        <v>0.2311</v>
      </c>
      <c r="D16" s="14">
        <v>0.23200000000000001</v>
      </c>
      <c r="E16" s="2">
        <f t="shared" ref="E16:E78" si="2">D16-C16</f>
        <v>9.000000000000119E-4</v>
      </c>
      <c r="F16" s="149">
        <f t="shared" ref="F16:F78" si="3">E16/B16*1000*1000</f>
        <v>4.2857142857143424</v>
      </c>
      <c r="G16" s="2">
        <v>0</v>
      </c>
      <c r="H16" s="14"/>
      <c r="I16" s="236"/>
      <c r="J16" s="234">
        <v>3.3119999999999998</v>
      </c>
      <c r="K16" s="2">
        <v>223</v>
      </c>
      <c r="L16" s="233">
        <v>45034.354166666664</v>
      </c>
      <c r="M16" s="249">
        <v>10.67219704</v>
      </c>
      <c r="N16" s="249">
        <v>0.62033358800000005</v>
      </c>
      <c r="O16" s="249">
        <v>10.67219704</v>
      </c>
      <c r="P16" s="249">
        <v>0.62033358800000005</v>
      </c>
      <c r="Q16" s="249">
        <v>12.736497399999999</v>
      </c>
      <c r="R16" s="249">
        <v>0.76243800799999994</v>
      </c>
      <c r="AF16" t="s">
        <v>250</v>
      </c>
      <c r="AG16" s="250">
        <v>18.000000000000053</v>
      </c>
      <c r="AH16" s="250">
        <v>25.42</v>
      </c>
      <c r="AI16" s="249">
        <v>11.007816999999999</v>
      </c>
      <c r="AJ16" s="249">
        <v>11.007816999999999</v>
      </c>
      <c r="AK16" s="249"/>
    </row>
    <row r="17" spans="1:37" x14ac:dyDescent="0.25">
      <c r="A17" s="231" t="s">
        <v>197</v>
      </c>
      <c r="B17" s="2"/>
      <c r="C17" s="14"/>
      <c r="D17" s="14"/>
      <c r="E17" s="2"/>
      <c r="F17" s="149"/>
      <c r="G17" s="2">
        <v>0</v>
      </c>
      <c r="H17" s="30"/>
      <c r="I17" s="236"/>
      <c r="J17" s="234">
        <v>3.3530000000000002</v>
      </c>
      <c r="K17" s="2">
        <v>224</v>
      </c>
      <c r="L17" s="233">
        <v>45034.520833333336</v>
      </c>
      <c r="M17" s="249">
        <v>12.4510858</v>
      </c>
      <c r="N17" s="249">
        <v>0.57870333600000001</v>
      </c>
      <c r="O17" s="249">
        <v>12.4510858</v>
      </c>
      <c r="P17" s="249">
        <v>0.57870333600000001</v>
      </c>
      <c r="Q17" s="249">
        <v>11.8006866866666</v>
      </c>
      <c r="R17" s="249">
        <v>0.67033505466666699</v>
      </c>
      <c r="AF17" t="s">
        <v>254</v>
      </c>
      <c r="AG17" s="250">
        <v>20.666666666666611</v>
      </c>
      <c r="AH17" s="250">
        <v>68.760000000000005</v>
      </c>
      <c r="AI17" s="249">
        <v>20.03069</v>
      </c>
      <c r="AJ17" s="249">
        <v>20.03069</v>
      </c>
      <c r="AK17" s="249">
        <v>22.228124099999999</v>
      </c>
    </row>
    <row r="18" spans="1:37" x14ac:dyDescent="0.25">
      <c r="A18" s="231" t="s">
        <v>198</v>
      </c>
      <c r="B18" s="2">
        <v>200</v>
      </c>
      <c r="C18" s="14">
        <v>0.23069999999999999</v>
      </c>
      <c r="D18" s="14">
        <v>0.23530000000000001</v>
      </c>
      <c r="E18" s="2">
        <f t="shared" si="2"/>
        <v>4.6000000000000207E-3</v>
      </c>
      <c r="F18" s="149">
        <f t="shared" si="3"/>
        <v>23.000000000000103</v>
      </c>
      <c r="G18" s="2">
        <v>78.709999999999994</v>
      </c>
      <c r="H18" s="30"/>
      <c r="I18" s="236"/>
      <c r="J18" s="234">
        <v>3.5139999999999998</v>
      </c>
      <c r="K18" s="2">
        <v>225</v>
      </c>
      <c r="L18" s="233">
        <v>45034.6875</v>
      </c>
      <c r="M18" s="249">
        <v>21.1627592</v>
      </c>
      <c r="N18" s="249">
        <v>0.64280018799999905</v>
      </c>
      <c r="O18" s="249">
        <v>21.1627592</v>
      </c>
      <c r="P18" s="249">
        <v>0.64280018799999905</v>
      </c>
      <c r="Q18" s="249">
        <v>25.906272033333298</v>
      </c>
      <c r="R18" s="249">
        <v>0.81158337733333397</v>
      </c>
      <c r="AF18" t="s">
        <v>255</v>
      </c>
      <c r="AG18" s="250">
        <v>11.87500000000008</v>
      </c>
      <c r="AH18" s="250">
        <v>50.92</v>
      </c>
      <c r="AI18" s="249">
        <v>10.664316599999999</v>
      </c>
      <c r="AJ18" s="249">
        <v>10.664316599999999</v>
      </c>
      <c r="AK18" s="249">
        <v>12.378681706666599</v>
      </c>
    </row>
    <row r="19" spans="1:37" x14ac:dyDescent="0.25">
      <c r="A19" s="231" t="s">
        <v>199</v>
      </c>
      <c r="B19" s="2">
        <v>200</v>
      </c>
      <c r="C19" s="14">
        <v>0.22900000000000001</v>
      </c>
      <c r="D19" s="14">
        <v>0.23200000000000001</v>
      </c>
      <c r="E19" s="2">
        <f t="shared" si="2"/>
        <v>3.0000000000000027E-3</v>
      </c>
      <c r="F19" s="149">
        <f t="shared" si="3"/>
        <v>15.000000000000014</v>
      </c>
      <c r="G19" s="2">
        <v>45.42</v>
      </c>
      <c r="H19" s="30"/>
      <c r="I19" s="236"/>
      <c r="J19" s="234">
        <v>3.6539999999999999</v>
      </c>
      <c r="K19" s="2">
        <v>226</v>
      </c>
      <c r="L19" s="233">
        <v>45034.895833333336</v>
      </c>
      <c r="M19" s="249">
        <v>14.5804768</v>
      </c>
      <c r="N19" s="249">
        <v>0.75155197200000001</v>
      </c>
      <c r="O19" s="249">
        <v>14.5804768</v>
      </c>
      <c r="P19" s="249">
        <v>0.75155197200000001</v>
      </c>
      <c r="Q19" s="249">
        <v>15.555403466666601</v>
      </c>
      <c r="R19" s="249">
        <v>0.95340234000000001</v>
      </c>
      <c r="AF19" t="s">
        <v>259</v>
      </c>
      <c r="AG19" s="250">
        <v>9.3333333333334156</v>
      </c>
      <c r="AH19" s="250">
        <v>33.08</v>
      </c>
      <c r="AI19" s="249">
        <v>9.9651312127999994</v>
      </c>
      <c r="AJ19" s="249">
        <v>9.9651312127999994</v>
      </c>
      <c r="AK19" s="249">
        <v>9.3933083066666594</v>
      </c>
    </row>
    <row r="20" spans="1:37" x14ac:dyDescent="0.25">
      <c r="A20" s="231" t="s">
        <v>200</v>
      </c>
      <c r="B20" s="2">
        <v>220</v>
      </c>
      <c r="C20" s="14">
        <v>0.22850000000000001</v>
      </c>
      <c r="D20" s="14">
        <v>0.23050000000000001</v>
      </c>
      <c r="E20" s="2">
        <f t="shared" si="2"/>
        <v>2.0000000000000018E-3</v>
      </c>
      <c r="F20" s="149">
        <f t="shared" si="3"/>
        <v>9.0909090909090988</v>
      </c>
      <c r="G20" s="2">
        <v>74.75</v>
      </c>
      <c r="H20" s="30"/>
      <c r="I20" s="236"/>
      <c r="J20" s="234">
        <v>3.5760000000000001</v>
      </c>
      <c r="K20" s="2">
        <v>227</v>
      </c>
      <c r="L20" s="233">
        <v>45035.104166666664</v>
      </c>
      <c r="M20" s="249">
        <v>12.4211408</v>
      </c>
      <c r="N20" s="249">
        <v>0.68398085200000003</v>
      </c>
      <c r="O20" s="249">
        <v>12.4211408</v>
      </c>
      <c r="P20" s="249">
        <v>0.68398085200000003</v>
      </c>
      <c r="Q20" s="249">
        <v>12.1499004</v>
      </c>
      <c r="R20" s="249">
        <v>0.86879868266666704</v>
      </c>
      <c r="AF20" t="s">
        <v>260</v>
      </c>
      <c r="AG20" s="250">
        <v>7.1428571428571495</v>
      </c>
      <c r="AH20" s="250">
        <v>77.489999999999995</v>
      </c>
      <c r="AI20" s="249">
        <v>8.4859850784000006</v>
      </c>
      <c r="AJ20" s="249">
        <v>8.4859850784000006</v>
      </c>
      <c r="AK20" s="249">
        <v>7.5067932800000001</v>
      </c>
    </row>
    <row r="21" spans="1:37" x14ac:dyDescent="0.25">
      <c r="A21" s="231" t="s">
        <v>201</v>
      </c>
      <c r="B21" s="2">
        <v>200</v>
      </c>
      <c r="C21" s="14">
        <v>0.23469999999999999</v>
      </c>
      <c r="D21" s="14">
        <v>0.23619999999999999</v>
      </c>
      <c r="E21" s="2">
        <f t="shared" si="2"/>
        <v>1.5000000000000013E-3</v>
      </c>
      <c r="F21" s="149">
        <f t="shared" si="3"/>
        <v>7.5000000000000071</v>
      </c>
      <c r="G21" s="2">
        <v>0</v>
      </c>
      <c r="H21" s="30"/>
      <c r="I21" s="236"/>
      <c r="J21" s="234">
        <v>3.3889999999999998</v>
      </c>
      <c r="K21" s="2">
        <v>228</v>
      </c>
      <c r="L21" s="233">
        <v>45035.3125</v>
      </c>
      <c r="M21" s="249">
        <v>10.916756999999899</v>
      </c>
      <c r="N21" s="249">
        <v>0.63628065999999905</v>
      </c>
      <c r="O21" s="249">
        <v>10.916756999999899</v>
      </c>
      <c r="P21" s="249">
        <v>0.63628065999999905</v>
      </c>
      <c r="Q21" s="249">
        <v>11.5306084666666</v>
      </c>
      <c r="R21" s="249">
        <v>0.78447287466666704</v>
      </c>
      <c r="AF21" t="s">
        <v>261</v>
      </c>
      <c r="AG21" s="250">
        <v>16.000000000000043</v>
      </c>
      <c r="AH21" s="250">
        <v>103.31</v>
      </c>
      <c r="AI21" s="249"/>
      <c r="AJ21" s="249"/>
      <c r="AK21" s="249"/>
    </row>
    <row r="22" spans="1:37" x14ac:dyDescent="0.25">
      <c r="A22" s="231" t="s">
        <v>202</v>
      </c>
      <c r="B22" s="2">
        <v>160</v>
      </c>
      <c r="C22" s="14">
        <v>0.2354</v>
      </c>
      <c r="D22" s="14">
        <v>0.2361</v>
      </c>
      <c r="E22" s="2">
        <f t="shared" si="2"/>
        <v>7.0000000000000617E-4</v>
      </c>
      <c r="F22" s="149">
        <f t="shared" si="3"/>
        <v>4.3750000000000382</v>
      </c>
      <c r="G22" s="2">
        <v>56.59</v>
      </c>
      <c r="H22" s="30"/>
      <c r="I22" s="236"/>
      <c r="J22" s="234">
        <v>3.226</v>
      </c>
      <c r="K22" s="2">
        <v>229</v>
      </c>
      <c r="L22" s="233">
        <v>45035.520833333336</v>
      </c>
      <c r="M22" s="249">
        <v>12.41495316</v>
      </c>
      <c r="N22" s="249">
        <v>0.60410145599999998</v>
      </c>
      <c r="O22" s="249">
        <v>12.41495316</v>
      </c>
      <c r="P22" s="249">
        <v>0.60410145599999998</v>
      </c>
      <c r="Q22" s="249">
        <v>10.979372994666599</v>
      </c>
      <c r="R22" s="249">
        <v>0.67365488266666695</v>
      </c>
      <c r="AF22" t="s">
        <v>262</v>
      </c>
      <c r="AG22" s="250">
        <v>0.49999999999994493</v>
      </c>
      <c r="AH22" s="250">
        <v>65.48</v>
      </c>
      <c r="AI22" s="249">
        <v>17.909116588666599</v>
      </c>
      <c r="AJ22" s="249"/>
      <c r="AK22" s="249">
        <v>17.909116588666599</v>
      </c>
    </row>
    <row r="23" spans="1:37" x14ac:dyDescent="0.25">
      <c r="A23" s="231" t="s">
        <v>203</v>
      </c>
      <c r="B23" s="2">
        <v>150</v>
      </c>
      <c r="C23" s="14">
        <v>0.23499999999999999</v>
      </c>
      <c r="D23" s="14"/>
      <c r="E23" s="2"/>
      <c r="F23" s="149"/>
      <c r="G23" s="2">
        <v>0</v>
      </c>
      <c r="H23" s="30"/>
      <c r="I23" s="236"/>
      <c r="J23" s="234">
        <v>3.552</v>
      </c>
      <c r="K23" s="2">
        <v>230</v>
      </c>
      <c r="L23" s="233">
        <v>45036.666666666664</v>
      </c>
      <c r="M23" s="249">
        <v>10.38733716</v>
      </c>
      <c r="N23" s="249">
        <v>0.59383253599999997</v>
      </c>
      <c r="O23" s="249">
        <v>10.38733716</v>
      </c>
      <c r="P23" s="249">
        <v>0.59383253599999997</v>
      </c>
      <c r="Q23" s="249">
        <v>10.915366333333299</v>
      </c>
      <c r="R23" s="249">
        <v>0.66390772799999997</v>
      </c>
      <c r="AF23" t="s">
        <v>263</v>
      </c>
      <c r="AG23" s="250">
        <v>6.3157894736842453</v>
      </c>
      <c r="AH23" s="250">
        <v>73.680000000000007</v>
      </c>
      <c r="AI23" s="249">
        <v>12.5026276</v>
      </c>
      <c r="AJ23" s="249">
        <v>12.815805599999999</v>
      </c>
      <c r="AK23" s="249">
        <v>12.5026276</v>
      </c>
    </row>
    <row r="24" spans="1:37" x14ac:dyDescent="0.25">
      <c r="A24" s="231" t="s">
        <v>204</v>
      </c>
      <c r="B24" s="2">
        <v>160</v>
      </c>
      <c r="C24" s="14">
        <v>0.23730000000000001</v>
      </c>
      <c r="D24" s="14">
        <v>0.2382</v>
      </c>
      <c r="E24" s="2">
        <f t="shared" si="2"/>
        <v>8.9999999999998415E-4</v>
      </c>
      <c r="F24" s="149">
        <f t="shared" si="3"/>
        <v>5.6249999999999005</v>
      </c>
      <c r="G24" s="2">
        <v>0</v>
      </c>
      <c r="H24" s="30"/>
      <c r="I24" s="236"/>
      <c r="J24" s="234">
        <v>3.323</v>
      </c>
      <c r="K24" s="2">
        <v>231</v>
      </c>
      <c r="L24" s="233">
        <v>45036.770833333336</v>
      </c>
      <c r="M24" s="249">
        <v>9.4103997199999991</v>
      </c>
      <c r="N24" s="249">
        <v>0.61654414000000002</v>
      </c>
      <c r="O24" s="249">
        <v>9.4103997199999991</v>
      </c>
      <c r="P24" s="249">
        <v>0.61654414000000002</v>
      </c>
      <c r="Q24" s="249">
        <v>11.4034091866666</v>
      </c>
      <c r="R24" s="249">
        <v>0.69074627200000005</v>
      </c>
      <c r="AF24" t="s">
        <v>267</v>
      </c>
      <c r="AG24" s="250">
        <v>21.499999999999993</v>
      </c>
      <c r="AH24" s="250">
        <v>93.48</v>
      </c>
      <c r="AI24" s="249">
        <v>25.906272033333298</v>
      </c>
      <c r="AJ24" s="249">
        <v>21.1627592</v>
      </c>
      <c r="AK24" s="249">
        <v>25.906272033333298</v>
      </c>
    </row>
    <row r="25" spans="1:37" x14ac:dyDescent="0.25">
      <c r="A25" s="231" t="s">
        <v>205</v>
      </c>
      <c r="B25" s="2">
        <v>150</v>
      </c>
      <c r="C25" s="14">
        <v>0.23599999999999999</v>
      </c>
      <c r="D25" s="14">
        <v>0.23699999999999999</v>
      </c>
      <c r="E25" s="2">
        <f t="shared" si="2"/>
        <v>1.0000000000000009E-3</v>
      </c>
      <c r="F25" s="149">
        <f t="shared" si="3"/>
        <v>6.6666666666666723</v>
      </c>
      <c r="G25" s="2">
        <v>0</v>
      </c>
      <c r="H25" s="30"/>
      <c r="I25" s="236"/>
      <c r="J25" s="234">
        <v>3.3159999999999998</v>
      </c>
      <c r="K25" s="2">
        <v>232</v>
      </c>
      <c r="L25" s="233">
        <v>45036.979166666664</v>
      </c>
      <c r="M25" s="249">
        <v>8.6639274400000001</v>
      </c>
      <c r="N25" s="249">
        <v>0.59535333199999996</v>
      </c>
      <c r="O25" s="249">
        <v>8.6639274400000001</v>
      </c>
      <c r="P25" s="249">
        <v>0.59535333199999996</v>
      </c>
      <c r="Q25" s="249">
        <v>10.587694328</v>
      </c>
      <c r="R25" s="249">
        <v>0.66556153733333401</v>
      </c>
      <c r="AF25" t="s">
        <v>268</v>
      </c>
      <c r="AG25" s="250">
        <v>11.05263157894732</v>
      </c>
      <c r="AH25" s="250">
        <v>53.79</v>
      </c>
      <c r="AI25" s="249">
        <v>15.555403466666601</v>
      </c>
      <c r="AJ25" s="249">
        <v>14.5804768</v>
      </c>
      <c r="AK25" s="249">
        <v>15.555403466666601</v>
      </c>
    </row>
    <row r="26" spans="1:37" x14ac:dyDescent="0.25">
      <c r="A26" s="231" t="s">
        <v>206</v>
      </c>
      <c r="B26" s="2"/>
      <c r="C26" s="14">
        <v>0.2349</v>
      </c>
      <c r="D26" s="14">
        <v>0.23580000000000001</v>
      </c>
      <c r="E26" s="2">
        <f t="shared" si="2"/>
        <v>9.000000000000119E-4</v>
      </c>
      <c r="F26" s="149"/>
      <c r="G26" s="2">
        <v>0</v>
      </c>
      <c r="H26" s="30"/>
      <c r="I26" s="236"/>
      <c r="J26" s="234">
        <v>3.2069999999999999</v>
      </c>
      <c r="K26" s="2">
        <v>233</v>
      </c>
      <c r="L26" s="233">
        <v>45037.1875</v>
      </c>
      <c r="M26" s="249">
        <v>8.1745655151999994</v>
      </c>
      <c r="N26" s="249">
        <v>0.57885261200000004</v>
      </c>
      <c r="O26" s="249">
        <v>8.1745655151999994</v>
      </c>
      <c r="P26" s="249">
        <v>0.57885261200000004</v>
      </c>
      <c r="Q26" s="249">
        <v>8.1144903866666596</v>
      </c>
      <c r="R26" s="249">
        <v>0.64485797333333394</v>
      </c>
      <c r="AF26" t="s">
        <v>269</v>
      </c>
      <c r="AG26" s="250">
        <v>17.999999999999961</v>
      </c>
      <c r="AH26" s="250">
        <v>47.58</v>
      </c>
      <c r="AI26" s="249">
        <v>12.1499004</v>
      </c>
      <c r="AJ26" s="249">
        <v>12.4211408</v>
      </c>
      <c r="AK26" s="249">
        <v>12.1499004</v>
      </c>
    </row>
    <row r="27" spans="1:37" x14ac:dyDescent="0.25">
      <c r="A27" s="231" t="s">
        <v>207</v>
      </c>
      <c r="B27" s="2"/>
      <c r="C27" s="14">
        <v>0.23780000000000001</v>
      </c>
      <c r="D27" s="14">
        <v>0.23880000000000001</v>
      </c>
      <c r="E27" s="2">
        <f t="shared" si="2"/>
        <v>1.0000000000000009E-3</v>
      </c>
      <c r="F27" s="149"/>
      <c r="G27" s="2">
        <v>27.23</v>
      </c>
      <c r="H27" s="30"/>
      <c r="I27" s="236"/>
      <c r="J27" s="234">
        <v>3.153</v>
      </c>
      <c r="K27" s="2">
        <v>234</v>
      </c>
      <c r="L27" s="233">
        <v>45037.395833333336</v>
      </c>
      <c r="M27" s="249">
        <v>8.8986113000000007</v>
      </c>
      <c r="N27" s="249">
        <v>0.56270766400000005</v>
      </c>
      <c r="O27" s="249">
        <v>8.8986113000000007</v>
      </c>
      <c r="P27" s="249">
        <v>0.56270766400000005</v>
      </c>
      <c r="Q27" s="249">
        <v>8.4315058493333304</v>
      </c>
      <c r="R27" s="249">
        <v>0.62673250666666702</v>
      </c>
      <c r="AF27" t="s">
        <v>270</v>
      </c>
      <c r="AG27" s="250">
        <v>6.4999999999999778</v>
      </c>
      <c r="AH27" s="250">
        <v>30.72</v>
      </c>
      <c r="AI27" s="249">
        <v>11.5306084666666</v>
      </c>
      <c r="AJ27" s="249">
        <v>10.916756999999899</v>
      </c>
      <c r="AK27" s="249">
        <v>11.5306084666666</v>
      </c>
    </row>
    <row r="28" spans="1:37" x14ac:dyDescent="0.25">
      <c r="A28" s="231" t="s">
        <v>208</v>
      </c>
      <c r="B28" s="2"/>
      <c r="C28" s="14">
        <v>0.23649999999999999</v>
      </c>
      <c r="D28" s="14">
        <v>0.23719999999999999</v>
      </c>
      <c r="E28" s="2">
        <f t="shared" si="2"/>
        <v>7.0000000000000617E-4</v>
      </c>
      <c r="F28" s="149"/>
      <c r="G28" s="2">
        <v>0</v>
      </c>
      <c r="H28" s="30"/>
      <c r="I28" s="236"/>
      <c r="J28" s="234">
        <v>3.2869999999999999</v>
      </c>
      <c r="K28" s="2">
        <v>235</v>
      </c>
      <c r="L28" s="233">
        <v>45037.604166666664</v>
      </c>
      <c r="M28" s="249">
        <v>8.95110431999999</v>
      </c>
      <c r="N28" s="249">
        <v>0.55456220000000001</v>
      </c>
      <c r="O28" s="249">
        <v>8.95110431999999</v>
      </c>
      <c r="P28" s="249">
        <v>0.55456220000000001</v>
      </c>
      <c r="Q28" s="249">
        <v>10.6954302066666</v>
      </c>
      <c r="R28" s="249">
        <v>0.61314624799999995</v>
      </c>
      <c r="AF28" t="s">
        <v>273</v>
      </c>
      <c r="AG28" s="250">
        <v>5.9999999999998943</v>
      </c>
      <c r="AH28" s="250">
        <v>22.36</v>
      </c>
      <c r="AI28" s="249">
        <v>11.7061532666666</v>
      </c>
      <c r="AJ28" s="249">
        <v>11.1057975</v>
      </c>
      <c r="AK28" s="249">
        <v>11.7061532666666</v>
      </c>
    </row>
    <row r="29" spans="1:37" x14ac:dyDescent="0.25">
      <c r="A29" s="231" t="s">
        <v>209</v>
      </c>
      <c r="B29" s="2">
        <v>145</v>
      </c>
      <c r="C29" s="2">
        <v>0.2306</v>
      </c>
      <c r="D29" s="2">
        <v>0.2321</v>
      </c>
      <c r="E29" s="2">
        <f t="shared" si="2"/>
        <v>1.5000000000000013E-3</v>
      </c>
      <c r="F29" s="149">
        <f t="shared" si="3"/>
        <v>10.344827586206906</v>
      </c>
      <c r="G29" s="2">
        <v>0</v>
      </c>
      <c r="H29" s="30"/>
      <c r="I29" s="236"/>
      <c r="J29" s="234">
        <v>3.2440000000000002</v>
      </c>
      <c r="K29" s="2">
        <v>254</v>
      </c>
      <c r="L29" s="233">
        <v>45039.666666666664</v>
      </c>
      <c r="M29" s="249">
        <v>9.3171799199999992</v>
      </c>
      <c r="N29" s="249">
        <v>0.60670676400000001</v>
      </c>
      <c r="O29" s="249">
        <v>9.3171799199999992</v>
      </c>
      <c r="P29" s="249">
        <v>0.60670676400000001</v>
      </c>
      <c r="Q29" s="249">
        <v>11.7693315333333</v>
      </c>
      <c r="R29" s="249">
        <v>0.67674274266666701</v>
      </c>
      <c r="AF29" t="s">
        <v>274</v>
      </c>
      <c r="AG29" s="250">
        <v>8.888888888888836</v>
      </c>
      <c r="AH29" s="250">
        <v>30.83</v>
      </c>
      <c r="AI29" s="249">
        <v>10.3695922</v>
      </c>
      <c r="AJ29" s="249">
        <v>9.7756285599999995</v>
      </c>
      <c r="AK29" s="249">
        <v>10.3695922</v>
      </c>
    </row>
    <row r="30" spans="1:37" x14ac:dyDescent="0.25">
      <c r="A30" s="231" t="s">
        <v>210</v>
      </c>
      <c r="B30" s="2">
        <v>150</v>
      </c>
      <c r="C30" s="2">
        <v>0.2271</v>
      </c>
      <c r="D30" s="2">
        <v>0.22789999999999999</v>
      </c>
      <c r="E30" s="2">
        <f t="shared" si="2"/>
        <v>7.9999999999999516E-4</v>
      </c>
      <c r="F30" s="149">
        <f t="shared" si="3"/>
        <v>5.3333333333333011</v>
      </c>
      <c r="G30" s="2">
        <v>0</v>
      </c>
      <c r="H30" s="30"/>
      <c r="I30" s="236"/>
      <c r="J30" s="234">
        <v>3.3380000000000001</v>
      </c>
      <c r="K30" s="2">
        <v>255</v>
      </c>
      <c r="L30" s="233">
        <v>45039.875</v>
      </c>
      <c r="M30" s="249">
        <v>9.2401945999999899</v>
      </c>
      <c r="N30" s="249">
        <v>0.64345100399999999</v>
      </c>
      <c r="O30" s="249">
        <v>9.2401945999999899</v>
      </c>
      <c r="P30" s="249">
        <v>0.64345100399999999</v>
      </c>
      <c r="Q30" s="249">
        <v>7.3864227533333304</v>
      </c>
      <c r="R30" s="249">
        <v>0.76992602399999999</v>
      </c>
      <c r="AF30" t="s">
        <v>277</v>
      </c>
      <c r="AG30" s="250">
        <v>4.6666666666667078</v>
      </c>
      <c r="AH30" s="250">
        <v>24.91</v>
      </c>
      <c r="AI30" s="249">
        <v>10.587694328</v>
      </c>
      <c r="AJ30" s="249">
        <v>8.6639274400000001</v>
      </c>
      <c r="AK30" s="249">
        <v>10.587694328</v>
      </c>
    </row>
    <row r="31" spans="1:37" x14ac:dyDescent="0.25">
      <c r="A31" s="231" t="s">
        <v>211</v>
      </c>
      <c r="B31" s="2">
        <v>140</v>
      </c>
      <c r="C31" s="2">
        <v>0.2321</v>
      </c>
      <c r="D31" s="2">
        <v>0.23300000000000001</v>
      </c>
      <c r="E31" s="2">
        <f t="shared" si="2"/>
        <v>9.000000000000119E-4</v>
      </c>
      <c r="F31" s="149">
        <f t="shared" si="3"/>
        <v>6.4285714285715132</v>
      </c>
      <c r="G31" s="2">
        <v>0</v>
      </c>
      <c r="H31" s="30"/>
      <c r="I31" s="236"/>
      <c r="J31" s="234">
        <v>3.2010000000000001</v>
      </c>
      <c r="K31" s="2">
        <v>256</v>
      </c>
      <c r="L31" s="233">
        <v>45040.083333333336</v>
      </c>
      <c r="M31" s="249">
        <v>6.6271815599999897</v>
      </c>
      <c r="N31" s="249">
        <v>0.61361535199999995</v>
      </c>
      <c r="O31" s="249">
        <v>6.6271815599999897</v>
      </c>
      <c r="P31" s="249">
        <v>0.61361535199999995</v>
      </c>
      <c r="Q31" s="249">
        <v>8.16305281333333</v>
      </c>
      <c r="R31" s="249">
        <v>0.68208074266666696</v>
      </c>
      <c r="AF31" t="s">
        <v>280</v>
      </c>
      <c r="AG31" s="250">
        <v>17.857142857142676</v>
      </c>
      <c r="AH31" s="250">
        <v>67.13</v>
      </c>
      <c r="AI31" s="249">
        <v>11.028182213333301</v>
      </c>
      <c r="AJ31" s="249">
        <v>10.23910416</v>
      </c>
      <c r="AK31" s="249">
        <v>11.028182213333301</v>
      </c>
    </row>
    <row r="32" spans="1:37" x14ac:dyDescent="0.25">
      <c r="A32" s="231" t="s">
        <v>212</v>
      </c>
      <c r="B32" s="2">
        <v>140</v>
      </c>
      <c r="C32" s="2">
        <v>0.23480000000000001</v>
      </c>
      <c r="D32" s="2">
        <v>0.23569999999999999</v>
      </c>
      <c r="E32" s="2">
        <f t="shared" si="2"/>
        <v>8.9999999999998415E-4</v>
      </c>
      <c r="F32" s="149">
        <f t="shared" si="3"/>
        <v>6.4285714285713151</v>
      </c>
      <c r="G32" s="2">
        <v>0</v>
      </c>
      <c r="H32" s="30"/>
      <c r="I32" s="236"/>
      <c r="J32" s="234">
        <v>3.056</v>
      </c>
      <c r="K32" s="2">
        <v>257</v>
      </c>
      <c r="L32" s="233">
        <v>45040.291666666664</v>
      </c>
      <c r="M32" s="249">
        <v>6.83403183999999</v>
      </c>
      <c r="N32" s="249">
        <v>0.59474124799999994</v>
      </c>
      <c r="O32" s="249">
        <v>6.83403183999999</v>
      </c>
      <c r="P32" s="249">
        <v>0.59474124799999994</v>
      </c>
      <c r="Q32" s="249"/>
      <c r="R32" s="249">
        <v>0.65887905199999997</v>
      </c>
      <c r="AF32" t="s">
        <v>282</v>
      </c>
      <c r="AG32" s="250">
        <v>6.6666666666666723</v>
      </c>
      <c r="AH32" s="250">
        <v>51.68</v>
      </c>
      <c r="AI32" s="249">
        <v>7.7667874933333296</v>
      </c>
      <c r="AJ32" s="249">
        <v>7.6684761000000004</v>
      </c>
      <c r="AK32" s="249">
        <v>7.7667874933333296</v>
      </c>
    </row>
    <row r="33" spans="1:37" x14ac:dyDescent="0.25">
      <c r="A33" s="231" t="s">
        <v>213</v>
      </c>
      <c r="B33" s="2">
        <v>155</v>
      </c>
      <c r="C33" s="2">
        <v>0.2253</v>
      </c>
      <c r="D33" s="2">
        <v>0.22750000000000001</v>
      </c>
      <c r="E33" s="2">
        <f t="shared" si="2"/>
        <v>2.2000000000000075E-3</v>
      </c>
      <c r="F33" s="149">
        <f t="shared" si="3"/>
        <v>14.193548387096822</v>
      </c>
      <c r="G33" s="2">
        <v>0</v>
      </c>
      <c r="H33" s="30"/>
      <c r="I33" s="236"/>
      <c r="J33" s="234">
        <v>3.0910000000000002</v>
      </c>
      <c r="K33" s="2">
        <v>258</v>
      </c>
      <c r="L33" s="233">
        <v>45040.5</v>
      </c>
      <c r="M33" s="249">
        <v>8.1550506400000007</v>
      </c>
      <c r="N33" s="249">
        <v>0.54444331199999996</v>
      </c>
      <c r="O33" s="249">
        <v>8.1550506400000007</v>
      </c>
      <c r="P33" s="249">
        <v>0.54444331199999996</v>
      </c>
      <c r="Q33" s="249">
        <v>7.72098306</v>
      </c>
      <c r="R33" s="249">
        <v>0.62723157866666701</v>
      </c>
      <c r="AF33" t="s">
        <v>284</v>
      </c>
      <c r="AG33" s="250">
        <v>5.3333333333334858</v>
      </c>
      <c r="AH33" s="250">
        <v>57.56</v>
      </c>
      <c r="AI33" s="249">
        <v>9.6661808800000006</v>
      </c>
      <c r="AJ33" s="249">
        <v>11.663247200000001</v>
      </c>
      <c r="AK33" s="249">
        <v>9.6661808800000006</v>
      </c>
    </row>
    <row r="34" spans="1:37" x14ac:dyDescent="0.25">
      <c r="A34" s="231" t="s">
        <v>214</v>
      </c>
      <c r="B34" s="2">
        <v>95</v>
      </c>
      <c r="C34" s="2">
        <v>0.2382</v>
      </c>
      <c r="D34" s="2">
        <v>0.23960000000000001</v>
      </c>
      <c r="E34" s="2">
        <f t="shared" si="2"/>
        <v>1.4000000000000123E-3</v>
      </c>
      <c r="F34" s="149">
        <f t="shared" si="3"/>
        <v>14.736842105263287</v>
      </c>
      <c r="G34" s="2">
        <v>0</v>
      </c>
      <c r="H34" s="30"/>
      <c r="I34" s="236"/>
      <c r="J34" s="234">
        <v>3.26</v>
      </c>
      <c r="K34" s="2">
        <v>259</v>
      </c>
      <c r="L34" s="233">
        <v>45040.708333333336</v>
      </c>
      <c r="M34" s="249">
        <v>13.7088416</v>
      </c>
      <c r="N34" s="249">
        <v>0.67745766399999996</v>
      </c>
      <c r="O34" s="249">
        <v>13.7088416</v>
      </c>
      <c r="P34" s="249">
        <v>0.67745766399999996</v>
      </c>
      <c r="Q34" s="249">
        <v>12.273739984000001</v>
      </c>
      <c r="R34" s="249">
        <v>0.81189412133333405</v>
      </c>
      <c r="AF34" t="s">
        <v>285</v>
      </c>
      <c r="AG34" s="250">
        <v>8.0000000000000444</v>
      </c>
      <c r="AH34" s="250">
        <v>63.54</v>
      </c>
      <c r="AI34" s="249">
        <v>9.1230036933333292</v>
      </c>
      <c r="AJ34" s="249">
        <v>8.1688235799999998</v>
      </c>
      <c r="AK34" s="249">
        <v>9.1230036933333292</v>
      </c>
    </row>
    <row r="35" spans="1:37" x14ac:dyDescent="0.25">
      <c r="A35" s="231" t="s">
        <v>215</v>
      </c>
      <c r="B35" s="2">
        <v>95</v>
      </c>
      <c r="C35" s="2">
        <v>0.23219999999999999</v>
      </c>
      <c r="D35" s="2">
        <v>0.23400000000000001</v>
      </c>
      <c r="E35" s="2">
        <f t="shared" si="2"/>
        <v>1.8000000000000238E-3</v>
      </c>
      <c r="F35" s="149">
        <f t="shared" si="3"/>
        <v>18.947368421052882</v>
      </c>
      <c r="G35" s="2">
        <v>0</v>
      </c>
      <c r="H35" s="30"/>
      <c r="I35" s="236"/>
      <c r="J35" s="234">
        <v>3.37</v>
      </c>
      <c r="K35" s="2">
        <v>260</v>
      </c>
      <c r="L35" s="233">
        <v>45040.916666666664</v>
      </c>
      <c r="M35" s="249">
        <v>10.1428473999999</v>
      </c>
      <c r="N35" s="249">
        <v>0.69879289999999905</v>
      </c>
      <c r="O35" s="249">
        <v>10.1428473999999</v>
      </c>
      <c r="P35" s="249">
        <v>0.69879289999999905</v>
      </c>
      <c r="Q35" s="249">
        <v>9.9380790066666602</v>
      </c>
      <c r="R35" s="249">
        <v>0.72860548133333403</v>
      </c>
      <c r="AF35" t="s">
        <v>290</v>
      </c>
      <c r="AG35" s="250">
        <v>8.6666666666666377</v>
      </c>
      <c r="AH35" s="250">
        <v>66.59</v>
      </c>
      <c r="AI35" s="249">
        <v>8.16305281333333</v>
      </c>
      <c r="AJ35" s="249">
        <v>6.6271815599999897</v>
      </c>
      <c r="AK35" s="249">
        <v>8.16305281333333</v>
      </c>
    </row>
    <row r="36" spans="1:37" x14ac:dyDescent="0.25">
      <c r="A36" s="231" t="s">
        <v>216</v>
      </c>
      <c r="B36" s="2">
        <v>115</v>
      </c>
      <c r="C36" s="2">
        <v>0.2298</v>
      </c>
      <c r="D36" s="2">
        <v>0.23280000000000001</v>
      </c>
      <c r="E36" s="2">
        <f t="shared" si="2"/>
        <v>3.0000000000000027E-3</v>
      </c>
      <c r="F36" s="149">
        <f t="shared" si="3"/>
        <v>26.086956521739157</v>
      </c>
      <c r="G36" s="2">
        <v>0</v>
      </c>
      <c r="H36" s="30"/>
      <c r="I36" s="236"/>
      <c r="J36" s="234">
        <v>3.246</v>
      </c>
      <c r="K36" s="2">
        <v>261</v>
      </c>
      <c r="L36" s="233">
        <v>45041.125</v>
      </c>
      <c r="M36" s="249">
        <v>8.9488770800000008</v>
      </c>
      <c r="N36" s="249">
        <v>0.63710624000000005</v>
      </c>
      <c r="O36" s="249">
        <v>8.9488770800000008</v>
      </c>
      <c r="P36" s="249">
        <v>0.63710624000000005</v>
      </c>
      <c r="Q36" s="249">
        <v>8.2618505333333303</v>
      </c>
      <c r="R36" s="249">
        <v>0.66229624266666698</v>
      </c>
      <c r="AF36" t="s">
        <v>293</v>
      </c>
      <c r="AG36" s="250">
        <v>15.000000000000083</v>
      </c>
      <c r="AH36" s="250">
        <v>27.12</v>
      </c>
      <c r="AI36" s="249">
        <v>12.273739984000001</v>
      </c>
      <c r="AJ36" s="249">
        <v>13.7088416</v>
      </c>
      <c r="AK36" s="249">
        <v>12.273739984000001</v>
      </c>
    </row>
    <row r="37" spans="1:37" x14ac:dyDescent="0.25">
      <c r="A37" s="231" t="s">
        <v>217</v>
      </c>
      <c r="B37" s="2">
        <v>110</v>
      </c>
      <c r="C37" s="2">
        <v>0.23449999999999999</v>
      </c>
      <c r="D37" s="2">
        <v>0.23530000000000001</v>
      </c>
      <c r="E37" s="2">
        <f t="shared" si="2"/>
        <v>8.0000000000002292E-4</v>
      </c>
      <c r="F37" s="149">
        <f t="shared" si="3"/>
        <v>7.2727272727274812</v>
      </c>
      <c r="G37" s="2">
        <v>0</v>
      </c>
      <c r="H37" s="30"/>
      <c r="I37" s="236"/>
      <c r="J37" s="234">
        <v>2.9489999999999998</v>
      </c>
      <c r="K37" s="2">
        <v>262</v>
      </c>
      <c r="L37" s="233">
        <v>45041.333333333336</v>
      </c>
      <c r="M37" s="249">
        <v>8.6484638799999995</v>
      </c>
      <c r="N37" s="249">
        <v>0.61671400399999998</v>
      </c>
      <c r="O37" s="249">
        <v>8.6484638799999995</v>
      </c>
      <c r="P37" s="249">
        <v>0.61671400399999998</v>
      </c>
      <c r="Q37" s="249">
        <v>9.0178020266666596</v>
      </c>
      <c r="R37" s="249">
        <v>1.52773171733333</v>
      </c>
      <c r="AF37" t="s">
        <v>299</v>
      </c>
      <c r="AG37" s="250">
        <v>7.1428571428571495</v>
      </c>
      <c r="AH37" s="250">
        <v>14.59</v>
      </c>
      <c r="AI37" s="249">
        <v>9.9380790066666602</v>
      </c>
      <c r="AJ37" s="249">
        <v>10.1428473999999</v>
      </c>
      <c r="AK37" s="249">
        <v>9.9380790066666602</v>
      </c>
    </row>
    <row r="38" spans="1:37" x14ac:dyDescent="0.25">
      <c r="A38" s="231" t="s">
        <v>218</v>
      </c>
      <c r="B38" s="2"/>
      <c r="C38" s="2">
        <v>0.2331</v>
      </c>
      <c r="D38" s="2">
        <v>0.23419999999999999</v>
      </c>
      <c r="E38" s="2">
        <f t="shared" si="2"/>
        <v>1.0999999999999899E-3</v>
      </c>
      <c r="F38" s="149"/>
      <c r="G38" s="2">
        <v>0</v>
      </c>
      <c r="H38" s="30"/>
      <c r="I38" s="236"/>
      <c r="J38" s="234">
        <v>3.0939999999999999</v>
      </c>
      <c r="K38" s="2">
        <v>263</v>
      </c>
      <c r="L38" s="233">
        <v>45041.541666666664</v>
      </c>
      <c r="M38" s="249">
        <v>9.1187322399999999</v>
      </c>
      <c r="N38" s="249">
        <v>0.59804602399999995</v>
      </c>
      <c r="O38" s="249">
        <v>9.1187322399999999</v>
      </c>
      <c r="P38" s="249">
        <v>0.59804602399999995</v>
      </c>
      <c r="Q38" s="249">
        <v>9.0383009999999899</v>
      </c>
      <c r="R38" s="249">
        <v>0.64996640800000005</v>
      </c>
      <c r="AF38" t="s">
        <v>308</v>
      </c>
      <c r="AG38" s="250">
        <v>6.6666666666666723</v>
      </c>
      <c r="AH38" s="250">
        <v>56.02</v>
      </c>
      <c r="AI38" s="249">
        <v>8.0249351333333294</v>
      </c>
      <c r="AJ38" s="249">
        <v>6.8345387903999999</v>
      </c>
      <c r="AK38" s="249">
        <v>8.0249351333333294</v>
      </c>
    </row>
    <row r="39" spans="1:37" x14ac:dyDescent="0.25">
      <c r="A39" s="231" t="s">
        <v>219</v>
      </c>
      <c r="B39" s="2">
        <v>150</v>
      </c>
      <c r="C39" s="2">
        <v>0.23230000000000001</v>
      </c>
      <c r="D39" s="2">
        <v>0.2331</v>
      </c>
      <c r="E39" s="2">
        <f t="shared" si="2"/>
        <v>7.9999999999999516E-4</v>
      </c>
      <c r="F39" s="149">
        <f t="shared" si="3"/>
        <v>5.3333333333333011</v>
      </c>
      <c r="G39" s="2">
        <v>0</v>
      </c>
      <c r="H39" s="30"/>
      <c r="I39" s="236"/>
      <c r="J39" s="234">
        <v>3.32</v>
      </c>
      <c r="K39" s="2">
        <v>264</v>
      </c>
      <c r="L39" s="233">
        <v>45041.75</v>
      </c>
      <c r="M39" s="249">
        <v>8.1289062039999997</v>
      </c>
      <c r="N39" s="249">
        <v>0.61784086400000005</v>
      </c>
      <c r="O39" s="249">
        <v>8.1289062039999997</v>
      </c>
      <c r="P39" s="249">
        <v>0.61784086400000005</v>
      </c>
      <c r="Q39" s="249">
        <v>9.2480751333333302</v>
      </c>
      <c r="R39" s="249">
        <v>1.0381982133333301</v>
      </c>
      <c r="AF39" t="s">
        <v>316</v>
      </c>
      <c r="AG39" s="250">
        <v>12.666666666666751</v>
      </c>
      <c r="AH39" s="250">
        <v>43.66</v>
      </c>
      <c r="AI39" s="249">
        <v>8.7500032893333302</v>
      </c>
      <c r="AJ39" s="249">
        <v>8.3597602844000001</v>
      </c>
      <c r="AK39" s="249">
        <v>8.7500032893333302</v>
      </c>
    </row>
    <row r="40" spans="1:37" x14ac:dyDescent="0.25">
      <c r="A40" s="231" t="s">
        <v>220</v>
      </c>
      <c r="B40" s="2">
        <v>140</v>
      </c>
      <c r="C40" s="2">
        <v>0.23569999999999999</v>
      </c>
      <c r="D40" s="2">
        <v>0.2364</v>
      </c>
      <c r="E40" s="2">
        <f t="shared" si="2"/>
        <v>7.0000000000000617E-4</v>
      </c>
      <c r="F40" s="149">
        <f t="shared" si="3"/>
        <v>5.0000000000000444</v>
      </c>
      <c r="G40" s="2">
        <v>0</v>
      </c>
      <c r="H40" s="30"/>
      <c r="I40" s="236"/>
      <c r="J40" s="234">
        <v>2.996</v>
      </c>
      <c r="K40" s="2">
        <v>265</v>
      </c>
      <c r="L40" s="233">
        <v>45041.958333333336</v>
      </c>
      <c r="M40" s="249">
        <v>7.2309412399999999</v>
      </c>
      <c r="N40" s="249">
        <v>0.60023069200000001</v>
      </c>
      <c r="O40" s="249">
        <v>7.2309412399999999</v>
      </c>
      <c r="P40" s="249">
        <v>0.60023069200000001</v>
      </c>
      <c r="Q40" s="249">
        <v>7.38463257333333</v>
      </c>
      <c r="R40" s="249">
        <v>1.12973511866666</v>
      </c>
      <c r="AF40" t="s">
        <v>317</v>
      </c>
      <c r="AG40" s="250">
        <v>45.000000000000007</v>
      </c>
      <c r="AH40" s="250">
        <v>85.5</v>
      </c>
      <c r="AI40" s="249">
        <v>38.639293733333297</v>
      </c>
      <c r="AJ40" s="249">
        <v>43.856735999999998</v>
      </c>
      <c r="AK40" s="249">
        <v>38.639293733333297</v>
      </c>
    </row>
    <row r="41" spans="1:37" x14ac:dyDescent="0.25">
      <c r="A41" s="231" t="s">
        <v>221</v>
      </c>
      <c r="B41" s="2">
        <v>150</v>
      </c>
      <c r="C41" s="2">
        <v>0.23880000000000001</v>
      </c>
      <c r="D41" s="2"/>
      <c r="E41" s="2"/>
      <c r="F41" s="149"/>
      <c r="G41" s="2">
        <v>0</v>
      </c>
      <c r="H41" s="30"/>
      <c r="I41" s="236"/>
      <c r="J41" s="234">
        <v>2.8530000000000002</v>
      </c>
      <c r="K41" s="2">
        <v>266</v>
      </c>
      <c r="L41" s="233">
        <v>45042.166666666664</v>
      </c>
      <c r="M41" s="249">
        <v>6.1800801999999999</v>
      </c>
      <c r="N41" s="249">
        <v>0.58027925199999997</v>
      </c>
      <c r="O41" s="249">
        <v>6.1800801999999999</v>
      </c>
      <c r="P41" s="249">
        <v>0.58027925199999997</v>
      </c>
      <c r="Q41" s="249">
        <v>5.6839421333333302</v>
      </c>
      <c r="R41" s="249">
        <v>1.32009961333333</v>
      </c>
      <c r="AF41" t="s">
        <v>322</v>
      </c>
      <c r="AG41" s="250">
        <v>20.000000000000018</v>
      </c>
      <c r="AH41" s="250">
        <v>64.14</v>
      </c>
      <c r="AI41" s="249"/>
      <c r="AJ41" s="249">
        <v>22.0529236</v>
      </c>
      <c r="AK41" s="249"/>
    </row>
    <row r="42" spans="1:37" x14ac:dyDescent="0.25">
      <c r="A42" s="231" t="s">
        <v>222</v>
      </c>
      <c r="B42" s="2">
        <v>159</v>
      </c>
      <c r="C42" s="2">
        <v>0.23119999999999999</v>
      </c>
      <c r="D42" s="2">
        <v>0.23469999999999999</v>
      </c>
      <c r="E42" s="2">
        <f t="shared" si="2"/>
        <v>3.5000000000000031E-3</v>
      </c>
      <c r="F42" s="149">
        <f t="shared" si="3"/>
        <v>22.012578616352222</v>
      </c>
      <c r="G42" s="2">
        <v>0</v>
      </c>
      <c r="H42" s="30"/>
      <c r="I42" s="236"/>
      <c r="J42" s="234">
        <v>3.2490000000000001</v>
      </c>
      <c r="K42" s="2">
        <v>267</v>
      </c>
      <c r="L42" s="233">
        <v>45042.583333333336</v>
      </c>
      <c r="M42" s="249">
        <v>7.1972571599999897</v>
      </c>
      <c r="N42" s="249">
        <v>0.55574581999999995</v>
      </c>
      <c r="O42" s="249">
        <v>7.1972571599999897</v>
      </c>
      <c r="P42" s="249">
        <v>0.55574581999999995</v>
      </c>
      <c r="Q42" s="249"/>
      <c r="R42" s="249">
        <v>0.58136217866666695</v>
      </c>
      <c r="AF42" t="s">
        <v>328</v>
      </c>
      <c r="AG42" s="250">
        <v>10.666666666666602</v>
      </c>
      <c r="AH42" s="250">
        <v>39.619999999999997</v>
      </c>
      <c r="AI42" s="249">
        <v>9.8354738279999996</v>
      </c>
      <c r="AJ42" s="249">
        <v>10.11803948328</v>
      </c>
      <c r="AK42" s="249">
        <v>9.8354738279999996</v>
      </c>
    </row>
    <row r="43" spans="1:37" x14ac:dyDescent="0.25">
      <c r="A43" s="231" t="s">
        <v>223</v>
      </c>
      <c r="B43" s="2">
        <v>140</v>
      </c>
      <c r="C43" s="2">
        <v>0.2361</v>
      </c>
      <c r="D43" s="2">
        <v>0.23780000000000001</v>
      </c>
      <c r="E43" s="2">
        <f t="shared" si="2"/>
        <v>1.7000000000000071E-3</v>
      </c>
      <c r="F43" s="149">
        <f t="shared" si="3"/>
        <v>12.142857142857194</v>
      </c>
      <c r="G43" s="2">
        <v>0</v>
      </c>
      <c r="H43" s="30"/>
      <c r="I43" s="236"/>
      <c r="J43" s="234">
        <v>3.1539999999999999</v>
      </c>
      <c r="K43" s="2">
        <v>268</v>
      </c>
      <c r="L43" s="233">
        <v>45042.791666666664</v>
      </c>
      <c r="M43" s="249">
        <v>7.6360871199999902</v>
      </c>
      <c r="N43" s="249">
        <v>0.59034808000000005</v>
      </c>
      <c r="O43" s="249">
        <v>7.6360871199999902</v>
      </c>
      <c r="P43" s="249">
        <v>0.59034808000000005</v>
      </c>
      <c r="Q43" s="249">
        <v>7.6434516266666597</v>
      </c>
      <c r="R43" s="249">
        <v>0.63423936000000003</v>
      </c>
      <c r="AF43" t="s">
        <v>329</v>
      </c>
      <c r="AG43" s="250">
        <v>24.374999999999918</v>
      </c>
      <c r="AH43" s="250">
        <v>87.1</v>
      </c>
      <c r="AI43" s="249">
        <v>22.228124099999999</v>
      </c>
      <c r="AJ43" s="249">
        <v>20.03069</v>
      </c>
      <c r="AK43" s="249">
        <v>22.228124099999999</v>
      </c>
    </row>
    <row r="44" spans="1:37" x14ac:dyDescent="0.25">
      <c r="A44" s="231" t="s">
        <v>224</v>
      </c>
      <c r="B44" s="2">
        <v>150</v>
      </c>
      <c r="C44" s="2">
        <v>0.22950000000000001</v>
      </c>
      <c r="D44" s="2">
        <v>0.2311</v>
      </c>
      <c r="E44" s="2">
        <f t="shared" si="2"/>
        <v>1.5999999999999903E-3</v>
      </c>
      <c r="F44" s="149">
        <f t="shared" si="3"/>
        <v>10.666666666666602</v>
      </c>
      <c r="G44" s="2">
        <v>0</v>
      </c>
      <c r="H44" s="30"/>
      <c r="I44" s="236"/>
      <c r="J44" s="234">
        <v>3.069</v>
      </c>
      <c r="K44" s="2">
        <v>292</v>
      </c>
      <c r="L44" s="233">
        <v>45043</v>
      </c>
      <c r="M44" s="249">
        <v>6.68355736</v>
      </c>
      <c r="N44" s="249">
        <v>0.57754375599999996</v>
      </c>
      <c r="O44" s="249">
        <v>6.68355736</v>
      </c>
      <c r="P44" s="249">
        <v>0.57754375599999996</v>
      </c>
      <c r="Q44" s="249">
        <v>6.1651286666666598</v>
      </c>
      <c r="R44" s="249">
        <v>0.56620714800000005</v>
      </c>
      <c r="AF44" t="s">
        <v>332</v>
      </c>
      <c r="AG44" s="250">
        <v>0.71428571428583387</v>
      </c>
      <c r="AH44" s="250">
        <v>25.16</v>
      </c>
      <c r="AI44" s="249">
        <v>13.3637106666666</v>
      </c>
      <c r="AJ44" s="249">
        <v>11.863201948</v>
      </c>
      <c r="AK44" s="249">
        <v>13.3637106666666</v>
      </c>
    </row>
    <row r="45" spans="1:37" x14ac:dyDescent="0.25">
      <c r="A45" s="231" t="s">
        <v>225</v>
      </c>
      <c r="B45" s="2">
        <v>170</v>
      </c>
      <c r="C45" s="2">
        <v>0.23169999999999999</v>
      </c>
      <c r="D45" s="2">
        <v>0.2326</v>
      </c>
      <c r="E45" s="2">
        <f t="shared" si="2"/>
        <v>9.000000000000119E-4</v>
      </c>
      <c r="F45" s="149">
        <f t="shared" si="3"/>
        <v>5.2941176470588935</v>
      </c>
      <c r="G45" s="2">
        <v>0</v>
      </c>
      <c r="H45" s="30"/>
      <c r="I45" s="236"/>
      <c r="J45" s="234">
        <v>2.8119999999999998</v>
      </c>
      <c r="K45" s="2">
        <v>293</v>
      </c>
      <c r="L45" s="233">
        <v>45043.208333333336</v>
      </c>
      <c r="M45" s="249">
        <v>6.0356489199999999</v>
      </c>
      <c r="N45" s="249">
        <v>0.56059426400000001</v>
      </c>
      <c r="O45" s="249">
        <v>6.0356489199999999</v>
      </c>
      <c r="P45" s="249">
        <v>0.56059426400000001</v>
      </c>
      <c r="Q45" s="249">
        <v>5.42235642666666</v>
      </c>
      <c r="R45" s="249">
        <v>0.74199311066666696</v>
      </c>
      <c r="AF45" t="s">
        <v>333</v>
      </c>
      <c r="AG45" s="250">
        <v>5.7142857142856798</v>
      </c>
      <c r="AH45" s="250">
        <v>15.19</v>
      </c>
      <c r="AI45" s="249">
        <v>9.3933083066666594</v>
      </c>
      <c r="AJ45" s="249">
        <v>9.9651312127999994</v>
      </c>
      <c r="AK45" s="249">
        <v>9.3933083066666594</v>
      </c>
    </row>
    <row r="46" spans="1:37" x14ac:dyDescent="0.25">
      <c r="A46" s="231" t="s">
        <v>226</v>
      </c>
      <c r="B46" s="2">
        <v>170</v>
      </c>
      <c r="C46" s="2">
        <v>0.2336</v>
      </c>
      <c r="D46" s="2">
        <v>0.23430000000000001</v>
      </c>
      <c r="E46" s="2">
        <f t="shared" si="2"/>
        <v>7.0000000000000617E-4</v>
      </c>
      <c r="F46" s="149">
        <f t="shared" si="3"/>
        <v>4.1176470588235654</v>
      </c>
      <c r="G46" s="2">
        <v>0</v>
      </c>
      <c r="H46" s="30"/>
      <c r="I46" s="236"/>
      <c r="J46" s="234">
        <v>2.774</v>
      </c>
      <c r="K46" s="2">
        <v>294</v>
      </c>
      <c r="L46" s="233">
        <v>45043.416666666664</v>
      </c>
      <c r="M46" s="249">
        <v>7.2851257199999999</v>
      </c>
      <c r="N46" s="249">
        <v>0.542822888</v>
      </c>
      <c r="O46" s="249">
        <v>7.2851257199999999</v>
      </c>
      <c r="P46" s="249">
        <v>0.542822888</v>
      </c>
      <c r="Q46" s="249">
        <v>6.7731638133333298</v>
      </c>
      <c r="R46" s="249">
        <v>0.77998544400000003</v>
      </c>
      <c r="AF46" t="s">
        <v>335</v>
      </c>
      <c r="AG46" s="250">
        <v>0.66666666666677832</v>
      </c>
      <c r="AH46" s="250">
        <v>25.61</v>
      </c>
      <c r="AI46" s="249">
        <v>6.5764189999999996</v>
      </c>
      <c r="AJ46" s="249">
        <v>7.6637165200000004</v>
      </c>
      <c r="AK46" s="249">
        <v>6.5764189999999996</v>
      </c>
    </row>
    <row r="47" spans="1:37" x14ac:dyDescent="0.25">
      <c r="A47" s="231" t="s">
        <v>227</v>
      </c>
      <c r="B47" s="2">
        <v>160</v>
      </c>
      <c r="C47" s="2">
        <v>0.23549999999999999</v>
      </c>
      <c r="D47" s="2">
        <v>0.23680000000000001</v>
      </c>
      <c r="E47" s="2">
        <f t="shared" si="2"/>
        <v>1.3000000000000234E-3</v>
      </c>
      <c r="F47" s="149">
        <f t="shared" si="3"/>
        <v>8.1250000000001457</v>
      </c>
      <c r="G47" s="2">
        <v>0</v>
      </c>
      <c r="H47" s="30"/>
      <c r="I47" s="236"/>
      <c r="J47" s="234">
        <v>3.0510000000000002</v>
      </c>
      <c r="K47" s="2">
        <v>295</v>
      </c>
      <c r="L47" s="233">
        <v>45043.625</v>
      </c>
      <c r="M47" s="249">
        <v>8.6648960400000004</v>
      </c>
      <c r="N47" s="249">
        <v>0.57702389599999904</v>
      </c>
      <c r="O47" s="249">
        <v>8.6648960400000004</v>
      </c>
      <c r="P47" s="249">
        <v>0.57702389599999904</v>
      </c>
      <c r="Q47" s="249">
        <v>9.6546325599999996</v>
      </c>
      <c r="R47" s="249">
        <v>1.93208359333333</v>
      </c>
    </row>
    <row r="48" spans="1:37" x14ac:dyDescent="0.25">
      <c r="A48" s="231" t="s">
        <v>228</v>
      </c>
      <c r="B48" s="2">
        <v>160</v>
      </c>
      <c r="C48" s="2">
        <v>0.2319</v>
      </c>
      <c r="D48" s="2">
        <v>0.23300000000000001</v>
      </c>
      <c r="E48" s="2">
        <f t="shared" si="2"/>
        <v>1.1000000000000176E-3</v>
      </c>
      <c r="F48" s="149">
        <f t="shared" si="3"/>
        <v>6.8750000000001101</v>
      </c>
      <c r="G48" s="2">
        <v>0</v>
      </c>
      <c r="H48" s="30"/>
      <c r="I48" s="236"/>
      <c r="J48" s="234">
        <v>3.2709999999999999</v>
      </c>
      <c r="K48" s="2">
        <v>296</v>
      </c>
      <c r="L48" s="233">
        <v>45043.833333333336</v>
      </c>
      <c r="M48" s="249">
        <v>10.076955359999999</v>
      </c>
      <c r="N48" s="249">
        <v>0.69683061199999896</v>
      </c>
      <c r="O48" s="249">
        <v>10.076955359999999</v>
      </c>
      <c r="P48" s="249">
        <v>0.69683061199999896</v>
      </c>
      <c r="Q48" s="249">
        <v>8.6037493866666601</v>
      </c>
      <c r="R48" s="249">
        <v>1.64547994</v>
      </c>
    </row>
    <row r="49" spans="1:18" x14ac:dyDescent="0.25">
      <c r="A49" s="231" t="s">
        <v>229</v>
      </c>
      <c r="B49" s="2">
        <v>145</v>
      </c>
      <c r="C49" s="2">
        <v>0.23230000000000001</v>
      </c>
      <c r="D49" s="2">
        <v>0.23300000000000001</v>
      </c>
      <c r="E49" s="2">
        <f t="shared" si="2"/>
        <v>7.0000000000000617E-4</v>
      </c>
      <c r="F49" s="149">
        <f t="shared" si="3"/>
        <v>4.8275862068965933</v>
      </c>
      <c r="G49" s="2">
        <v>0</v>
      </c>
      <c r="H49" s="30"/>
      <c r="I49" s="236"/>
      <c r="J49" s="234">
        <v>3.2989999999999999</v>
      </c>
      <c r="K49" s="2">
        <v>297</v>
      </c>
      <c r="L49" s="233">
        <v>45044.041666666664</v>
      </c>
      <c r="M49" s="249">
        <v>7.5388328024</v>
      </c>
      <c r="N49" s="249">
        <v>0.649056788</v>
      </c>
      <c r="O49" s="249">
        <v>7.5388328024</v>
      </c>
      <c r="P49" s="249">
        <v>0.649056788</v>
      </c>
      <c r="Q49" s="249">
        <v>7.5119917466666601</v>
      </c>
      <c r="R49" s="249">
        <v>1.2684738933333299</v>
      </c>
    </row>
    <row r="50" spans="1:18" x14ac:dyDescent="0.25">
      <c r="A50" s="231" t="s">
        <v>230</v>
      </c>
      <c r="B50" s="2">
        <v>170</v>
      </c>
      <c r="C50" s="2">
        <v>0.2339</v>
      </c>
      <c r="D50" s="2">
        <v>0.23430000000000001</v>
      </c>
      <c r="E50" s="2">
        <f t="shared" si="2"/>
        <v>4.0000000000001146E-4</v>
      </c>
      <c r="F50" s="149">
        <f t="shared" si="3"/>
        <v>2.3529411764706558</v>
      </c>
      <c r="G50" s="2">
        <v>0</v>
      </c>
      <c r="H50" s="30"/>
      <c r="I50" s="236"/>
      <c r="J50" s="234">
        <v>2.8559999999999999</v>
      </c>
      <c r="K50" s="2">
        <v>298</v>
      </c>
      <c r="L50" s="233">
        <v>45044.25</v>
      </c>
      <c r="M50" s="249">
        <v>8.1453577599999996</v>
      </c>
      <c r="N50" s="249">
        <v>0.61863771199999995</v>
      </c>
      <c r="O50" s="249">
        <v>8.1453577599999996</v>
      </c>
      <c r="P50" s="249">
        <v>0.61863771199999995</v>
      </c>
      <c r="Q50" s="249">
        <v>9.6479184666666598</v>
      </c>
      <c r="R50" s="249">
        <v>2.4295241733333302</v>
      </c>
    </row>
    <row r="51" spans="1:18" x14ac:dyDescent="0.25">
      <c r="A51" s="231" t="s">
        <v>231</v>
      </c>
      <c r="B51" s="2">
        <v>150</v>
      </c>
      <c r="C51" s="2">
        <v>0.23330000000000001</v>
      </c>
      <c r="D51" s="2">
        <v>0.2341</v>
      </c>
      <c r="E51" s="2">
        <f t="shared" si="2"/>
        <v>7.9999999999999516E-4</v>
      </c>
      <c r="F51" s="149">
        <f t="shared" si="3"/>
        <v>5.3333333333333011</v>
      </c>
      <c r="G51" s="2">
        <v>0</v>
      </c>
      <c r="H51" s="30"/>
      <c r="I51" s="236"/>
      <c r="J51" s="234">
        <v>2.7429999999999999</v>
      </c>
      <c r="K51" s="2">
        <v>299</v>
      </c>
      <c r="L51" s="233">
        <v>45044.458333333336</v>
      </c>
      <c r="M51" s="249">
        <v>7.4115104000000001</v>
      </c>
      <c r="N51" s="249">
        <v>0.55664535599999998</v>
      </c>
      <c r="O51" s="249">
        <v>7.4115104000000001</v>
      </c>
      <c r="P51" s="249">
        <v>0.55664535599999998</v>
      </c>
      <c r="Q51" s="249">
        <v>5.7798811900000002</v>
      </c>
      <c r="R51" s="249">
        <v>1.26424327333333</v>
      </c>
    </row>
    <row r="52" spans="1:18" x14ac:dyDescent="0.25">
      <c r="A52" s="231" t="s">
        <v>232</v>
      </c>
      <c r="B52" s="2">
        <v>170</v>
      </c>
      <c r="C52" s="2">
        <v>0.23350000000000001</v>
      </c>
      <c r="D52" s="2">
        <v>0.2344</v>
      </c>
      <c r="E52" s="2">
        <f t="shared" si="2"/>
        <v>8.9999999999998415E-4</v>
      </c>
      <c r="F52" s="149">
        <f t="shared" si="3"/>
        <v>5.2941176470587292</v>
      </c>
      <c r="G52" s="2">
        <v>0</v>
      </c>
      <c r="H52" s="30"/>
      <c r="I52" s="236"/>
      <c r="J52" s="234">
        <v>2.7890000000000001</v>
      </c>
      <c r="K52" s="2">
        <v>300</v>
      </c>
      <c r="L52" s="233">
        <v>45044.666666666664</v>
      </c>
      <c r="M52" s="249">
        <v>6.8345387903999999</v>
      </c>
      <c r="N52" s="249">
        <v>0.59644744000000005</v>
      </c>
      <c r="O52" s="249">
        <v>6.8345387903999999</v>
      </c>
      <c r="P52" s="249">
        <v>0.59644744000000005</v>
      </c>
      <c r="Q52" s="249">
        <v>8.0249351333333294</v>
      </c>
      <c r="R52" s="249">
        <v>1.60427601066666</v>
      </c>
    </row>
    <row r="53" spans="1:18" x14ac:dyDescent="0.25">
      <c r="A53" s="231" t="s">
        <v>233</v>
      </c>
      <c r="B53" s="2">
        <v>155</v>
      </c>
      <c r="C53" s="2">
        <v>0.2349</v>
      </c>
      <c r="D53" s="2">
        <v>0.2354</v>
      </c>
      <c r="E53" s="2">
        <f t="shared" si="2"/>
        <v>5.0000000000000044E-4</v>
      </c>
      <c r="F53" s="149">
        <f t="shared" si="3"/>
        <v>3.2258064516129061</v>
      </c>
      <c r="G53" s="2">
        <v>0</v>
      </c>
      <c r="H53" s="30"/>
      <c r="I53" s="236"/>
      <c r="J53" s="234">
        <v>2.8090000000000002</v>
      </c>
      <c r="K53" s="2">
        <v>301</v>
      </c>
      <c r="L53" s="233">
        <v>45044.875</v>
      </c>
      <c r="M53" s="249">
        <v>7.9445271199999903</v>
      </c>
      <c r="N53" s="249">
        <v>0.61181387599999904</v>
      </c>
      <c r="O53" s="249">
        <v>7.9445271199999903</v>
      </c>
      <c r="P53" s="249">
        <v>0.61181387599999904</v>
      </c>
      <c r="Q53" s="249">
        <v>6.3661506000000001</v>
      </c>
      <c r="R53" s="249">
        <v>2.3765978666666601</v>
      </c>
    </row>
    <row r="54" spans="1:18" x14ac:dyDescent="0.25">
      <c r="A54" s="231" t="s">
        <v>234</v>
      </c>
      <c r="B54" s="2">
        <v>160</v>
      </c>
      <c r="C54" s="2">
        <v>0.23569999999999999</v>
      </c>
      <c r="D54" s="2">
        <v>0.23569999999999999</v>
      </c>
      <c r="E54" s="2">
        <f t="shared" si="2"/>
        <v>0</v>
      </c>
      <c r="F54" s="149">
        <f t="shared" si="3"/>
        <v>0</v>
      </c>
      <c r="G54" s="2">
        <v>0</v>
      </c>
      <c r="H54" s="30"/>
      <c r="I54" s="236"/>
      <c r="J54" s="234">
        <v>2.6989999999999998</v>
      </c>
      <c r="K54" s="2">
        <v>315</v>
      </c>
      <c r="L54" s="233">
        <v>45045.083333333336</v>
      </c>
      <c r="M54" s="249">
        <v>7.4290512799999897</v>
      </c>
      <c r="N54" s="249">
        <v>0.59254014799999999</v>
      </c>
      <c r="O54" s="249">
        <v>7.4290512799999897</v>
      </c>
      <c r="P54" s="249">
        <v>0.59254014799999999</v>
      </c>
      <c r="Q54" s="249">
        <v>5.5522387866666598</v>
      </c>
      <c r="R54" s="249">
        <v>1.9360101999999999</v>
      </c>
    </row>
    <row r="55" spans="1:18" x14ac:dyDescent="0.25">
      <c r="A55" s="231" t="s">
        <v>235</v>
      </c>
      <c r="B55" s="2">
        <v>150</v>
      </c>
      <c r="C55" s="2">
        <v>0.23780000000000001</v>
      </c>
      <c r="D55" s="2">
        <v>0.23830000000000001</v>
      </c>
      <c r="E55" s="2">
        <f t="shared" si="2"/>
        <v>5.0000000000000044E-4</v>
      </c>
      <c r="F55" s="149">
        <f t="shared" si="3"/>
        <v>3.3333333333333361</v>
      </c>
      <c r="G55" s="2">
        <v>0</v>
      </c>
      <c r="H55" s="30"/>
      <c r="I55" s="236"/>
      <c r="J55" s="234">
        <v>2.8239999999999998</v>
      </c>
      <c r="K55" s="2">
        <v>316</v>
      </c>
      <c r="L55" s="233">
        <v>45045.291666666664</v>
      </c>
      <c r="M55" s="249">
        <v>5.25875556</v>
      </c>
      <c r="N55" s="249">
        <v>0.57737382399999904</v>
      </c>
      <c r="O55" s="249">
        <v>5.25875556</v>
      </c>
      <c r="P55" s="249">
        <v>0.57737382399999904</v>
      </c>
      <c r="Q55" s="249">
        <v>5.6392486266666602</v>
      </c>
      <c r="R55" s="249">
        <v>0.94225200533333398</v>
      </c>
    </row>
    <row r="56" spans="1:18" x14ac:dyDescent="0.25">
      <c r="A56" s="231" t="s">
        <v>236</v>
      </c>
      <c r="B56" s="2">
        <v>150</v>
      </c>
      <c r="C56" s="2">
        <v>0.2339</v>
      </c>
      <c r="D56" s="2">
        <v>0.23469999999999999</v>
      </c>
      <c r="E56" s="2">
        <f t="shared" si="2"/>
        <v>7.9999999999999516E-4</v>
      </c>
      <c r="F56" s="149">
        <f t="shared" si="3"/>
        <v>5.3333333333333011</v>
      </c>
      <c r="G56" s="2">
        <v>0</v>
      </c>
      <c r="H56" s="30"/>
      <c r="I56" s="236"/>
      <c r="J56" s="234">
        <v>2.6429999999999998</v>
      </c>
      <c r="K56" s="2">
        <v>317</v>
      </c>
      <c r="L56" s="233">
        <v>45045.5</v>
      </c>
      <c r="M56" s="249">
        <v>6.4666904799999898</v>
      </c>
      <c r="N56" s="249">
        <v>0.53414629599999996</v>
      </c>
      <c r="O56" s="249">
        <v>6.4666904799999898</v>
      </c>
      <c r="P56" s="249">
        <v>0.53414629599999996</v>
      </c>
      <c r="Q56" s="249">
        <v>5.2737517986666598</v>
      </c>
      <c r="R56" s="249">
        <v>1.17248918933333</v>
      </c>
    </row>
    <row r="57" spans="1:18" x14ac:dyDescent="0.25">
      <c r="A57" s="231" t="s">
        <v>237</v>
      </c>
      <c r="B57" s="2">
        <v>150</v>
      </c>
      <c r="C57" s="2">
        <v>0.23230000000000001</v>
      </c>
      <c r="D57" s="2">
        <v>0.23419999999999999</v>
      </c>
      <c r="E57" s="2">
        <f t="shared" si="2"/>
        <v>1.899999999999985E-3</v>
      </c>
      <c r="F57" s="149">
        <f t="shared" si="3"/>
        <v>12.666666666666567</v>
      </c>
      <c r="G57" s="2">
        <v>0</v>
      </c>
      <c r="H57" s="30"/>
      <c r="I57" s="236"/>
      <c r="J57" s="222">
        <v>2.9510000000000001</v>
      </c>
      <c r="K57" s="237">
        <v>318</v>
      </c>
      <c r="L57" s="233">
        <v>45045.708333333336</v>
      </c>
      <c r="M57" s="249">
        <v>14.551988908</v>
      </c>
      <c r="N57" s="249">
        <v>0.66348383200000005</v>
      </c>
      <c r="O57" s="249">
        <v>14.551988908</v>
      </c>
      <c r="P57" s="249">
        <v>0.66348383200000005</v>
      </c>
      <c r="Q57" s="249">
        <v>12.890712933333299</v>
      </c>
      <c r="R57" s="249">
        <v>1.04979578</v>
      </c>
    </row>
    <row r="58" spans="1:18" x14ac:dyDescent="0.25">
      <c r="A58" s="231" t="s">
        <v>238</v>
      </c>
      <c r="B58" s="2">
        <v>150</v>
      </c>
      <c r="C58" s="2">
        <v>0.23669999999999999</v>
      </c>
      <c r="D58" s="2">
        <v>0.23830000000000001</v>
      </c>
      <c r="E58" s="2">
        <f t="shared" si="2"/>
        <v>1.6000000000000181E-3</v>
      </c>
      <c r="F58" s="149">
        <f t="shared" si="3"/>
        <v>10.666666666666787</v>
      </c>
      <c r="G58" s="2">
        <v>0</v>
      </c>
      <c r="H58" s="30"/>
      <c r="I58" s="236"/>
      <c r="J58" s="234">
        <v>3.1309999999999998</v>
      </c>
      <c r="K58" s="2">
        <v>319</v>
      </c>
      <c r="L58" s="233">
        <v>45045.916666666664</v>
      </c>
      <c r="M58" s="249">
        <v>8.8853135287999994</v>
      </c>
      <c r="N58" s="249">
        <v>0.83292446799999997</v>
      </c>
      <c r="O58" s="249">
        <v>8.8853135287999994</v>
      </c>
      <c r="P58" s="249">
        <v>0.83292446799999997</v>
      </c>
      <c r="Q58" s="249">
        <v>9.0212937866666607</v>
      </c>
      <c r="R58" s="249">
        <v>1.3618701613333299</v>
      </c>
    </row>
    <row r="59" spans="1:18" x14ac:dyDescent="0.25">
      <c r="A59" s="231" t="s">
        <v>239</v>
      </c>
      <c r="B59" s="2">
        <v>140</v>
      </c>
      <c r="C59" s="2">
        <v>0.23100000000000001</v>
      </c>
      <c r="D59" s="2">
        <v>0.2321</v>
      </c>
      <c r="E59" s="2">
        <f t="shared" si="2"/>
        <v>1.0999999999999899E-3</v>
      </c>
      <c r="F59" s="149">
        <f t="shared" si="3"/>
        <v>7.8571428571427848</v>
      </c>
      <c r="G59" s="2">
        <v>0</v>
      </c>
      <c r="H59" s="30"/>
      <c r="I59" s="236"/>
      <c r="J59" s="234">
        <v>2.8330000000000002</v>
      </c>
      <c r="K59" s="2">
        <v>320</v>
      </c>
      <c r="L59" s="233">
        <v>45046.125</v>
      </c>
      <c r="M59" s="249">
        <v>11.209641884</v>
      </c>
      <c r="N59" s="249">
        <v>0.71647227599999996</v>
      </c>
      <c r="O59" s="249">
        <v>11.209641884</v>
      </c>
      <c r="P59" s="249">
        <v>0.71647227599999996</v>
      </c>
      <c r="Q59" s="249">
        <v>9.7976981146666606</v>
      </c>
      <c r="R59" s="249">
        <v>1.19757845333333</v>
      </c>
    </row>
    <row r="60" spans="1:18" x14ac:dyDescent="0.25">
      <c r="A60" s="231" t="s">
        <v>240</v>
      </c>
      <c r="B60" s="2">
        <v>150</v>
      </c>
      <c r="C60" s="2">
        <v>0.2351</v>
      </c>
      <c r="D60" s="2">
        <v>0.2364</v>
      </c>
      <c r="E60" s="2">
        <f t="shared" si="2"/>
        <v>1.2999999999999956E-3</v>
      </c>
      <c r="F60" s="149">
        <f t="shared" si="3"/>
        <v>8.6666666666666377</v>
      </c>
      <c r="G60" s="2">
        <v>0</v>
      </c>
      <c r="H60" s="30"/>
      <c r="I60" s="236"/>
      <c r="J60" s="234">
        <v>2.7509999999999999</v>
      </c>
      <c r="K60" s="2">
        <v>321</v>
      </c>
      <c r="L60" s="233">
        <v>45046.333333333336</v>
      </c>
      <c r="M60" s="249">
        <v>10.423064119999999</v>
      </c>
      <c r="N60" s="249">
        <v>0.64374088399999996</v>
      </c>
      <c r="O60" s="249">
        <v>10.423064119999999</v>
      </c>
      <c r="P60" s="249">
        <v>0.64374088399999996</v>
      </c>
      <c r="Q60" s="249">
        <v>7.9770290266666599</v>
      </c>
      <c r="R60" s="249">
        <v>1.26042132666666</v>
      </c>
    </row>
    <row r="61" spans="1:18" x14ac:dyDescent="0.25">
      <c r="A61" s="231" t="s">
        <v>241</v>
      </c>
      <c r="B61" s="2">
        <v>160</v>
      </c>
      <c r="C61" s="2">
        <v>0.2311</v>
      </c>
      <c r="D61" s="2">
        <v>0.2326</v>
      </c>
      <c r="E61" s="2">
        <f t="shared" si="2"/>
        <v>1.5000000000000013E-3</v>
      </c>
      <c r="F61" s="149">
        <f t="shared" si="3"/>
        <v>9.3750000000000089</v>
      </c>
      <c r="G61" s="2">
        <v>0</v>
      </c>
      <c r="H61" s="30"/>
      <c r="I61" s="236"/>
      <c r="J61" s="234">
        <v>2.8889999999999998</v>
      </c>
      <c r="K61" s="2">
        <v>322</v>
      </c>
      <c r="L61" s="233">
        <v>45046.541666666664</v>
      </c>
      <c r="M61" s="249">
        <v>8.3597602844000001</v>
      </c>
      <c r="N61" s="249">
        <v>0.60178064399999998</v>
      </c>
      <c r="O61" s="249">
        <v>8.3597602844000001</v>
      </c>
      <c r="P61" s="249">
        <v>0.60178064399999998</v>
      </c>
      <c r="Q61" s="249">
        <v>8.7500032893333302</v>
      </c>
      <c r="R61" s="249">
        <v>1.0220899240000001</v>
      </c>
    </row>
    <row r="62" spans="1:18" x14ac:dyDescent="0.25">
      <c r="A62" s="231" t="s">
        <v>242</v>
      </c>
      <c r="B62" s="2">
        <v>150</v>
      </c>
      <c r="C62" s="2">
        <v>0.2293</v>
      </c>
      <c r="D62" s="2">
        <v>0.2356</v>
      </c>
      <c r="E62" s="2">
        <f t="shared" si="2"/>
        <v>6.3E-3</v>
      </c>
      <c r="F62" s="149">
        <f t="shared" si="3"/>
        <v>41.999999999999993</v>
      </c>
      <c r="G62" s="2">
        <v>63.56</v>
      </c>
      <c r="H62" s="30"/>
      <c r="I62" s="236"/>
      <c r="J62" s="234">
        <v>3.7759999999999998</v>
      </c>
      <c r="K62" s="2">
        <v>323</v>
      </c>
      <c r="L62" s="233">
        <v>45046.75</v>
      </c>
      <c r="M62" s="249">
        <v>43.856735999999998</v>
      </c>
      <c r="N62" s="249">
        <v>0.91321567999999997</v>
      </c>
      <c r="O62" s="249">
        <v>43.856735999999998</v>
      </c>
      <c r="P62" s="249">
        <v>0.91321567999999997</v>
      </c>
      <c r="Q62" s="249">
        <v>38.639293733333297</v>
      </c>
      <c r="R62" s="249">
        <v>0.72509531466666699</v>
      </c>
    </row>
    <row r="63" spans="1:18" x14ac:dyDescent="0.25">
      <c r="A63" s="231" t="s">
        <v>243</v>
      </c>
      <c r="B63" s="2">
        <v>155</v>
      </c>
      <c r="C63" s="2">
        <v>0.2301</v>
      </c>
      <c r="D63" s="2">
        <v>0.23280000000000001</v>
      </c>
      <c r="E63" s="2">
        <f t="shared" si="2"/>
        <v>2.7000000000000079E-3</v>
      </c>
      <c r="F63" s="149">
        <f t="shared" si="3"/>
        <v>17.419354838709729</v>
      </c>
      <c r="G63" s="2">
        <v>85.89</v>
      </c>
      <c r="H63" s="30"/>
      <c r="I63" s="236"/>
      <c r="J63" s="234">
        <v>3.4470000000000001</v>
      </c>
      <c r="K63" s="2">
        <v>324</v>
      </c>
      <c r="L63" s="233">
        <v>45046.958333333336</v>
      </c>
      <c r="M63" s="249">
        <v>16.958527199999999</v>
      </c>
      <c r="N63" s="249">
        <v>0.98583381199999998</v>
      </c>
      <c r="O63" s="249">
        <v>16.958527199999999</v>
      </c>
      <c r="P63" s="249">
        <v>0.98583381199999998</v>
      </c>
      <c r="Q63" s="249">
        <v>21.475960133333299</v>
      </c>
      <c r="R63" s="249">
        <v>0.75147322400000005</v>
      </c>
    </row>
    <row r="64" spans="1:18" x14ac:dyDescent="0.25">
      <c r="A64" s="231" t="s">
        <v>244</v>
      </c>
      <c r="B64" s="2">
        <v>150</v>
      </c>
      <c r="C64" s="2">
        <v>0.2205</v>
      </c>
      <c r="D64" s="2">
        <v>0.2215</v>
      </c>
      <c r="E64" s="2">
        <f t="shared" si="2"/>
        <v>1.0000000000000009E-3</v>
      </c>
      <c r="F64" s="149">
        <f t="shared" si="3"/>
        <v>6.6666666666666723</v>
      </c>
      <c r="G64" s="2">
        <v>0</v>
      </c>
      <c r="H64" s="30"/>
      <c r="I64" s="236"/>
      <c r="J64" s="234">
        <v>3.1629999999999998</v>
      </c>
      <c r="K64" s="2">
        <v>325</v>
      </c>
      <c r="L64" s="233">
        <v>45047.166666666664</v>
      </c>
      <c r="M64" s="249">
        <v>12.384886399999999</v>
      </c>
      <c r="N64" s="249">
        <v>0.82808364799999901</v>
      </c>
      <c r="O64" s="249">
        <v>12.384886399999999</v>
      </c>
      <c r="P64" s="249">
        <v>0.82808364799999901</v>
      </c>
      <c r="Q64" s="249">
        <v>12.734633816800001</v>
      </c>
      <c r="R64" s="249">
        <v>0.79717206666666696</v>
      </c>
    </row>
    <row r="65" spans="1:18" x14ac:dyDescent="0.25">
      <c r="A65" s="231" t="s">
        <v>245</v>
      </c>
      <c r="B65" s="2">
        <v>160</v>
      </c>
      <c r="C65" s="2">
        <v>0.2316</v>
      </c>
      <c r="D65" s="2">
        <v>0.23200000000000001</v>
      </c>
      <c r="E65" s="2">
        <f t="shared" si="2"/>
        <v>4.0000000000001146E-4</v>
      </c>
      <c r="F65" s="149">
        <f t="shared" si="3"/>
        <v>2.5000000000000715</v>
      </c>
      <c r="G65" s="2">
        <v>0</v>
      </c>
      <c r="H65" s="30"/>
      <c r="I65" s="236"/>
      <c r="J65" s="234">
        <v>2.9590000000000001</v>
      </c>
      <c r="K65" s="2">
        <v>326</v>
      </c>
      <c r="L65" s="233">
        <v>45047.375</v>
      </c>
      <c r="M65" s="249">
        <v>11.245605614480001</v>
      </c>
      <c r="N65" s="249">
        <v>0.70318841200000004</v>
      </c>
      <c r="O65" s="249">
        <v>11.245605614480001</v>
      </c>
      <c r="P65" s="249">
        <v>0.70318841200000004</v>
      </c>
      <c r="Q65" s="249">
        <v>8.6821808133333302</v>
      </c>
      <c r="R65" s="249">
        <v>1.5189193546666599</v>
      </c>
    </row>
    <row r="66" spans="1:18" x14ac:dyDescent="0.25">
      <c r="A66" s="231" t="s">
        <v>246</v>
      </c>
      <c r="B66" s="2">
        <v>150</v>
      </c>
      <c r="C66" s="2">
        <v>0.23319999999999999</v>
      </c>
      <c r="D66" s="2">
        <v>0.2341</v>
      </c>
      <c r="E66" s="2">
        <f t="shared" si="2"/>
        <v>9.000000000000119E-4</v>
      </c>
      <c r="F66" s="149">
        <f t="shared" si="3"/>
        <v>6.000000000000079</v>
      </c>
      <c r="G66" s="2">
        <v>50.13</v>
      </c>
      <c r="H66" s="30"/>
      <c r="I66" s="236"/>
      <c r="J66" s="234">
        <v>3.1480000000000001</v>
      </c>
      <c r="K66" s="2">
        <v>327</v>
      </c>
      <c r="L66" s="233">
        <v>45047.583333333336</v>
      </c>
      <c r="M66" s="249">
        <v>13.655055599999899</v>
      </c>
      <c r="N66" s="249">
        <v>0.67487072000000004</v>
      </c>
      <c r="O66" s="249">
        <v>13.655055599999899</v>
      </c>
      <c r="P66" s="249">
        <v>0.67487072000000004</v>
      </c>
      <c r="Q66" s="249">
        <v>16.170986133333301</v>
      </c>
      <c r="R66" s="249">
        <v>0.73912359866666699</v>
      </c>
    </row>
    <row r="67" spans="1:18" x14ac:dyDescent="0.25">
      <c r="A67" s="2" t="s">
        <v>247</v>
      </c>
      <c r="B67" s="2">
        <v>140</v>
      </c>
      <c r="C67" s="2">
        <v>0.23400000000000001</v>
      </c>
      <c r="D67" s="2">
        <v>0.23710000000000001</v>
      </c>
      <c r="E67" s="2">
        <f t="shared" si="2"/>
        <v>3.0999999999999917E-3</v>
      </c>
      <c r="F67" s="149">
        <f t="shared" si="3"/>
        <v>22.142857142857082</v>
      </c>
      <c r="G67" s="14">
        <v>44.99</v>
      </c>
      <c r="H67" s="30">
        <f>0.011708204506*27.38</f>
        <v>0.32057063937427999</v>
      </c>
      <c r="I67" s="236">
        <f t="shared" ref="I67:I76" si="4">H67/(B67/1000)</f>
        <v>2.2897902812448567</v>
      </c>
      <c r="J67" s="234">
        <v>3.5409999999999999</v>
      </c>
      <c r="K67" s="2">
        <v>343</v>
      </c>
      <c r="L67" s="233">
        <v>45047.833333333336</v>
      </c>
      <c r="M67" s="249">
        <v>22.0529236</v>
      </c>
      <c r="N67" s="249">
        <v>0.97117030400000004</v>
      </c>
      <c r="O67" s="249">
        <v>22.0529236</v>
      </c>
      <c r="P67" s="249">
        <v>0.97117030400000004</v>
      </c>
      <c r="Q67" s="249"/>
      <c r="R67" s="249">
        <v>0.903743569333334</v>
      </c>
    </row>
    <row r="68" spans="1:18" x14ac:dyDescent="0.25">
      <c r="A68" s="2" t="s">
        <v>248</v>
      </c>
      <c r="B68" s="2">
        <v>150</v>
      </c>
      <c r="C68" s="2">
        <v>0.23649999999999999</v>
      </c>
      <c r="D68" s="2">
        <v>0.23799999999999999</v>
      </c>
      <c r="E68" s="2">
        <f t="shared" si="2"/>
        <v>1.5000000000000013E-3</v>
      </c>
      <c r="F68" s="149">
        <f t="shared" si="3"/>
        <v>10.000000000000009</v>
      </c>
      <c r="G68" s="2">
        <v>35.729999999999997</v>
      </c>
      <c r="H68" s="31"/>
      <c r="I68" s="236"/>
      <c r="J68" s="234">
        <v>3.0760000000000001</v>
      </c>
      <c r="K68" s="2">
        <v>344</v>
      </c>
      <c r="L68" s="233">
        <v>45048.125</v>
      </c>
      <c r="M68" s="249">
        <v>12.440960799999999</v>
      </c>
      <c r="N68" s="249">
        <v>0.82063311999999999</v>
      </c>
      <c r="O68" s="249">
        <v>12.440960799999999</v>
      </c>
      <c r="P68" s="249">
        <v>0.82063311999999999</v>
      </c>
      <c r="Q68" s="249">
        <v>12.641193039999999</v>
      </c>
      <c r="R68" s="249">
        <v>0.69605300133333403</v>
      </c>
    </row>
    <row r="69" spans="1:18" x14ac:dyDescent="0.25">
      <c r="A69" s="2" t="s">
        <v>249</v>
      </c>
      <c r="B69" s="2">
        <v>140</v>
      </c>
      <c r="C69" s="2">
        <v>0.23080000000000001</v>
      </c>
      <c r="D69" s="2">
        <v>0.23169999999999999</v>
      </c>
      <c r="E69" s="2">
        <f t="shared" si="2"/>
        <v>8.9999999999998415E-4</v>
      </c>
      <c r="F69" s="149">
        <f t="shared" si="3"/>
        <v>6.4285714285713151</v>
      </c>
      <c r="G69" s="2">
        <v>31.62</v>
      </c>
      <c r="H69" s="31"/>
      <c r="I69" s="236"/>
      <c r="J69" s="234">
        <v>2.8559999999999999</v>
      </c>
      <c r="K69" s="2">
        <v>345</v>
      </c>
      <c r="L69" s="233">
        <v>45048.416666666664</v>
      </c>
      <c r="M69" s="249">
        <v>9.0430761999999998</v>
      </c>
      <c r="N69" s="249">
        <v>0.66461490000000001</v>
      </c>
      <c r="O69" s="249">
        <v>9.0430761999999998</v>
      </c>
      <c r="P69" s="249">
        <v>0.66461490000000001</v>
      </c>
      <c r="Q69" s="249">
        <v>10.0303982666666</v>
      </c>
      <c r="R69" s="249">
        <v>0.64806454800000002</v>
      </c>
    </row>
    <row r="70" spans="1:18" x14ac:dyDescent="0.25">
      <c r="A70" s="2" t="s">
        <v>250</v>
      </c>
      <c r="B70" s="39">
        <v>150</v>
      </c>
      <c r="C70" s="39">
        <v>0.23319999999999999</v>
      </c>
      <c r="D70" s="39">
        <v>0.2359</v>
      </c>
      <c r="E70" s="39">
        <f t="shared" si="2"/>
        <v>2.7000000000000079E-3</v>
      </c>
      <c r="F70" s="239">
        <f t="shared" si="3"/>
        <v>18.000000000000053</v>
      </c>
      <c r="G70" s="39">
        <v>25.42</v>
      </c>
      <c r="H70" s="31"/>
      <c r="I70" s="240"/>
      <c r="J70" s="241">
        <v>2.9209999999999998</v>
      </c>
      <c r="K70" s="39">
        <v>346</v>
      </c>
      <c r="L70" s="242">
        <v>45048.708333333336</v>
      </c>
      <c r="M70" s="249">
        <v>11.007816999999999</v>
      </c>
      <c r="N70" s="249">
        <v>0.72370817200000004</v>
      </c>
      <c r="O70" s="249">
        <v>11.007816999999999</v>
      </c>
      <c r="P70" s="249">
        <v>0.72370817200000004</v>
      </c>
      <c r="Q70" s="249"/>
      <c r="R70" s="249">
        <v>0.66948233599999996</v>
      </c>
    </row>
    <row r="71" spans="1:18" x14ac:dyDescent="0.25">
      <c r="A71" s="2" t="s">
        <v>251</v>
      </c>
      <c r="B71" s="39">
        <v>150</v>
      </c>
      <c r="C71" s="39">
        <v>0.22939999999999999</v>
      </c>
      <c r="D71" s="39">
        <v>0.23080000000000001</v>
      </c>
      <c r="E71" s="39">
        <f t="shared" si="2"/>
        <v>1.4000000000000123E-3</v>
      </c>
      <c r="F71" s="239">
        <f t="shared" si="3"/>
        <v>9.3333333333334156</v>
      </c>
      <c r="G71" s="39">
        <v>0</v>
      </c>
      <c r="H71" s="31"/>
      <c r="I71" s="240"/>
      <c r="J71" s="241">
        <v>3.0609999999999999</v>
      </c>
      <c r="K71" s="39">
        <v>347</v>
      </c>
      <c r="L71" s="242">
        <v>45049</v>
      </c>
      <c r="M71" s="249">
        <v>9.7772273199999997</v>
      </c>
      <c r="N71" s="249">
        <v>0.771403536</v>
      </c>
      <c r="O71" s="249">
        <v>9.7772273199999997</v>
      </c>
      <c r="P71" s="249">
        <v>0.771403536</v>
      </c>
      <c r="Q71" s="249">
        <v>9.1829196</v>
      </c>
      <c r="R71" s="249">
        <v>0.63945933466666705</v>
      </c>
    </row>
    <row r="72" spans="1:18" x14ac:dyDescent="0.25">
      <c r="A72" s="2" t="s">
        <v>252</v>
      </c>
      <c r="B72" s="39">
        <v>140</v>
      </c>
      <c r="C72" s="39">
        <v>0.2346</v>
      </c>
      <c r="D72" s="39">
        <v>0.2354</v>
      </c>
      <c r="E72" s="39">
        <f t="shared" si="2"/>
        <v>7.9999999999999516E-4</v>
      </c>
      <c r="F72" s="239">
        <f t="shared" si="3"/>
        <v>5.7142857142856798</v>
      </c>
      <c r="G72" s="39">
        <v>0</v>
      </c>
      <c r="H72" s="31"/>
      <c r="I72" s="240"/>
      <c r="J72" s="241">
        <v>2.823</v>
      </c>
      <c r="K72" s="39">
        <v>348</v>
      </c>
      <c r="L72" s="242">
        <v>45049.291666666664</v>
      </c>
      <c r="M72" s="249">
        <v>8.0378636399999994</v>
      </c>
      <c r="N72" s="249">
        <v>0.65167801599999997</v>
      </c>
      <c r="O72" s="249">
        <v>8.0378636399999994</v>
      </c>
      <c r="P72" s="249">
        <v>0.65167801599999997</v>
      </c>
      <c r="Q72" s="249">
        <v>10.3782316933333</v>
      </c>
      <c r="R72" s="249">
        <v>0.60962034399999998</v>
      </c>
    </row>
    <row r="73" spans="1:18" x14ac:dyDescent="0.25">
      <c r="A73" s="2" t="s">
        <v>253</v>
      </c>
      <c r="B73" s="2">
        <v>140</v>
      </c>
      <c r="C73" s="2">
        <v>0.22889999999999999</v>
      </c>
      <c r="D73" s="2">
        <v>0.2293</v>
      </c>
      <c r="E73" s="2">
        <f t="shared" si="2"/>
        <v>4.0000000000001146E-4</v>
      </c>
      <c r="F73" s="149">
        <f t="shared" si="3"/>
        <v>2.8571428571429389</v>
      </c>
      <c r="G73" s="2">
        <v>0</v>
      </c>
      <c r="H73" s="31"/>
      <c r="I73" s="236"/>
      <c r="J73" s="234">
        <v>2.923</v>
      </c>
      <c r="K73" s="2">
        <v>349</v>
      </c>
      <c r="L73" s="233">
        <v>45049.583333333336</v>
      </c>
      <c r="M73" s="249">
        <v>10.11803948328</v>
      </c>
      <c r="N73" s="249">
        <v>0.62427880800000002</v>
      </c>
      <c r="O73" s="249">
        <v>10.11803948328</v>
      </c>
      <c r="P73" s="249">
        <v>0.62427880800000002</v>
      </c>
      <c r="Q73" s="249">
        <v>9.8354738279999996</v>
      </c>
      <c r="R73" s="249">
        <v>0.58413531333333402</v>
      </c>
    </row>
    <row r="74" spans="1:18" x14ac:dyDescent="0.25">
      <c r="A74" s="2" t="s">
        <v>254</v>
      </c>
      <c r="B74" s="2">
        <v>150</v>
      </c>
      <c r="C74" s="2">
        <v>0.23580000000000001</v>
      </c>
      <c r="D74" s="2">
        <v>0.2389</v>
      </c>
      <c r="E74" s="2">
        <f t="shared" si="2"/>
        <v>3.0999999999999917E-3</v>
      </c>
      <c r="F74" s="149">
        <f t="shared" si="3"/>
        <v>20.666666666666611</v>
      </c>
      <c r="G74" s="2">
        <v>68.760000000000005</v>
      </c>
      <c r="H74" s="30">
        <f>0.017282514145*27.38</f>
        <v>0.47319523729009999</v>
      </c>
      <c r="I74" s="236">
        <f t="shared" si="4"/>
        <v>3.1546349152673332</v>
      </c>
      <c r="J74" s="234">
        <v>3.5110000000000001</v>
      </c>
      <c r="K74" s="2">
        <v>350</v>
      </c>
      <c r="L74" s="233">
        <v>45049.833333333336</v>
      </c>
      <c r="M74" s="249">
        <v>20.03069</v>
      </c>
      <c r="N74" s="249">
        <v>0.93434271999999996</v>
      </c>
      <c r="O74" s="249">
        <v>20.03069</v>
      </c>
      <c r="P74" s="249">
        <v>0.93434271999999996</v>
      </c>
      <c r="Q74" s="249">
        <v>22.228124099999999</v>
      </c>
      <c r="R74" s="249">
        <v>0.86806397466666696</v>
      </c>
    </row>
    <row r="75" spans="1:18" x14ac:dyDescent="0.25">
      <c r="A75" s="2"/>
      <c r="B75" s="2"/>
      <c r="C75" s="2"/>
      <c r="D75" s="2"/>
      <c r="E75" s="2"/>
      <c r="F75" s="149"/>
      <c r="G75" s="2">
        <v>0</v>
      </c>
      <c r="H75" s="31"/>
      <c r="I75" s="236"/>
      <c r="J75" s="234"/>
      <c r="K75" s="2"/>
      <c r="L75" s="233">
        <v>45049.958333333336</v>
      </c>
      <c r="M75" s="249">
        <v>14.313794400000001</v>
      </c>
      <c r="N75" s="249">
        <v>0.90266856799999995</v>
      </c>
      <c r="O75" s="249">
        <v>14.313794400000001</v>
      </c>
      <c r="P75" s="249">
        <v>0.90266856799999995</v>
      </c>
      <c r="Q75" s="249">
        <v>14.96945008</v>
      </c>
      <c r="R75" s="249">
        <v>0.88412704400000097</v>
      </c>
    </row>
    <row r="76" spans="1:18" x14ac:dyDescent="0.25">
      <c r="A76" s="2" t="s">
        <v>255</v>
      </c>
      <c r="B76" s="2">
        <v>160</v>
      </c>
      <c r="C76" s="2">
        <v>0.2319</v>
      </c>
      <c r="D76" s="2">
        <v>0.23380000000000001</v>
      </c>
      <c r="E76" s="2">
        <f t="shared" si="2"/>
        <v>1.9000000000000128E-3</v>
      </c>
      <c r="F76" s="149">
        <f t="shared" si="3"/>
        <v>11.87500000000008</v>
      </c>
      <c r="G76" s="2">
        <v>50.92</v>
      </c>
      <c r="H76" s="30">
        <f>0.0130381562765*27.38</f>
        <v>0.35698471885056998</v>
      </c>
      <c r="I76" s="236">
        <f t="shared" si="4"/>
        <v>2.2311544928160623</v>
      </c>
      <c r="J76" s="234">
        <v>3.1459999999999999</v>
      </c>
      <c r="K76" s="2">
        <v>351</v>
      </c>
      <c r="L76" s="233">
        <v>45050.083333333336</v>
      </c>
      <c r="M76" s="249">
        <v>10.664316599999999</v>
      </c>
      <c r="N76" s="249">
        <v>0.81794674000000001</v>
      </c>
      <c r="O76" s="249">
        <v>10.664316599999999</v>
      </c>
      <c r="P76" s="249">
        <v>0.81794674000000001</v>
      </c>
      <c r="Q76" s="249">
        <v>12.378681706666599</v>
      </c>
      <c r="R76" s="249">
        <v>0.81815425333333403</v>
      </c>
    </row>
    <row r="77" spans="1:18" x14ac:dyDescent="0.25">
      <c r="A77" s="2"/>
      <c r="B77" s="2"/>
      <c r="C77" s="2"/>
      <c r="D77" s="2"/>
      <c r="E77" s="2"/>
      <c r="F77" s="149"/>
      <c r="G77" s="2">
        <v>0</v>
      </c>
      <c r="H77" s="235"/>
      <c r="I77" s="236"/>
      <c r="J77" s="2"/>
      <c r="K77" s="2"/>
      <c r="L77" s="233">
        <v>45050.208333333336</v>
      </c>
      <c r="M77" s="249">
        <v>8.5506115000000005</v>
      </c>
      <c r="N77" s="249">
        <v>0.742938612</v>
      </c>
      <c r="O77" s="249">
        <v>8.5506115000000005</v>
      </c>
      <c r="P77" s="249">
        <v>0.742938612</v>
      </c>
      <c r="Q77" s="249">
        <v>10.541740973333299</v>
      </c>
      <c r="R77" s="249">
        <v>0.69254495866666699</v>
      </c>
    </row>
    <row r="78" spans="1:18" x14ac:dyDescent="0.25">
      <c r="A78" s="2" t="s">
        <v>256</v>
      </c>
      <c r="B78" s="2">
        <v>140</v>
      </c>
      <c r="C78" s="2">
        <v>0.2324</v>
      </c>
      <c r="D78" s="2">
        <v>0.23280000000000001</v>
      </c>
      <c r="E78" s="2">
        <f t="shared" si="2"/>
        <v>4.0000000000001146E-4</v>
      </c>
      <c r="F78" s="149">
        <f t="shared" si="3"/>
        <v>2.8571428571429389</v>
      </c>
      <c r="G78" s="2">
        <v>0</v>
      </c>
      <c r="H78" s="30"/>
      <c r="I78" s="236"/>
      <c r="J78" s="2">
        <v>2.8879999999999999</v>
      </c>
      <c r="K78" s="2">
        <v>352</v>
      </c>
      <c r="L78" s="233">
        <v>45050.333333333336</v>
      </c>
      <c r="M78" s="249">
        <v>9.0879493359999994</v>
      </c>
      <c r="N78" s="249">
        <v>0.69204235599999997</v>
      </c>
      <c r="O78" s="249">
        <v>9.0879493359999994</v>
      </c>
      <c r="P78" s="249">
        <v>0.69204235599999997</v>
      </c>
      <c r="Q78" s="249">
        <v>8.0138589866666603</v>
      </c>
      <c r="R78" s="249">
        <v>0.63426094933333399</v>
      </c>
    </row>
    <row r="79" spans="1:18" x14ac:dyDescent="0.25">
      <c r="A79" s="2"/>
      <c r="B79" s="2"/>
      <c r="C79" s="2"/>
      <c r="D79" s="2"/>
      <c r="E79" s="2"/>
      <c r="F79" s="149"/>
      <c r="G79" s="2">
        <v>0</v>
      </c>
      <c r="H79" s="30"/>
      <c r="I79" s="236"/>
      <c r="J79" s="2"/>
      <c r="K79" s="2"/>
      <c r="L79" s="233">
        <v>45050.458333333336</v>
      </c>
      <c r="M79" s="249">
        <v>8.8480133999999993</v>
      </c>
      <c r="N79" s="249">
        <v>0.62816207999999996</v>
      </c>
      <c r="O79" s="249">
        <v>8.8480133999999993</v>
      </c>
      <c r="P79" s="249">
        <v>0.62816207999999996</v>
      </c>
      <c r="Q79" s="249">
        <v>8.3940114666666599</v>
      </c>
      <c r="R79" s="249">
        <v>0.61283889866666696</v>
      </c>
    </row>
    <row r="80" spans="1:18" x14ac:dyDescent="0.25">
      <c r="A80" s="2" t="s">
        <v>257</v>
      </c>
      <c r="B80" s="2">
        <v>150</v>
      </c>
      <c r="C80" s="2">
        <v>0.23769999999999999</v>
      </c>
      <c r="D80" s="2">
        <v>0.2384</v>
      </c>
      <c r="E80" s="2">
        <f t="shared" ref="E80:E143" si="5">D80-C80</f>
        <v>7.0000000000000617E-4</v>
      </c>
      <c r="F80" s="149">
        <f t="shared" ref="F80:F143" si="6">E80/B80*1000*1000</f>
        <v>4.6666666666667078</v>
      </c>
      <c r="G80" s="2">
        <v>0</v>
      </c>
      <c r="H80" s="30"/>
      <c r="I80" s="236"/>
      <c r="J80" s="2">
        <v>2.9329999999999998</v>
      </c>
      <c r="K80" s="2">
        <v>353</v>
      </c>
      <c r="L80" s="233">
        <v>45050.083333333336</v>
      </c>
      <c r="M80" s="249">
        <v>10.664316599999999</v>
      </c>
      <c r="N80" s="249">
        <v>0.81794674000000001</v>
      </c>
      <c r="O80" s="249">
        <v>10.664316599999999</v>
      </c>
      <c r="P80" s="249">
        <v>0.81794674000000001</v>
      </c>
      <c r="Q80" s="249">
        <v>12.378681706666599</v>
      </c>
      <c r="R80" s="249">
        <v>0.81815425333333403</v>
      </c>
    </row>
    <row r="81" spans="1:18" x14ac:dyDescent="0.25">
      <c r="A81" s="2" t="s">
        <v>258</v>
      </c>
      <c r="B81" s="2">
        <v>160</v>
      </c>
      <c r="C81" s="2">
        <v>0.23569999999999999</v>
      </c>
      <c r="D81" s="2">
        <v>0.23710000000000001</v>
      </c>
      <c r="E81" s="2">
        <f t="shared" si="5"/>
        <v>1.4000000000000123E-3</v>
      </c>
      <c r="F81" s="149">
        <f t="shared" si="6"/>
        <v>8.7500000000000764</v>
      </c>
      <c r="G81" s="14">
        <v>0</v>
      </c>
      <c r="H81" s="30"/>
      <c r="I81" s="236"/>
      <c r="J81" s="2">
        <v>3.1819999999999999</v>
      </c>
      <c r="K81" s="2">
        <v>354</v>
      </c>
      <c r="L81" s="233">
        <v>45050.708333333336</v>
      </c>
      <c r="M81" s="249">
        <v>15.2589617119999</v>
      </c>
      <c r="N81" s="249">
        <v>0.78517861599999905</v>
      </c>
      <c r="O81" s="249">
        <v>15.2589617119999</v>
      </c>
      <c r="P81" s="249">
        <v>0.78517861599999905</v>
      </c>
      <c r="Q81" s="249">
        <v>16.9080908</v>
      </c>
      <c r="R81" s="249">
        <v>0.75963689066666695</v>
      </c>
    </row>
    <row r="82" spans="1:18" x14ac:dyDescent="0.25">
      <c r="A82" s="2" t="s">
        <v>259</v>
      </c>
      <c r="B82" s="2">
        <v>150</v>
      </c>
      <c r="C82" s="2">
        <v>0.2316</v>
      </c>
      <c r="D82" s="2">
        <v>0.23300000000000001</v>
      </c>
      <c r="E82" s="2">
        <f t="shared" si="5"/>
        <v>1.4000000000000123E-3</v>
      </c>
      <c r="F82" s="149">
        <f t="shared" si="6"/>
        <v>9.3333333333334156</v>
      </c>
      <c r="G82" s="2">
        <v>33.08</v>
      </c>
      <c r="H82" s="30"/>
      <c r="I82" s="236"/>
      <c r="J82" s="2">
        <v>3.2719999999999998</v>
      </c>
      <c r="K82" s="2">
        <v>355</v>
      </c>
      <c r="L82" s="233">
        <v>45050.958333333336</v>
      </c>
      <c r="M82" s="249">
        <v>9.9651312127999994</v>
      </c>
      <c r="N82" s="249">
        <v>0.80451119999999998</v>
      </c>
      <c r="O82" s="249">
        <v>9.9651312127999994</v>
      </c>
      <c r="P82" s="249">
        <v>0.80451119999999998</v>
      </c>
      <c r="Q82" s="249">
        <v>9.3933083066666594</v>
      </c>
      <c r="R82" s="249">
        <v>1.68469130666666</v>
      </c>
    </row>
    <row r="83" spans="1:18" x14ac:dyDescent="0.25">
      <c r="A83" s="2" t="s">
        <v>260</v>
      </c>
      <c r="B83" s="2">
        <v>140</v>
      </c>
      <c r="C83" s="2">
        <v>0.2354</v>
      </c>
      <c r="D83" s="2">
        <v>0.2364</v>
      </c>
      <c r="E83" s="2">
        <f t="shared" si="5"/>
        <v>1.0000000000000009E-3</v>
      </c>
      <c r="F83" s="149">
        <f t="shared" si="6"/>
        <v>7.1428571428571495</v>
      </c>
      <c r="G83" s="2">
        <v>77.489999999999995</v>
      </c>
      <c r="H83" s="30"/>
      <c r="I83" s="236"/>
      <c r="J83" s="2">
        <v>3.0419999999999998</v>
      </c>
      <c r="K83" s="2">
        <v>356</v>
      </c>
      <c r="L83" s="233">
        <v>45051.083333333336</v>
      </c>
      <c r="M83" s="249">
        <v>8.4859850784000006</v>
      </c>
      <c r="N83" s="249">
        <v>0.72139595199999995</v>
      </c>
      <c r="O83" s="249">
        <v>8.4859850784000006</v>
      </c>
      <c r="P83" s="249">
        <v>0.72139595199999995</v>
      </c>
      <c r="Q83" s="249">
        <v>7.5067932800000001</v>
      </c>
      <c r="R83" s="249">
        <v>2.3029300400000001</v>
      </c>
    </row>
    <row r="84" spans="1:18" x14ac:dyDescent="0.25">
      <c r="A84" s="191" t="s">
        <v>261</v>
      </c>
      <c r="B84" s="6">
        <v>200</v>
      </c>
      <c r="C84" s="6">
        <v>0.23849999999999999</v>
      </c>
      <c r="D84" s="6">
        <v>0.2417</v>
      </c>
      <c r="E84" s="6">
        <f t="shared" si="5"/>
        <v>3.2000000000000084E-3</v>
      </c>
      <c r="F84" s="193">
        <f t="shared" si="6"/>
        <v>16.000000000000043</v>
      </c>
      <c r="G84" s="6">
        <v>103.31</v>
      </c>
      <c r="H84" s="17"/>
      <c r="I84" s="246"/>
      <c r="J84" s="6">
        <v>3.8290000000000002</v>
      </c>
      <c r="K84" s="6">
        <v>190</v>
      </c>
      <c r="L84" s="244">
        <v>45033.6875</v>
      </c>
      <c r="M84" s="249"/>
      <c r="N84" s="249">
        <v>0.75582086533333404</v>
      </c>
      <c r="O84" s="249"/>
      <c r="P84" s="249">
        <v>0.60768966400000002</v>
      </c>
      <c r="Q84" s="249"/>
      <c r="R84" s="249">
        <v>0.75582086533333404</v>
      </c>
    </row>
    <row r="85" spans="1:18" x14ac:dyDescent="0.25">
      <c r="A85" s="191" t="s">
        <v>262</v>
      </c>
      <c r="B85" s="6">
        <v>200</v>
      </c>
      <c r="C85" s="6">
        <v>0.23760000000000001</v>
      </c>
      <c r="D85" s="6">
        <v>0.23769999999999999</v>
      </c>
      <c r="E85" s="6">
        <f t="shared" si="5"/>
        <v>9.9999999999988987E-5</v>
      </c>
      <c r="F85" s="193">
        <f t="shared" si="6"/>
        <v>0.49999999999994493</v>
      </c>
      <c r="G85" s="6">
        <v>65.48</v>
      </c>
      <c r="H85" s="17"/>
      <c r="I85" s="246"/>
      <c r="J85" s="6">
        <v>3.4729999999999999</v>
      </c>
      <c r="K85" s="6">
        <v>191</v>
      </c>
      <c r="L85" s="244">
        <v>45033.854166666664</v>
      </c>
      <c r="M85" s="249">
        <v>17.909116588666599</v>
      </c>
      <c r="N85" s="249">
        <v>0.91088503333333404</v>
      </c>
      <c r="O85" s="249"/>
      <c r="P85" s="249">
        <v>0.67526825599999996</v>
      </c>
      <c r="Q85" s="249">
        <v>17.909116588666599</v>
      </c>
      <c r="R85" s="249">
        <v>0.91088503333333404</v>
      </c>
    </row>
    <row r="86" spans="1:18" x14ac:dyDescent="0.25">
      <c r="A86" s="191" t="s">
        <v>263</v>
      </c>
      <c r="B86" s="6">
        <v>190</v>
      </c>
      <c r="C86" s="6">
        <v>0.23649999999999999</v>
      </c>
      <c r="D86" s="6">
        <v>0.23769999999999999</v>
      </c>
      <c r="E86" s="6">
        <f t="shared" si="5"/>
        <v>1.2000000000000066E-3</v>
      </c>
      <c r="F86" s="193">
        <f t="shared" si="6"/>
        <v>6.3157894736842453</v>
      </c>
      <c r="G86" s="6">
        <v>73.680000000000007</v>
      </c>
      <c r="H86" s="17"/>
      <c r="I86" s="246"/>
      <c r="J86" s="6">
        <v>3.4209999999999998</v>
      </c>
      <c r="K86" s="6">
        <v>192</v>
      </c>
      <c r="L86" s="244">
        <v>45034.020833333336</v>
      </c>
      <c r="M86" s="249">
        <v>12.5026276</v>
      </c>
      <c r="N86" s="249">
        <v>0.88109358000000004</v>
      </c>
      <c r="O86" s="249">
        <v>12.815805599999999</v>
      </c>
      <c r="P86" s="249">
        <v>0.66271287999999995</v>
      </c>
      <c r="Q86" s="249">
        <v>12.5026276</v>
      </c>
      <c r="R86" s="249">
        <v>0.88109358000000004</v>
      </c>
    </row>
    <row r="87" spans="1:18" x14ac:dyDescent="0.25">
      <c r="A87" s="191" t="s">
        <v>264</v>
      </c>
      <c r="B87" s="6"/>
      <c r="C87" s="6">
        <v>0.23749999999999999</v>
      </c>
      <c r="D87" s="6">
        <v>0.23780000000000001</v>
      </c>
      <c r="E87" s="6">
        <f t="shared" si="5"/>
        <v>3.0000000000002247E-4</v>
      </c>
      <c r="F87" s="193"/>
      <c r="G87" s="6">
        <v>48.9</v>
      </c>
      <c r="H87" s="17"/>
      <c r="I87" s="246"/>
      <c r="J87" s="6">
        <v>3.3460000000000001</v>
      </c>
      <c r="K87" s="6">
        <v>193</v>
      </c>
      <c r="L87" s="244">
        <v>45034.1875</v>
      </c>
      <c r="M87" s="249">
        <v>12.258317999999999</v>
      </c>
      <c r="N87" s="249">
        <v>0.81627632400000005</v>
      </c>
      <c r="O87" s="249">
        <v>12.0457119999999</v>
      </c>
      <c r="P87" s="249">
        <v>0.63474413999999901</v>
      </c>
      <c r="Q87" s="249">
        <v>12.258317999999999</v>
      </c>
      <c r="R87" s="249">
        <v>0.81627632400000005</v>
      </c>
    </row>
    <row r="88" spans="1:18" x14ac:dyDescent="0.25">
      <c r="A88" s="191" t="s">
        <v>265</v>
      </c>
      <c r="B88" s="6">
        <v>190</v>
      </c>
      <c r="C88" s="6">
        <v>0.23039999999999999</v>
      </c>
      <c r="D88" s="6">
        <v>0.23230000000000001</v>
      </c>
      <c r="E88" s="6">
        <f t="shared" si="5"/>
        <v>1.9000000000000128E-3</v>
      </c>
      <c r="F88" s="193">
        <f t="shared" si="6"/>
        <v>10.000000000000066</v>
      </c>
      <c r="G88" s="6">
        <v>0</v>
      </c>
      <c r="H88" s="6"/>
      <c r="I88" s="6"/>
      <c r="J88" s="6">
        <v>3.2709999999999999</v>
      </c>
      <c r="K88" s="6">
        <v>211</v>
      </c>
      <c r="L88" s="244">
        <v>45034.354166666664</v>
      </c>
      <c r="M88" s="249">
        <v>12.736497399999999</v>
      </c>
      <c r="N88" s="249">
        <v>0.76243800799999994</v>
      </c>
      <c r="O88" s="249">
        <v>10.67219704</v>
      </c>
      <c r="P88" s="249">
        <v>0.62033358800000005</v>
      </c>
      <c r="Q88" s="249">
        <v>12.736497399999999</v>
      </c>
      <c r="R88" s="249">
        <v>0.76243800799999994</v>
      </c>
    </row>
    <row r="89" spans="1:18" x14ac:dyDescent="0.25">
      <c r="A89" s="191" t="s">
        <v>266</v>
      </c>
      <c r="B89" s="6">
        <v>220</v>
      </c>
      <c r="C89" s="6">
        <v>0.22720000000000001</v>
      </c>
      <c r="D89" s="6">
        <v>0.22869999999999999</v>
      </c>
      <c r="E89" s="6">
        <f t="shared" si="5"/>
        <v>1.4999999999999736E-3</v>
      </c>
      <c r="F89" s="193">
        <f t="shared" si="6"/>
        <v>6.8181818181816984</v>
      </c>
      <c r="G89" s="6">
        <v>0</v>
      </c>
      <c r="H89" s="243"/>
      <c r="I89" s="243"/>
      <c r="J89" s="6">
        <v>3.4089999999999998</v>
      </c>
      <c r="K89" s="6">
        <v>212</v>
      </c>
      <c r="L89" s="244">
        <v>45034.520833333336</v>
      </c>
      <c r="M89" s="249">
        <v>11.8006866866666</v>
      </c>
      <c r="N89" s="249">
        <v>0.67033505466666699</v>
      </c>
      <c r="O89" s="249">
        <v>12.4510858</v>
      </c>
      <c r="P89" s="249">
        <v>0.57870333600000001</v>
      </c>
      <c r="Q89" s="249">
        <v>11.8006866866666</v>
      </c>
      <c r="R89" s="249">
        <v>0.67033505466666699</v>
      </c>
    </row>
    <row r="90" spans="1:18" x14ac:dyDescent="0.25">
      <c r="A90" s="238" t="s">
        <v>267</v>
      </c>
      <c r="B90" s="6">
        <v>200</v>
      </c>
      <c r="C90" s="6">
        <v>0.23100000000000001</v>
      </c>
      <c r="D90" s="6">
        <v>0.23530000000000001</v>
      </c>
      <c r="E90" s="6">
        <f t="shared" si="5"/>
        <v>4.2999999999999983E-3</v>
      </c>
      <c r="F90" s="193">
        <f t="shared" si="6"/>
        <v>21.499999999999993</v>
      </c>
      <c r="G90" s="6">
        <v>93.48</v>
      </c>
      <c r="H90" s="243"/>
      <c r="I90" s="243"/>
      <c r="J90" s="6">
        <v>4.6630000000000003</v>
      </c>
      <c r="K90" s="6">
        <v>213</v>
      </c>
      <c r="L90" s="244">
        <v>45034.6875</v>
      </c>
      <c r="M90" s="249">
        <v>25.906272033333298</v>
      </c>
      <c r="N90" s="249">
        <v>0.81158337733333397</v>
      </c>
      <c r="O90" s="249">
        <v>21.1627592</v>
      </c>
      <c r="P90" s="249">
        <v>0.64280018799999905</v>
      </c>
      <c r="Q90" s="249">
        <v>25.906272033333298</v>
      </c>
      <c r="R90" s="249">
        <v>0.81158337733333397</v>
      </c>
    </row>
    <row r="91" spans="1:18" x14ac:dyDescent="0.25">
      <c r="A91" s="238" t="s">
        <v>268</v>
      </c>
      <c r="B91" s="6">
        <v>190</v>
      </c>
      <c r="C91" s="6">
        <v>0.2281</v>
      </c>
      <c r="D91" s="6">
        <v>0.23019999999999999</v>
      </c>
      <c r="E91" s="6">
        <f t="shared" si="5"/>
        <v>2.0999999999999908E-3</v>
      </c>
      <c r="F91" s="193">
        <f t="shared" si="6"/>
        <v>11.05263157894732</v>
      </c>
      <c r="G91" s="6">
        <v>53.79</v>
      </c>
      <c r="H91" s="243"/>
      <c r="I91" s="243"/>
      <c r="J91" s="6">
        <v>3.581</v>
      </c>
      <c r="K91" s="6">
        <v>214</v>
      </c>
      <c r="L91" s="244">
        <v>45034.895833333336</v>
      </c>
      <c r="M91" s="249">
        <v>15.555403466666601</v>
      </c>
      <c r="N91" s="249">
        <v>0.95340234000000001</v>
      </c>
      <c r="O91" s="249">
        <v>14.5804768</v>
      </c>
      <c r="P91" s="249">
        <v>0.75155197200000001</v>
      </c>
      <c r="Q91" s="249">
        <v>15.555403466666601</v>
      </c>
      <c r="R91" s="249">
        <v>0.95340234000000001</v>
      </c>
    </row>
    <row r="92" spans="1:18" x14ac:dyDescent="0.25">
      <c r="A92" s="238" t="s">
        <v>269</v>
      </c>
      <c r="B92" s="6">
        <v>200</v>
      </c>
      <c r="C92" s="6">
        <v>0.22850000000000001</v>
      </c>
      <c r="D92" s="6">
        <v>0.2321</v>
      </c>
      <c r="E92" s="6">
        <f t="shared" si="5"/>
        <v>3.5999999999999921E-3</v>
      </c>
      <c r="F92" s="193">
        <f t="shared" si="6"/>
        <v>17.999999999999961</v>
      </c>
      <c r="G92" s="6">
        <v>47.58</v>
      </c>
      <c r="H92" s="17">
        <f>0.011515777695*27.38</f>
        <v>0.31530199328909997</v>
      </c>
      <c r="I92" s="245">
        <f>H92/(B92/1000)</f>
        <v>1.5765099664454998</v>
      </c>
      <c r="J92" s="6">
        <v>3.5859999999999999</v>
      </c>
      <c r="K92" s="6">
        <v>215</v>
      </c>
      <c r="L92" s="244">
        <v>45035.104166666664</v>
      </c>
      <c r="M92" s="249">
        <v>12.1499004</v>
      </c>
      <c r="N92" s="249">
        <v>0.86879868266666704</v>
      </c>
      <c r="O92" s="249">
        <v>12.4211408</v>
      </c>
      <c r="P92" s="249">
        <v>0.68398085200000003</v>
      </c>
      <c r="Q92" s="249">
        <v>12.1499004</v>
      </c>
      <c r="R92" s="249">
        <v>0.86879868266666704</v>
      </c>
    </row>
    <row r="93" spans="1:18" x14ac:dyDescent="0.25">
      <c r="A93" s="238" t="s">
        <v>270</v>
      </c>
      <c r="B93" s="6">
        <v>200</v>
      </c>
      <c r="C93" s="6">
        <v>0.2339</v>
      </c>
      <c r="D93" s="6">
        <v>0.23519999999999999</v>
      </c>
      <c r="E93" s="6">
        <f t="shared" si="5"/>
        <v>1.2999999999999956E-3</v>
      </c>
      <c r="F93" s="193">
        <f t="shared" si="6"/>
        <v>6.4999999999999778</v>
      </c>
      <c r="G93" s="6">
        <v>30.72</v>
      </c>
      <c r="H93" s="243"/>
      <c r="I93" s="243"/>
      <c r="J93" s="6">
        <v>3.4009999999999998</v>
      </c>
      <c r="K93" s="6">
        <v>216</v>
      </c>
      <c r="L93" s="244">
        <v>45035.3125</v>
      </c>
      <c r="M93" s="249">
        <v>11.5306084666666</v>
      </c>
      <c r="N93" s="249">
        <v>0.78447287466666704</v>
      </c>
      <c r="O93" s="249">
        <v>10.916756999999899</v>
      </c>
      <c r="P93" s="249">
        <v>0.63628065999999905</v>
      </c>
      <c r="Q93" s="249">
        <v>11.5306084666666</v>
      </c>
      <c r="R93" s="249">
        <v>0.78447287466666704</v>
      </c>
    </row>
    <row r="94" spans="1:18" x14ac:dyDescent="0.25">
      <c r="A94" s="238" t="s">
        <v>271</v>
      </c>
      <c r="B94" s="6">
        <v>200</v>
      </c>
      <c r="C94" s="6">
        <v>0.23300000000000001</v>
      </c>
      <c r="D94" s="6">
        <v>0.2346</v>
      </c>
      <c r="E94" s="6">
        <f t="shared" si="5"/>
        <v>1.5999999999999903E-3</v>
      </c>
      <c r="F94" s="193">
        <f t="shared" si="6"/>
        <v>7.999999999999952</v>
      </c>
      <c r="G94" s="6">
        <v>0</v>
      </c>
      <c r="H94" s="243"/>
      <c r="I94" s="243"/>
      <c r="J94" s="6">
        <v>3.1459999999999999</v>
      </c>
      <c r="K94" s="6">
        <v>217</v>
      </c>
      <c r="L94" s="244">
        <v>45035.520833333336</v>
      </c>
      <c r="M94" s="249">
        <v>10.979372994666599</v>
      </c>
      <c r="N94" s="249">
        <v>0.67365488266666695</v>
      </c>
      <c r="O94" s="249">
        <v>12.41495316</v>
      </c>
      <c r="P94" s="249">
        <v>0.60410145599999998</v>
      </c>
      <c r="Q94" s="249">
        <v>10.979372994666599</v>
      </c>
      <c r="R94" s="249">
        <v>0.67365488266666695</v>
      </c>
    </row>
    <row r="95" spans="1:18" x14ac:dyDescent="0.25">
      <c r="A95" s="238" t="s">
        <v>272</v>
      </c>
      <c r="B95" s="6">
        <v>100</v>
      </c>
      <c r="C95" s="6">
        <v>0.23480000000000001</v>
      </c>
      <c r="D95" s="6">
        <v>0.23599999999999999</v>
      </c>
      <c r="E95" s="6">
        <f t="shared" si="5"/>
        <v>1.1999999999999789E-3</v>
      </c>
      <c r="F95" s="193">
        <f t="shared" si="6"/>
        <v>11.999999999999789</v>
      </c>
      <c r="G95" s="6">
        <v>0</v>
      </c>
      <c r="H95" s="243"/>
      <c r="I95" s="243"/>
      <c r="J95" s="6">
        <v>3.9940000000000002</v>
      </c>
      <c r="K95" s="6">
        <v>218</v>
      </c>
      <c r="L95" s="244">
        <v>45035.729166666664</v>
      </c>
      <c r="M95" s="249">
        <v>15.365095666666599</v>
      </c>
      <c r="N95" s="249">
        <v>0.84619563600000003</v>
      </c>
      <c r="O95" s="249">
        <v>14.767932800000001</v>
      </c>
      <c r="P95" s="249">
        <v>0.67150981999999904</v>
      </c>
      <c r="Q95" s="249">
        <v>15.365095666666599</v>
      </c>
      <c r="R95" s="249">
        <v>0.84619563600000003</v>
      </c>
    </row>
    <row r="96" spans="1:18" x14ac:dyDescent="0.25">
      <c r="A96" s="238" t="s">
        <v>273</v>
      </c>
      <c r="B96" s="6">
        <v>100</v>
      </c>
      <c r="C96" s="6">
        <v>0.23530000000000001</v>
      </c>
      <c r="D96" s="6">
        <v>0.2359</v>
      </c>
      <c r="E96" s="6">
        <f t="shared" si="5"/>
        <v>5.9999999999998943E-4</v>
      </c>
      <c r="F96" s="193">
        <f t="shared" si="6"/>
        <v>5.9999999999998943</v>
      </c>
      <c r="G96" s="6">
        <v>22.36</v>
      </c>
      <c r="H96" s="243"/>
      <c r="I96" s="243"/>
      <c r="J96" s="6">
        <v>3.5329999999999999</v>
      </c>
      <c r="K96" s="6">
        <v>219</v>
      </c>
      <c r="L96" s="244">
        <v>45035.9375</v>
      </c>
      <c r="M96" s="249">
        <v>11.7061532666666</v>
      </c>
      <c r="N96" s="249">
        <v>0.83329736266666699</v>
      </c>
      <c r="O96" s="249">
        <v>11.1057975</v>
      </c>
      <c r="P96" s="249">
        <v>0.66694145599999999</v>
      </c>
      <c r="Q96" s="249">
        <v>11.7061532666666</v>
      </c>
      <c r="R96" s="249">
        <v>0.83329736266666699</v>
      </c>
    </row>
    <row r="97" spans="1:18" x14ac:dyDescent="0.25">
      <c r="A97" s="238" t="s">
        <v>274</v>
      </c>
      <c r="B97" s="6">
        <v>90</v>
      </c>
      <c r="C97" s="6">
        <v>0.2346</v>
      </c>
      <c r="D97" s="6">
        <v>0.2354</v>
      </c>
      <c r="E97" s="6">
        <f t="shared" si="5"/>
        <v>7.9999999999999516E-4</v>
      </c>
      <c r="F97" s="193">
        <f t="shared" si="6"/>
        <v>8.888888888888836</v>
      </c>
      <c r="G97" s="6">
        <v>30.83</v>
      </c>
      <c r="H97" s="243"/>
      <c r="I97" s="243"/>
      <c r="J97" s="6">
        <v>3.4340000000000002</v>
      </c>
      <c r="K97" s="6">
        <v>220</v>
      </c>
      <c r="L97" s="244">
        <v>45036.145833333336</v>
      </c>
      <c r="M97" s="249">
        <v>10.3695922</v>
      </c>
      <c r="N97" s="249">
        <v>0.74757178266666702</v>
      </c>
      <c r="O97" s="249">
        <v>9.7756285599999995</v>
      </c>
      <c r="P97" s="249">
        <v>0.62983861199999902</v>
      </c>
      <c r="Q97" s="249">
        <v>10.3695922</v>
      </c>
      <c r="R97" s="249">
        <v>0.74757178266666702</v>
      </c>
    </row>
    <row r="98" spans="1:18" x14ac:dyDescent="0.25">
      <c r="A98" s="238" t="s">
        <v>275</v>
      </c>
      <c r="B98" s="6">
        <v>90</v>
      </c>
      <c r="C98" s="6">
        <v>0.2369</v>
      </c>
      <c r="D98" s="6">
        <v>0.23799999999999999</v>
      </c>
      <c r="E98" s="6">
        <f t="shared" si="5"/>
        <v>1.0999999999999899E-3</v>
      </c>
      <c r="F98" s="193">
        <f t="shared" si="6"/>
        <v>12.222222222222108</v>
      </c>
      <c r="G98" s="6">
        <v>0</v>
      </c>
      <c r="H98" s="243"/>
      <c r="I98" s="243"/>
      <c r="J98" s="6">
        <v>3.4279999999999999</v>
      </c>
      <c r="K98" s="6">
        <v>221</v>
      </c>
      <c r="L98" s="244">
        <v>45036.354166666664</v>
      </c>
      <c r="M98" s="249">
        <v>10.998456733333301</v>
      </c>
      <c r="N98" s="249">
        <v>0.68585567866666697</v>
      </c>
      <c r="O98" s="249">
        <v>10.018984959999999</v>
      </c>
      <c r="P98" s="249">
        <v>0.61001804000000004</v>
      </c>
      <c r="Q98" s="249">
        <v>10.998456733333301</v>
      </c>
      <c r="R98" s="249">
        <v>0.68585567866666697</v>
      </c>
    </row>
    <row r="99" spans="1:18" x14ac:dyDescent="0.25">
      <c r="A99" s="238" t="s">
        <v>276</v>
      </c>
      <c r="B99" s="6">
        <v>160</v>
      </c>
      <c r="C99" s="6">
        <v>0.23549999999999999</v>
      </c>
      <c r="D99" s="6">
        <v>0.2366</v>
      </c>
      <c r="E99" s="6">
        <f t="shared" si="5"/>
        <v>1.1000000000000176E-3</v>
      </c>
      <c r="F99" s="193">
        <f t="shared" si="6"/>
        <v>6.8750000000001101</v>
      </c>
      <c r="G99" s="6">
        <v>0</v>
      </c>
      <c r="H99" s="243"/>
      <c r="I99" s="243"/>
      <c r="J99" s="6">
        <v>3.4809999999999999</v>
      </c>
      <c r="K99" s="6">
        <v>236</v>
      </c>
      <c r="L99" s="244">
        <v>45036.770833333336</v>
      </c>
      <c r="M99" s="249">
        <v>11.4034091866666</v>
      </c>
      <c r="N99" s="249">
        <v>0.69074627200000005</v>
      </c>
      <c r="O99" s="249">
        <v>9.4103997199999991</v>
      </c>
      <c r="P99" s="249">
        <v>0.61654414000000002</v>
      </c>
      <c r="Q99" s="249">
        <v>11.4034091866666</v>
      </c>
      <c r="R99" s="249">
        <v>0.69074627200000005</v>
      </c>
    </row>
    <row r="100" spans="1:18" x14ac:dyDescent="0.25">
      <c r="A100" s="238" t="s">
        <v>277</v>
      </c>
      <c r="B100" s="6">
        <v>150</v>
      </c>
      <c r="C100" s="6">
        <v>0.23280000000000001</v>
      </c>
      <c r="D100" s="6">
        <v>0.23350000000000001</v>
      </c>
      <c r="E100" s="6">
        <f t="shared" si="5"/>
        <v>7.0000000000000617E-4</v>
      </c>
      <c r="F100" s="193">
        <f t="shared" si="6"/>
        <v>4.6666666666667078</v>
      </c>
      <c r="G100" s="6">
        <v>24.91</v>
      </c>
      <c r="H100" s="243"/>
      <c r="I100" s="243"/>
      <c r="J100" s="6">
        <v>3.2829999999999999</v>
      </c>
      <c r="K100" s="6">
        <v>237</v>
      </c>
      <c r="L100" s="244">
        <v>45036.979166666664</v>
      </c>
      <c r="M100" s="249">
        <v>10.587694328</v>
      </c>
      <c r="N100" s="249">
        <v>0.66556153733333401</v>
      </c>
      <c r="O100" s="249">
        <v>8.6639274400000001</v>
      </c>
      <c r="P100" s="249">
        <v>0.59535333199999996</v>
      </c>
      <c r="Q100" s="249">
        <v>10.587694328</v>
      </c>
      <c r="R100" s="249">
        <v>0.66556153733333401</v>
      </c>
    </row>
    <row r="101" spans="1:18" x14ac:dyDescent="0.25">
      <c r="A101" s="238" t="s">
        <v>278</v>
      </c>
      <c r="B101" s="6">
        <v>150</v>
      </c>
      <c r="C101" s="6">
        <v>0.23530000000000001</v>
      </c>
      <c r="D101" s="6">
        <v>0.2361</v>
      </c>
      <c r="E101" s="6">
        <f t="shared" si="5"/>
        <v>7.9999999999999516E-4</v>
      </c>
      <c r="F101" s="193">
        <f t="shared" si="6"/>
        <v>5.3333333333333011</v>
      </c>
      <c r="G101" s="6">
        <v>0</v>
      </c>
      <c r="H101" s="243"/>
      <c r="I101" s="243"/>
      <c r="J101" s="6">
        <v>3.0840000000000001</v>
      </c>
      <c r="K101" s="6">
        <v>238</v>
      </c>
      <c r="L101" s="244">
        <v>45037.395833333336</v>
      </c>
      <c r="M101" s="249">
        <v>8.4315058493333304</v>
      </c>
      <c r="N101" s="249">
        <v>0.62673250666666702</v>
      </c>
      <c r="O101" s="249">
        <v>8.8986113000000007</v>
      </c>
      <c r="P101" s="249">
        <v>0.56270766400000005</v>
      </c>
      <c r="Q101" s="249">
        <v>8.4315058493333304</v>
      </c>
      <c r="R101" s="249">
        <v>0.62673250666666702</v>
      </c>
    </row>
    <row r="102" spans="1:18" x14ac:dyDescent="0.25">
      <c r="A102" s="238" t="s">
        <v>279</v>
      </c>
      <c r="B102" s="6">
        <v>150</v>
      </c>
      <c r="C102" s="6">
        <v>0.23719999999999999</v>
      </c>
      <c r="D102" s="6">
        <v>0.23810000000000001</v>
      </c>
      <c r="E102" s="6">
        <f t="shared" si="5"/>
        <v>9.000000000000119E-4</v>
      </c>
      <c r="F102" s="193">
        <f t="shared" si="6"/>
        <v>6.000000000000079</v>
      </c>
      <c r="G102" s="6">
        <v>0</v>
      </c>
      <c r="H102" s="243"/>
      <c r="I102" s="243"/>
      <c r="J102" s="6">
        <v>3.2890000000000001</v>
      </c>
      <c r="K102" s="6">
        <v>239</v>
      </c>
      <c r="L102" s="244">
        <v>45037.604166666664</v>
      </c>
      <c r="M102" s="249">
        <v>10.6954302066666</v>
      </c>
      <c r="N102" s="249">
        <v>0.61314624799999995</v>
      </c>
      <c r="O102" s="249">
        <v>8.95110431999999</v>
      </c>
      <c r="P102" s="249">
        <v>0.55456220000000001</v>
      </c>
      <c r="Q102" s="249">
        <v>10.6954302066666</v>
      </c>
      <c r="R102" s="249">
        <v>0.61314624799999995</v>
      </c>
    </row>
    <row r="103" spans="1:18" x14ac:dyDescent="0.25">
      <c r="A103" s="238" t="s">
        <v>280</v>
      </c>
      <c r="B103" s="6">
        <v>140</v>
      </c>
      <c r="C103" s="6">
        <v>0.23400000000000001</v>
      </c>
      <c r="D103" s="6">
        <v>0.23649999999999999</v>
      </c>
      <c r="E103" s="6">
        <f t="shared" si="5"/>
        <v>2.4999999999999745E-3</v>
      </c>
      <c r="F103" s="193">
        <f t="shared" si="6"/>
        <v>17.857142857142676</v>
      </c>
      <c r="G103" s="6">
        <v>67.13</v>
      </c>
      <c r="H103" s="243"/>
      <c r="I103" s="243"/>
      <c r="J103" s="6">
        <v>3.8639999999999999</v>
      </c>
      <c r="K103" s="6">
        <v>240</v>
      </c>
      <c r="L103" s="244">
        <v>45037.8125</v>
      </c>
      <c r="M103" s="249">
        <v>11.028182213333301</v>
      </c>
      <c r="N103" s="249">
        <v>0.67337176666666698</v>
      </c>
      <c r="O103" s="249">
        <v>10.23910416</v>
      </c>
      <c r="P103" s="249">
        <v>0.60365951999999901</v>
      </c>
      <c r="Q103" s="249">
        <v>11.028182213333301</v>
      </c>
      <c r="R103" s="249">
        <v>0.67337176666666698</v>
      </c>
    </row>
    <row r="104" spans="1:18" x14ac:dyDescent="0.25">
      <c r="A104" s="238" t="s">
        <v>281</v>
      </c>
      <c r="B104" s="6">
        <v>150</v>
      </c>
      <c r="C104" s="6">
        <v>0.2336</v>
      </c>
      <c r="D104" s="6">
        <v>0.23419999999999999</v>
      </c>
      <c r="E104" s="6">
        <f t="shared" si="5"/>
        <v>5.9999999999998943E-4</v>
      </c>
      <c r="F104" s="193">
        <f t="shared" si="6"/>
        <v>3.9999999999999298</v>
      </c>
      <c r="G104" s="6">
        <v>0</v>
      </c>
      <c r="H104" s="243"/>
      <c r="I104" s="243"/>
      <c r="J104" s="6">
        <v>3.3439999999999999</v>
      </c>
      <c r="K104" s="6">
        <v>241</v>
      </c>
      <c r="L104" s="244">
        <v>45038.020833333336</v>
      </c>
      <c r="M104" s="249">
        <v>8.2315103599999997</v>
      </c>
      <c r="N104" s="249">
        <v>0.65291963600000003</v>
      </c>
      <c r="O104" s="249">
        <v>7.9644718799999996</v>
      </c>
      <c r="P104" s="249">
        <v>0.58347059199999995</v>
      </c>
      <c r="Q104" s="249">
        <v>8.2315103599999997</v>
      </c>
      <c r="R104" s="249">
        <v>0.65291963600000003</v>
      </c>
    </row>
    <row r="105" spans="1:18" x14ac:dyDescent="0.25">
      <c r="A105" s="238" t="s">
        <v>282</v>
      </c>
      <c r="B105" s="6">
        <v>150</v>
      </c>
      <c r="C105" s="6">
        <v>0.23469999999999999</v>
      </c>
      <c r="D105" s="6">
        <v>0.23569999999999999</v>
      </c>
      <c r="E105" s="6">
        <f t="shared" si="5"/>
        <v>1.0000000000000009E-3</v>
      </c>
      <c r="F105" s="193">
        <f t="shared" si="6"/>
        <v>6.6666666666666723</v>
      </c>
      <c r="G105" s="6">
        <v>51.68</v>
      </c>
      <c r="H105" s="17">
        <f>0.0058357639970625*27.38</f>
        <v>0.15978321823957126</v>
      </c>
      <c r="I105" s="245">
        <f>H105/(B105/1000)</f>
        <v>1.065221454930475</v>
      </c>
      <c r="J105" s="6">
        <v>3.1840000000000002</v>
      </c>
      <c r="K105" s="6">
        <v>242</v>
      </c>
      <c r="L105" s="244">
        <v>45038.229166666664</v>
      </c>
      <c r="M105" s="249">
        <v>7.7667874933333296</v>
      </c>
      <c r="N105" s="249">
        <v>0.63352483999999998</v>
      </c>
      <c r="O105" s="249">
        <v>7.6684761000000004</v>
      </c>
      <c r="P105" s="249">
        <v>0.56803161199999996</v>
      </c>
      <c r="Q105" s="249">
        <v>7.7667874933333296</v>
      </c>
      <c r="R105" s="249">
        <v>0.63352483999999998</v>
      </c>
    </row>
    <row r="106" spans="1:18" x14ac:dyDescent="0.25">
      <c r="A106" s="238" t="s">
        <v>283</v>
      </c>
      <c r="B106" s="6">
        <v>145</v>
      </c>
      <c r="C106" s="6">
        <v>0.23680000000000001</v>
      </c>
      <c r="D106" s="6">
        <v>0.23760000000000001</v>
      </c>
      <c r="E106" s="6">
        <f t="shared" si="5"/>
        <v>7.9999999999999516E-4</v>
      </c>
      <c r="F106" s="193">
        <f t="shared" si="6"/>
        <v>5.5172413793103114</v>
      </c>
      <c r="G106" s="6">
        <v>0</v>
      </c>
      <c r="H106" s="243"/>
      <c r="I106" s="243"/>
      <c r="J106" s="6">
        <v>3.246</v>
      </c>
      <c r="K106" s="6">
        <v>243</v>
      </c>
      <c r="L106" s="244">
        <v>45038.4375</v>
      </c>
      <c r="M106" s="249">
        <v>7.4946411733333296</v>
      </c>
      <c r="N106" s="249">
        <v>0.61422888399999997</v>
      </c>
      <c r="O106" s="249">
        <v>7.1552944799999896</v>
      </c>
      <c r="P106" s="249">
        <v>0.55254749999999997</v>
      </c>
      <c r="Q106" s="249">
        <v>7.4946411733333296</v>
      </c>
      <c r="R106" s="249">
        <v>0.61422888399999997</v>
      </c>
    </row>
    <row r="107" spans="1:18" x14ac:dyDescent="0.25">
      <c r="A107" s="238" t="s">
        <v>284</v>
      </c>
      <c r="B107" s="6">
        <v>150</v>
      </c>
      <c r="C107" s="6">
        <v>0.23799999999999999</v>
      </c>
      <c r="D107" s="6">
        <v>0.23880000000000001</v>
      </c>
      <c r="E107" s="6">
        <f t="shared" si="5"/>
        <v>8.0000000000002292E-4</v>
      </c>
      <c r="F107" s="193">
        <f t="shared" si="6"/>
        <v>5.3333333333334858</v>
      </c>
      <c r="G107" s="6">
        <v>57.56</v>
      </c>
      <c r="H107" s="243"/>
      <c r="I107" s="243"/>
      <c r="J107" s="6">
        <v>3.8860000000000001</v>
      </c>
      <c r="K107" s="6">
        <v>244</v>
      </c>
      <c r="L107" s="244">
        <v>45038.645833333336</v>
      </c>
      <c r="M107" s="249">
        <v>9.6661808800000006</v>
      </c>
      <c r="N107" s="249">
        <v>0.62944473066666695</v>
      </c>
      <c r="O107" s="249">
        <v>11.663247200000001</v>
      </c>
      <c r="P107" s="249">
        <v>0.56547555199999999</v>
      </c>
      <c r="Q107" s="249">
        <v>9.6661808800000006</v>
      </c>
      <c r="R107" s="249">
        <v>0.62944473066666695</v>
      </c>
    </row>
    <row r="108" spans="1:18" x14ac:dyDescent="0.25">
      <c r="A108" s="238" t="s">
        <v>285</v>
      </c>
      <c r="B108" s="6">
        <v>150</v>
      </c>
      <c r="C108" s="6">
        <v>0.23319999999999999</v>
      </c>
      <c r="D108" s="6">
        <v>0.2344</v>
      </c>
      <c r="E108" s="6">
        <f t="shared" si="5"/>
        <v>1.2000000000000066E-3</v>
      </c>
      <c r="F108" s="193">
        <f t="shared" si="6"/>
        <v>8.0000000000000444</v>
      </c>
      <c r="G108" s="6">
        <v>63.54</v>
      </c>
      <c r="H108" s="243"/>
      <c r="I108" s="243"/>
      <c r="J108" s="6">
        <v>3.4710000000000001</v>
      </c>
      <c r="K108" s="6">
        <v>245</v>
      </c>
      <c r="L108" s="244">
        <v>45038.854166666664</v>
      </c>
      <c r="M108" s="249">
        <v>9.1230036933333292</v>
      </c>
      <c r="N108" s="249">
        <v>0.69673094933333402</v>
      </c>
      <c r="O108" s="249">
        <v>8.1688235799999998</v>
      </c>
      <c r="P108" s="249">
        <v>0.62016368799999999</v>
      </c>
      <c r="Q108" s="249">
        <v>9.1230036933333292</v>
      </c>
      <c r="R108" s="249">
        <v>0.69673094933333402</v>
      </c>
    </row>
    <row r="109" spans="1:18" x14ac:dyDescent="0.25">
      <c r="A109" s="238" t="s">
        <v>286</v>
      </c>
      <c r="B109" s="6">
        <v>150</v>
      </c>
      <c r="C109" s="6">
        <v>0.2382</v>
      </c>
      <c r="D109" s="6">
        <v>0.23930000000000001</v>
      </c>
      <c r="E109" s="6">
        <f t="shared" si="5"/>
        <v>1.1000000000000176E-3</v>
      </c>
      <c r="F109" s="193">
        <f t="shared" si="6"/>
        <v>7.3333333333334512</v>
      </c>
      <c r="G109" s="6">
        <v>0</v>
      </c>
      <c r="H109" s="243"/>
      <c r="I109" s="243"/>
      <c r="J109" s="6">
        <v>3.3780000000000001</v>
      </c>
      <c r="K109" s="6">
        <v>246</v>
      </c>
      <c r="L109" s="244">
        <v>45039.0625</v>
      </c>
      <c r="M109" s="249">
        <v>7.9987784666666597</v>
      </c>
      <c r="N109" s="249">
        <v>0.66144730266666696</v>
      </c>
      <c r="O109" s="249">
        <v>7.2320616399999897</v>
      </c>
      <c r="P109" s="249">
        <v>0.59493480399999998</v>
      </c>
      <c r="Q109" s="249">
        <v>7.9987784666666597</v>
      </c>
      <c r="R109" s="249">
        <v>0.66144730266666696</v>
      </c>
    </row>
    <row r="110" spans="1:18" x14ac:dyDescent="0.25">
      <c r="A110" s="238" t="s">
        <v>287</v>
      </c>
      <c r="B110" s="6"/>
      <c r="C110" s="6">
        <v>0.24210000000000001</v>
      </c>
      <c r="D110" s="6">
        <v>0.24349999999999999</v>
      </c>
      <c r="E110" s="6">
        <f t="shared" si="5"/>
        <v>1.3999999999999846E-3</v>
      </c>
      <c r="F110" s="193"/>
      <c r="G110" s="6">
        <v>0</v>
      </c>
      <c r="H110" s="243"/>
      <c r="I110" s="243"/>
      <c r="J110" s="6">
        <v>3.1680000000000001</v>
      </c>
      <c r="K110" s="6">
        <v>247</v>
      </c>
      <c r="L110" s="244">
        <v>45039.479166666664</v>
      </c>
      <c r="M110" s="249">
        <v>7.7637820933333304</v>
      </c>
      <c r="N110" s="249">
        <v>0.60295106133333398</v>
      </c>
      <c r="O110" s="249">
        <v>7.1852926031999997</v>
      </c>
      <c r="P110" s="249">
        <v>0.51793339999999999</v>
      </c>
      <c r="Q110" s="249">
        <v>7.7637820933333304</v>
      </c>
      <c r="R110" s="249">
        <v>0.60295106133333398</v>
      </c>
    </row>
    <row r="111" spans="1:18" x14ac:dyDescent="0.25">
      <c r="A111" s="238" t="s">
        <v>288</v>
      </c>
      <c r="B111" s="6">
        <v>160</v>
      </c>
      <c r="C111" s="6">
        <v>0.22800000000000001</v>
      </c>
      <c r="D111" s="6">
        <v>0.2298</v>
      </c>
      <c r="E111" s="6">
        <f t="shared" si="5"/>
        <v>1.799999999999996E-3</v>
      </c>
      <c r="F111" s="193">
        <f t="shared" si="6"/>
        <v>11.249999999999975</v>
      </c>
      <c r="G111" s="6">
        <v>0</v>
      </c>
      <c r="H111" s="243"/>
      <c r="I111" s="243"/>
      <c r="J111" s="6">
        <v>3.7970000000000002</v>
      </c>
      <c r="K111" s="6">
        <v>248</v>
      </c>
      <c r="L111" s="244">
        <v>45039.666666666664</v>
      </c>
      <c r="M111" s="249">
        <v>11.7693315333333</v>
      </c>
      <c r="N111" s="249">
        <v>0.67674274266666701</v>
      </c>
      <c r="O111" s="249">
        <v>9.3171799199999992</v>
      </c>
      <c r="P111" s="249">
        <v>0.60670676400000001</v>
      </c>
      <c r="Q111" s="249">
        <v>11.7693315333333</v>
      </c>
      <c r="R111" s="249">
        <v>0.67674274266666701</v>
      </c>
    </row>
    <row r="112" spans="1:18" x14ac:dyDescent="0.25">
      <c r="A112" s="238" t="s">
        <v>289</v>
      </c>
      <c r="B112" s="6">
        <v>155</v>
      </c>
      <c r="C112" s="6">
        <v>0.23250000000000001</v>
      </c>
      <c r="D112" s="6">
        <v>0.23330000000000001</v>
      </c>
      <c r="E112" s="6">
        <f t="shared" si="5"/>
        <v>7.9999999999999516E-4</v>
      </c>
      <c r="F112" s="193">
        <f t="shared" si="6"/>
        <v>5.1612903225806139</v>
      </c>
      <c r="G112" s="6">
        <v>0</v>
      </c>
      <c r="H112" s="243"/>
      <c r="I112" s="243"/>
      <c r="J112" s="6">
        <v>3.1840000000000002</v>
      </c>
      <c r="K112" s="6">
        <v>249</v>
      </c>
      <c r="L112" s="244">
        <v>45039.875</v>
      </c>
      <c r="M112" s="249">
        <v>7.3864227533333304</v>
      </c>
      <c r="N112" s="249">
        <v>0.76992602399999999</v>
      </c>
      <c r="O112" s="249">
        <v>9.2401945999999899</v>
      </c>
      <c r="P112" s="249">
        <v>0.64345100399999999</v>
      </c>
      <c r="Q112" s="249">
        <v>7.3864227533333304</v>
      </c>
      <c r="R112" s="249">
        <v>0.76992602399999999</v>
      </c>
    </row>
    <row r="113" spans="1:18" x14ac:dyDescent="0.25">
      <c r="A113" s="238" t="s">
        <v>290</v>
      </c>
      <c r="B113" s="6">
        <v>150</v>
      </c>
      <c r="C113" s="6">
        <v>0.23519999999999999</v>
      </c>
      <c r="D113" s="6">
        <v>0.23649999999999999</v>
      </c>
      <c r="E113" s="6">
        <f t="shared" si="5"/>
        <v>1.2999999999999956E-3</v>
      </c>
      <c r="F113" s="193">
        <f t="shared" si="6"/>
        <v>8.6666666666666377</v>
      </c>
      <c r="G113" s="6">
        <v>66.59</v>
      </c>
      <c r="H113" s="243"/>
      <c r="I113" s="243"/>
      <c r="J113" s="6">
        <v>3.399</v>
      </c>
      <c r="K113" s="6">
        <v>250</v>
      </c>
      <c r="L113" s="244">
        <v>45040.083333333336</v>
      </c>
      <c r="M113" s="249">
        <v>8.16305281333333</v>
      </c>
      <c r="N113" s="249">
        <v>0.68208074266666696</v>
      </c>
      <c r="O113" s="249">
        <v>6.6271815599999897</v>
      </c>
      <c r="P113" s="249">
        <v>0.61361535199999995</v>
      </c>
      <c r="Q113" s="249">
        <v>8.16305281333333</v>
      </c>
      <c r="R113" s="249">
        <v>0.68208074266666696</v>
      </c>
    </row>
    <row r="114" spans="1:18" x14ac:dyDescent="0.25">
      <c r="A114" s="238" t="s">
        <v>291</v>
      </c>
      <c r="B114" s="6">
        <v>140</v>
      </c>
      <c r="C114" s="6">
        <v>0.2288</v>
      </c>
      <c r="D114" s="6">
        <v>0.23</v>
      </c>
      <c r="E114" s="6">
        <f t="shared" si="5"/>
        <v>1.2000000000000066E-3</v>
      </c>
      <c r="F114" s="193">
        <f t="shared" si="6"/>
        <v>8.5714285714286191</v>
      </c>
      <c r="G114" s="6">
        <v>0</v>
      </c>
      <c r="H114" s="243"/>
      <c r="I114" s="243"/>
      <c r="J114" s="6">
        <v>3.23</v>
      </c>
      <c r="K114" s="6">
        <v>251</v>
      </c>
      <c r="L114" s="244">
        <v>45040.291666666664</v>
      </c>
      <c r="M114" s="249"/>
      <c r="N114" s="249">
        <v>0.65887905199999997</v>
      </c>
      <c r="O114" s="249">
        <v>6.83403183999999</v>
      </c>
      <c r="P114" s="249">
        <v>0.59474124799999994</v>
      </c>
      <c r="Q114" s="249"/>
      <c r="R114" s="249">
        <v>0.65887905199999997</v>
      </c>
    </row>
    <row r="115" spans="1:18" x14ac:dyDescent="0.25">
      <c r="A115" s="238" t="s">
        <v>292</v>
      </c>
      <c r="B115" s="6">
        <v>150</v>
      </c>
      <c r="C115" s="6">
        <v>0.23319999999999999</v>
      </c>
      <c r="D115" s="6"/>
      <c r="E115" s="6"/>
      <c r="F115" s="193"/>
      <c r="G115" s="6">
        <v>46.75</v>
      </c>
      <c r="H115" s="17">
        <f>0.0069204867741875*27.38</f>
        <v>0.18948292787725374</v>
      </c>
      <c r="I115" s="245">
        <f>H115/(B115/1000)</f>
        <v>1.2632195191816917</v>
      </c>
      <c r="J115" s="6">
        <v>3.6640000000000001</v>
      </c>
      <c r="K115" s="6">
        <v>252</v>
      </c>
      <c r="L115" s="244">
        <v>45040.5</v>
      </c>
      <c r="M115" s="249">
        <v>7.72098306</v>
      </c>
      <c r="N115" s="249">
        <v>0.62723157866666701</v>
      </c>
      <c r="O115" s="249">
        <v>8.1550506400000007</v>
      </c>
      <c r="P115" s="249">
        <v>0.54444331199999996</v>
      </c>
      <c r="Q115" s="249">
        <v>7.72098306</v>
      </c>
      <c r="R115" s="249">
        <v>0.62723157866666701</v>
      </c>
    </row>
    <row r="116" spans="1:18" x14ac:dyDescent="0.25">
      <c r="A116" s="238" t="s">
        <v>293</v>
      </c>
      <c r="B116" s="6">
        <v>160</v>
      </c>
      <c r="C116" s="6">
        <v>0.2311</v>
      </c>
      <c r="D116" s="6">
        <v>0.23350000000000001</v>
      </c>
      <c r="E116" s="6">
        <f t="shared" si="5"/>
        <v>2.4000000000000132E-3</v>
      </c>
      <c r="F116" s="193">
        <f t="shared" si="6"/>
        <v>15.000000000000083</v>
      </c>
      <c r="G116" s="6">
        <v>27.12</v>
      </c>
      <c r="H116" s="17">
        <f>0.0095083371205*27.38</f>
        <v>0.26033827035928997</v>
      </c>
      <c r="I116" s="245">
        <f>H116/(B116/1000)</f>
        <v>1.6271141897455623</v>
      </c>
      <c r="J116" s="6">
        <v>4.5410000000000004</v>
      </c>
      <c r="K116" s="6">
        <v>253</v>
      </c>
      <c r="L116" s="244">
        <v>45040.708333333336</v>
      </c>
      <c r="M116" s="249">
        <v>12.273739984000001</v>
      </c>
      <c r="N116" s="249">
        <v>0.81189412133333405</v>
      </c>
      <c r="O116" s="249">
        <v>13.7088416</v>
      </c>
      <c r="P116" s="249">
        <v>0.67745766399999996</v>
      </c>
      <c r="Q116" s="249">
        <v>12.273739984000001</v>
      </c>
      <c r="R116" s="249">
        <v>0.81189412133333405</v>
      </c>
    </row>
    <row r="117" spans="1:18" x14ac:dyDescent="0.25">
      <c r="A117" s="238" t="s">
        <v>299</v>
      </c>
      <c r="B117" s="6">
        <v>140</v>
      </c>
      <c r="C117" s="6">
        <v>0.23089999999999999</v>
      </c>
      <c r="D117" s="6">
        <v>0.2319</v>
      </c>
      <c r="E117" s="6">
        <f t="shared" si="5"/>
        <v>1.0000000000000009E-3</v>
      </c>
      <c r="F117" s="193">
        <f t="shared" si="6"/>
        <v>7.1428571428571495</v>
      </c>
      <c r="G117" s="6">
        <v>14.59</v>
      </c>
      <c r="H117" s="17">
        <f>0.00837063009975*27.38</f>
        <v>0.229187852131155</v>
      </c>
      <c r="I117" s="245">
        <f>H117/(B117/1000)</f>
        <v>1.637056086651107</v>
      </c>
      <c r="J117" s="6">
        <v>3.4580000000000002</v>
      </c>
      <c r="K117" s="6">
        <v>269</v>
      </c>
      <c r="L117" s="244">
        <v>45040.916666666664</v>
      </c>
      <c r="M117" s="249">
        <v>9.9380790066666602</v>
      </c>
      <c r="N117" s="249">
        <v>0.72860548133333403</v>
      </c>
      <c r="O117" s="249">
        <v>10.1428473999999</v>
      </c>
      <c r="P117" s="249">
        <v>0.69879289999999905</v>
      </c>
      <c r="Q117" s="249">
        <v>9.9380790066666602</v>
      </c>
      <c r="R117" s="249">
        <v>0.72860548133333403</v>
      </c>
    </row>
    <row r="118" spans="1:18" x14ac:dyDescent="0.25">
      <c r="A118" s="238" t="s">
        <v>294</v>
      </c>
      <c r="B118" s="6">
        <v>170</v>
      </c>
      <c r="C118" s="6">
        <v>0.23269999999999999</v>
      </c>
      <c r="D118" s="6">
        <v>0.2334</v>
      </c>
      <c r="E118" s="6">
        <f t="shared" si="5"/>
        <v>7.0000000000000617E-4</v>
      </c>
      <c r="F118" s="193">
        <f t="shared" si="6"/>
        <v>4.1176470588235654</v>
      </c>
      <c r="G118" s="6">
        <v>0</v>
      </c>
      <c r="H118" s="243"/>
      <c r="I118" s="245"/>
      <c r="J118" s="6">
        <v>3.2360000000000002</v>
      </c>
      <c r="K118" s="6">
        <v>270</v>
      </c>
      <c r="L118" s="244">
        <v>45041.125</v>
      </c>
      <c r="M118" s="249">
        <v>8.2618505333333303</v>
      </c>
      <c r="N118" s="249">
        <v>0.66229624266666698</v>
      </c>
      <c r="O118" s="249">
        <v>8.9488770800000008</v>
      </c>
      <c r="P118" s="249">
        <v>0.63710624000000005</v>
      </c>
      <c r="Q118" s="249">
        <v>8.2618505333333303</v>
      </c>
      <c r="R118" s="249">
        <v>0.66229624266666698</v>
      </c>
    </row>
    <row r="119" spans="1:18" x14ac:dyDescent="0.25">
      <c r="A119" s="238" t="s">
        <v>295</v>
      </c>
      <c r="B119" s="6">
        <v>140</v>
      </c>
      <c r="C119" s="6">
        <v>0.2359</v>
      </c>
      <c r="D119" s="6">
        <v>0.2369</v>
      </c>
      <c r="E119" s="6">
        <f t="shared" si="5"/>
        <v>1.0000000000000009E-3</v>
      </c>
      <c r="F119" s="193">
        <f t="shared" si="6"/>
        <v>7.1428571428571495</v>
      </c>
      <c r="G119" s="6">
        <v>0</v>
      </c>
      <c r="H119" s="243"/>
      <c r="I119" s="245"/>
      <c r="J119" s="6">
        <v>3.2829999999999999</v>
      </c>
      <c r="K119" s="6">
        <v>271</v>
      </c>
      <c r="L119" s="244">
        <v>45041.541666666664</v>
      </c>
      <c r="M119" s="249">
        <v>9.0383009999999899</v>
      </c>
      <c r="N119" s="249">
        <v>0.64996640800000005</v>
      </c>
      <c r="O119" s="249">
        <v>9.1187322399999999</v>
      </c>
      <c r="P119" s="249">
        <v>0.59804602399999995</v>
      </c>
      <c r="Q119" s="249">
        <v>9.0383009999999899</v>
      </c>
      <c r="R119" s="249">
        <v>0.64996640800000005</v>
      </c>
    </row>
    <row r="120" spans="1:18" x14ac:dyDescent="0.25">
      <c r="A120" s="238" t="s">
        <v>296</v>
      </c>
      <c r="B120" s="6" t="s">
        <v>179</v>
      </c>
      <c r="C120" s="6">
        <v>0.2306</v>
      </c>
      <c r="D120" s="6">
        <v>0.23139999999999999</v>
      </c>
      <c r="E120" s="6">
        <f t="shared" si="5"/>
        <v>7.9999999999999516E-4</v>
      </c>
      <c r="F120" s="193"/>
      <c r="G120" s="6">
        <v>0</v>
      </c>
      <c r="H120" s="243"/>
      <c r="I120" s="245"/>
      <c r="J120" s="6">
        <v>3.1280000000000001</v>
      </c>
      <c r="K120" s="6">
        <v>272</v>
      </c>
      <c r="L120" s="244">
        <v>45041.75</v>
      </c>
      <c r="M120" s="249">
        <v>9.2480751333333302</v>
      </c>
      <c r="N120" s="249">
        <v>1.0381982133333301</v>
      </c>
      <c r="O120" s="249">
        <v>8.1289062039999997</v>
      </c>
      <c r="P120" s="249">
        <v>0.61784086400000005</v>
      </c>
      <c r="Q120" s="249">
        <v>9.2480751333333302</v>
      </c>
      <c r="R120" s="249">
        <v>1.0381982133333301</v>
      </c>
    </row>
    <row r="121" spans="1:18" x14ac:dyDescent="0.25">
      <c r="A121" s="238" t="s">
        <v>297</v>
      </c>
      <c r="B121" s="6">
        <v>145</v>
      </c>
      <c r="C121" s="6">
        <v>0.23280000000000001</v>
      </c>
      <c r="D121" s="6">
        <v>0.2336</v>
      </c>
      <c r="E121" s="6">
        <f t="shared" si="5"/>
        <v>7.9999999999999516E-4</v>
      </c>
      <c r="F121" s="193">
        <f t="shared" si="6"/>
        <v>5.5172413793103114</v>
      </c>
      <c r="G121" s="6">
        <v>0</v>
      </c>
      <c r="H121" s="243"/>
      <c r="I121" s="245"/>
      <c r="J121" s="6">
        <v>3.044</v>
      </c>
      <c r="K121" s="6">
        <v>273</v>
      </c>
      <c r="L121" s="244">
        <v>45042.5625</v>
      </c>
      <c r="M121" s="249"/>
      <c r="N121" s="249">
        <v>0.58501505866666703</v>
      </c>
      <c r="O121" s="249">
        <v>6.5828858800000001</v>
      </c>
      <c r="P121" s="249">
        <v>0.55575588399999998</v>
      </c>
      <c r="Q121" s="249"/>
      <c r="R121" s="249">
        <v>0.58501505866666703</v>
      </c>
    </row>
    <row r="122" spans="1:18" x14ac:dyDescent="0.25">
      <c r="A122" s="238" t="s">
        <v>298</v>
      </c>
      <c r="B122" s="6">
        <v>150</v>
      </c>
      <c r="C122" s="6">
        <v>0.2356</v>
      </c>
      <c r="D122" s="6">
        <v>0.23730000000000001</v>
      </c>
      <c r="E122" s="6">
        <f t="shared" si="5"/>
        <v>1.7000000000000071E-3</v>
      </c>
      <c r="F122" s="193">
        <f t="shared" si="6"/>
        <v>11.33333333333338</v>
      </c>
      <c r="G122" s="6">
        <v>0</v>
      </c>
      <c r="H122" s="243"/>
      <c r="I122" s="245"/>
      <c r="J122" s="6">
        <v>3.0270000000000001</v>
      </c>
      <c r="K122" s="6">
        <v>274</v>
      </c>
      <c r="L122" s="244">
        <v>45042.791666666664</v>
      </c>
      <c r="M122" s="249">
        <v>7.6434516266666597</v>
      </c>
      <c r="N122" s="249">
        <v>0.63423936000000003</v>
      </c>
      <c r="O122" s="249">
        <v>7.6360871199999902</v>
      </c>
      <c r="P122" s="249">
        <v>0.59034808000000005</v>
      </c>
      <c r="Q122" s="249">
        <v>7.6434516266666597</v>
      </c>
      <c r="R122" s="249">
        <v>0.63423936000000003</v>
      </c>
    </row>
    <row r="123" spans="1:18" x14ac:dyDescent="0.25">
      <c r="A123" s="238" t="s">
        <v>300</v>
      </c>
      <c r="B123" s="6">
        <v>150</v>
      </c>
      <c r="C123" s="6">
        <v>0.2394</v>
      </c>
      <c r="D123" s="6">
        <v>0.2404</v>
      </c>
      <c r="E123" s="6">
        <f t="shared" si="5"/>
        <v>1.0000000000000009E-3</v>
      </c>
      <c r="F123" s="193">
        <f t="shared" si="6"/>
        <v>6.6666666666666723</v>
      </c>
      <c r="G123" s="6">
        <v>0</v>
      </c>
      <c r="H123" s="243"/>
      <c r="I123" s="245"/>
      <c r="J123" s="6">
        <v>2.9550000000000001</v>
      </c>
      <c r="K123" s="6">
        <v>283</v>
      </c>
      <c r="L123" s="244">
        <v>45043</v>
      </c>
      <c r="M123" s="249">
        <v>6.1651286666666598</v>
      </c>
      <c r="N123" s="249">
        <v>0.56620714800000005</v>
      </c>
      <c r="O123" s="249">
        <v>6.68355736</v>
      </c>
      <c r="P123" s="249">
        <v>0.57754375599999996</v>
      </c>
      <c r="Q123" s="249">
        <v>6.1651286666666598</v>
      </c>
      <c r="R123" s="249">
        <v>0.56620714800000005</v>
      </c>
    </row>
    <row r="124" spans="1:18" x14ac:dyDescent="0.25">
      <c r="A124" s="238" t="s">
        <v>301</v>
      </c>
      <c r="B124" s="6">
        <v>170</v>
      </c>
      <c r="C124" s="6">
        <v>0.2349</v>
      </c>
      <c r="D124" s="6">
        <v>0.23580000000000001</v>
      </c>
      <c r="E124" s="6">
        <f t="shared" si="5"/>
        <v>9.000000000000119E-4</v>
      </c>
      <c r="F124" s="193">
        <f t="shared" si="6"/>
        <v>5.2941176470588935</v>
      </c>
      <c r="G124" s="6">
        <v>0</v>
      </c>
      <c r="H124" s="243"/>
      <c r="I124" s="245"/>
      <c r="J124" s="6">
        <v>2.5230000000000001</v>
      </c>
      <c r="K124" s="6">
        <v>284</v>
      </c>
      <c r="L124" s="244">
        <v>45043.208333333336</v>
      </c>
      <c r="M124" s="249">
        <v>5.42235642666666</v>
      </c>
      <c r="N124" s="249">
        <v>0.74199311066666696</v>
      </c>
      <c r="O124" s="249">
        <v>6.0356489199999999</v>
      </c>
      <c r="P124" s="249">
        <v>0.56059426400000001</v>
      </c>
      <c r="Q124" s="249">
        <v>5.42235642666666</v>
      </c>
      <c r="R124" s="249">
        <v>0.74199311066666696</v>
      </c>
    </row>
    <row r="125" spans="1:18" x14ac:dyDescent="0.25">
      <c r="A125" s="238" t="s">
        <v>302</v>
      </c>
      <c r="B125" s="6"/>
      <c r="C125" s="6"/>
      <c r="D125" s="6"/>
      <c r="E125" s="6"/>
      <c r="F125" s="193"/>
      <c r="G125" s="6">
        <v>0</v>
      </c>
      <c r="H125" s="243"/>
      <c r="I125" s="245"/>
      <c r="J125" s="6">
        <v>2.681</v>
      </c>
      <c r="K125" s="6">
        <v>285</v>
      </c>
      <c r="L125" s="244">
        <v>45043.416666666664</v>
      </c>
      <c r="M125" s="249">
        <v>6.7731638133333298</v>
      </c>
      <c r="N125" s="249">
        <v>0.77998544400000003</v>
      </c>
      <c r="O125" s="249">
        <v>7.2851257199999999</v>
      </c>
      <c r="P125" s="249">
        <v>0.542822888</v>
      </c>
      <c r="Q125" s="249">
        <v>6.7731638133333298</v>
      </c>
      <c r="R125" s="249">
        <v>0.77998544400000003</v>
      </c>
    </row>
    <row r="126" spans="1:18" x14ac:dyDescent="0.25">
      <c r="A126" s="238" t="s">
        <v>303</v>
      </c>
      <c r="B126" s="6">
        <v>160</v>
      </c>
      <c r="C126" s="6">
        <v>0.2339</v>
      </c>
      <c r="D126" s="6">
        <v>0.2351</v>
      </c>
      <c r="E126" s="6">
        <f t="shared" si="5"/>
        <v>1.2000000000000066E-3</v>
      </c>
      <c r="F126" s="193">
        <f t="shared" si="6"/>
        <v>7.5000000000000417</v>
      </c>
      <c r="G126" s="6">
        <v>0</v>
      </c>
      <c r="H126" s="243"/>
      <c r="I126" s="245"/>
      <c r="J126" s="6">
        <v>3.456</v>
      </c>
      <c r="K126" s="6">
        <v>286</v>
      </c>
      <c r="L126" s="244">
        <v>45043.625</v>
      </c>
      <c r="M126" s="249">
        <v>9.6546325599999996</v>
      </c>
      <c r="N126" s="249">
        <v>1.93208359333333</v>
      </c>
      <c r="O126" s="249">
        <v>8.6648960400000004</v>
      </c>
      <c r="P126" s="249">
        <v>0.57702389599999904</v>
      </c>
      <c r="Q126" s="249">
        <v>9.6546325599999996</v>
      </c>
      <c r="R126" s="249">
        <v>1.93208359333333</v>
      </c>
    </row>
    <row r="127" spans="1:18" x14ac:dyDescent="0.25">
      <c r="A127" s="238" t="s">
        <v>304</v>
      </c>
      <c r="B127" s="6"/>
      <c r="C127" s="6">
        <v>0.23080000000000001</v>
      </c>
      <c r="D127" s="6">
        <v>0.23230000000000001</v>
      </c>
      <c r="E127" s="6">
        <f t="shared" si="5"/>
        <v>1.5000000000000013E-3</v>
      </c>
      <c r="F127" s="193"/>
      <c r="G127" s="6">
        <v>0</v>
      </c>
      <c r="H127" s="243"/>
      <c r="I127" s="245"/>
      <c r="J127" s="6">
        <v>3.1459999999999999</v>
      </c>
      <c r="K127" s="6">
        <v>287</v>
      </c>
      <c r="L127" s="244">
        <v>45043.833333333336</v>
      </c>
      <c r="M127" s="249">
        <v>8.6037493866666601</v>
      </c>
      <c r="N127" s="249">
        <v>1.64547994</v>
      </c>
      <c r="O127" s="249">
        <v>10.076955359999999</v>
      </c>
      <c r="P127" s="249">
        <v>0.69683061199999896</v>
      </c>
      <c r="Q127" s="249">
        <v>8.6037493866666601</v>
      </c>
      <c r="R127" s="249">
        <v>1.64547994</v>
      </c>
    </row>
    <row r="128" spans="1:18" x14ac:dyDescent="0.25">
      <c r="A128" s="238" t="s">
        <v>305</v>
      </c>
      <c r="B128" s="6">
        <v>160</v>
      </c>
      <c r="C128" s="6">
        <v>0.2321</v>
      </c>
      <c r="D128" s="6">
        <v>0.2334</v>
      </c>
      <c r="E128" s="6">
        <f t="shared" si="5"/>
        <v>1.2999999999999956E-3</v>
      </c>
      <c r="F128" s="193">
        <f t="shared" si="6"/>
        <v>8.1249999999999734</v>
      </c>
      <c r="G128" s="6">
        <v>0</v>
      </c>
      <c r="H128" s="6"/>
      <c r="I128" s="245"/>
      <c r="J128" s="6">
        <v>3.0259999999999998</v>
      </c>
      <c r="K128" s="6">
        <v>288</v>
      </c>
      <c r="L128" s="244">
        <v>45044.041666666664</v>
      </c>
      <c r="M128" s="249">
        <v>7.5119917466666601</v>
      </c>
      <c r="N128" s="249">
        <v>1.2684738933333299</v>
      </c>
      <c r="O128" s="249">
        <v>7.5388328024</v>
      </c>
      <c r="P128" s="249">
        <v>0.649056788</v>
      </c>
      <c r="Q128" s="249">
        <v>7.5119917466666601</v>
      </c>
      <c r="R128" s="249">
        <v>1.2684738933333299</v>
      </c>
    </row>
    <row r="129" spans="1:18" x14ac:dyDescent="0.25">
      <c r="A129" s="238" t="s">
        <v>306</v>
      </c>
      <c r="B129" s="6">
        <v>155</v>
      </c>
      <c r="C129" s="6">
        <v>0.2331</v>
      </c>
      <c r="D129" s="6">
        <v>0.2349</v>
      </c>
      <c r="E129" s="6">
        <f t="shared" si="5"/>
        <v>1.799999999999996E-3</v>
      </c>
      <c r="F129" s="193">
        <f t="shared" si="6"/>
        <v>11.612903225806427</v>
      </c>
      <c r="G129" s="6">
        <v>0</v>
      </c>
      <c r="H129" s="6"/>
      <c r="I129" s="245"/>
      <c r="J129" s="6">
        <v>2.7909999999999999</v>
      </c>
      <c r="K129" s="6">
        <v>289</v>
      </c>
      <c r="L129" s="244">
        <v>45044.25</v>
      </c>
      <c r="M129" s="249">
        <v>9.6479184666666598</v>
      </c>
      <c r="N129" s="249">
        <v>2.4295241733333302</v>
      </c>
      <c r="O129" s="249">
        <v>8.1453577599999996</v>
      </c>
      <c r="P129" s="249">
        <v>0.61863771199999995</v>
      </c>
      <c r="Q129" s="249">
        <v>9.6479184666666598</v>
      </c>
      <c r="R129" s="249">
        <v>2.4295241733333302</v>
      </c>
    </row>
    <row r="130" spans="1:18" x14ac:dyDescent="0.25">
      <c r="A130" s="238" t="s">
        <v>307</v>
      </c>
      <c r="B130" s="6">
        <v>160</v>
      </c>
      <c r="C130" s="6">
        <v>0.23139999999999999</v>
      </c>
      <c r="D130" s="6">
        <v>0.23269999999999999</v>
      </c>
      <c r="E130" s="6">
        <f t="shared" si="5"/>
        <v>1.2999999999999956E-3</v>
      </c>
      <c r="F130" s="193">
        <f t="shared" si="6"/>
        <v>8.1249999999999734</v>
      </c>
      <c r="G130" s="6">
        <v>0</v>
      </c>
      <c r="H130" s="6"/>
      <c r="I130" s="245"/>
      <c r="J130" s="6">
        <v>2.6970000000000001</v>
      </c>
      <c r="K130" s="6">
        <v>290</v>
      </c>
      <c r="L130" s="244">
        <v>45044.458333333336</v>
      </c>
      <c r="M130" s="249">
        <v>5.7798811900000002</v>
      </c>
      <c r="N130" s="249">
        <v>1.26424327333333</v>
      </c>
      <c r="O130" s="249">
        <v>7.4115104000000001</v>
      </c>
      <c r="P130" s="249">
        <v>0.55664535599999998</v>
      </c>
      <c r="Q130" s="249">
        <v>5.7798811900000002</v>
      </c>
      <c r="R130" s="249">
        <v>1.26424327333333</v>
      </c>
    </row>
    <row r="131" spans="1:18" x14ac:dyDescent="0.25">
      <c r="A131" s="238" t="s">
        <v>308</v>
      </c>
      <c r="B131" s="6">
        <v>150</v>
      </c>
      <c r="C131" s="6">
        <v>0.2321</v>
      </c>
      <c r="D131" s="6">
        <v>0.2331</v>
      </c>
      <c r="E131" s="6">
        <f t="shared" si="5"/>
        <v>1.0000000000000009E-3</v>
      </c>
      <c r="F131" s="193">
        <f t="shared" si="6"/>
        <v>6.6666666666666723</v>
      </c>
      <c r="G131" s="6">
        <v>56.02</v>
      </c>
      <c r="H131" s="6"/>
      <c r="I131" s="245"/>
      <c r="J131" s="6">
        <v>3.1160000000000001</v>
      </c>
      <c r="K131" s="6">
        <v>291</v>
      </c>
      <c r="L131" s="244">
        <v>45044.666666666664</v>
      </c>
      <c r="M131" s="249">
        <v>8.0249351333333294</v>
      </c>
      <c r="N131" s="249">
        <v>1.60427601066666</v>
      </c>
      <c r="O131" s="249">
        <v>6.8345387903999999</v>
      </c>
      <c r="P131" s="249">
        <v>0.59644744000000005</v>
      </c>
      <c r="Q131" s="249">
        <v>8.0249351333333294</v>
      </c>
      <c r="R131" s="249">
        <v>1.60427601066666</v>
      </c>
    </row>
    <row r="132" spans="1:18" x14ac:dyDescent="0.25">
      <c r="A132" s="238" t="s">
        <v>309</v>
      </c>
      <c r="B132" s="6">
        <v>160</v>
      </c>
      <c r="C132" s="6">
        <v>0.2354</v>
      </c>
      <c r="D132" s="6">
        <v>0.23599999999999999</v>
      </c>
      <c r="E132" s="6">
        <f t="shared" si="5"/>
        <v>5.9999999999998943E-4</v>
      </c>
      <c r="F132" s="193">
        <f t="shared" si="6"/>
        <v>3.7499999999999338</v>
      </c>
      <c r="G132" s="6">
        <v>0</v>
      </c>
      <c r="H132" s="6"/>
      <c r="I132" s="245"/>
      <c r="J132" s="6">
        <v>2.9769999999999999</v>
      </c>
      <c r="K132" s="6">
        <v>302</v>
      </c>
      <c r="L132" s="247">
        <v>45044.875</v>
      </c>
      <c r="M132" s="249">
        <v>6.3661506000000001</v>
      </c>
      <c r="N132" s="249">
        <v>2.3765978666666601</v>
      </c>
      <c r="O132" s="249">
        <v>7.9445271199999903</v>
      </c>
      <c r="P132" s="249">
        <v>0.61181387599999904</v>
      </c>
      <c r="Q132" s="249">
        <v>6.3661506000000001</v>
      </c>
      <c r="R132" s="249">
        <v>2.3765978666666601</v>
      </c>
    </row>
    <row r="133" spans="1:18" x14ac:dyDescent="0.25">
      <c r="A133" s="238" t="s">
        <v>310</v>
      </c>
      <c r="B133" s="6">
        <v>160</v>
      </c>
      <c r="C133" s="6">
        <v>0.23300000000000001</v>
      </c>
      <c r="D133" s="6">
        <v>0.23480000000000001</v>
      </c>
      <c r="E133" s="6">
        <f t="shared" si="5"/>
        <v>1.799999999999996E-3</v>
      </c>
      <c r="F133" s="193">
        <f t="shared" si="6"/>
        <v>11.249999999999975</v>
      </c>
      <c r="G133" s="6">
        <v>0</v>
      </c>
      <c r="H133" s="6"/>
      <c r="I133" s="245"/>
      <c r="J133" s="6">
        <v>2.8260000000000001</v>
      </c>
      <c r="K133" s="6">
        <v>303</v>
      </c>
      <c r="L133" s="244">
        <v>45045.083333333336</v>
      </c>
      <c r="M133" s="249">
        <v>5.5522387866666598</v>
      </c>
      <c r="N133" s="249">
        <v>1.9360101999999999</v>
      </c>
      <c r="O133" s="249">
        <v>7.4290512799999897</v>
      </c>
      <c r="P133" s="249">
        <v>0.59254014799999999</v>
      </c>
      <c r="Q133" s="249">
        <v>5.5522387866666598</v>
      </c>
      <c r="R133" s="249">
        <v>1.9360101999999999</v>
      </c>
    </row>
    <row r="134" spans="1:18" x14ac:dyDescent="0.25">
      <c r="A134" s="238" t="s">
        <v>311</v>
      </c>
      <c r="B134" s="6">
        <v>150</v>
      </c>
      <c r="C134" s="6">
        <v>0.23630000000000001</v>
      </c>
      <c r="D134" s="6">
        <v>0.23699999999999999</v>
      </c>
      <c r="E134" s="6">
        <f t="shared" si="5"/>
        <v>6.9999999999997842E-4</v>
      </c>
      <c r="F134" s="193">
        <f t="shared" si="6"/>
        <v>4.6666666666665231</v>
      </c>
      <c r="G134" s="6">
        <v>0</v>
      </c>
      <c r="H134" s="6"/>
      <c r="I134" s="245"/>
      <c r="J134" s="6">
        <v>2.944</v>
      </c>
      <c r="K134" s="6">
        <v>304</v>
      </c>
      <c r="L134" s="244">
        <v>45045.5</v>
      </c>
      <c r="M134" s="249">
        <v>5.2737517986666598</v>
      </c>
      <c r="N134" s="249">
        <v>1.17248918933333</v>
      </c>
      <c r="O134" s="249">
        <v>6.4666904799999898</v>
      </c>
      <c r="P134" s="249">
        <v>0.53414629599999996</v>
      </c>
      <c r="Q134" s="249">
        <v>5.2737517986666598</v>
      </c>
      <c r="R134" s="249">
        <v>1.17248918933333</v>
      </c>
    </row>
    <row r="135" spans="1:18" x14ac:dyDescent="0.25">
      <c r="A135" s="238" t="s">
        <v>312</v>
      </c>
      <c r="B135" s="6">
        <v>165</v>
      </c>
      <c r="C135" s="6">
        <v>0.2321</v>
      </c>
      <c r="D135" s="6">
        <v>0.23449999999999999</v>
      </c>
      <c r="E135" s="6">
        <f t="shared" si="5"/>
        <v>2.3999999999999855E-3</v>
      </c>
      <c r="F135" s="193">
        <f t="shared" si="6"/>
        <v>14.545454545454458</v>
      </c>
      <c r="G135" s="6">
        <v>0</v>
      </c>
      <c r="H135" s="6"/>
      <c r="I135" s="245"/>
      <c r="J135" s="6">
        <v>4.681</v>
      </c>
      <c r="K135" s="6">
        <v>305</v>
      </c>
      <c r="L135" s="244">
        <v>45045.708333333336</v>
      </c>
      <c r="M135" s="249">
        <v>12.890712933333299</v>
      </c>
      <c r="N135" s="249">
        <v>1.04979578</v>
      </c>
      <c r="O135" s="249">
        <v>14.551988908</v>
      </c>
      <c r="P135" s="249">
        <v>0.66348383200000005</v>
      </c>
      <c r="Q135" s="249">
        <v>12.890712933333299</v>
      </c>
      <c r="R135" s="249">
        <v>1.04979578</v>
      </c>
    </row>
    <row r="136" spans="1:18" x14ac:dyDescent="0.25">
      <c r="A136" s="238" t="s">
        <v>313</v>
      </c>
      <c r="B136" s="6">
        <v>140</v>
      </c>
      <c r="C136" s="6">
        <v>0.2331</v>
      </c>
      <c r="D136" s="6">
        <v>0.2344</v>
      </c>
      <c r="E136" s="6">
        <f t="shared" si="5"/>
        <v>1.2999999999999956E-3</v>
      </c>
      <c r="F136" s="193">
        <f t="shared" si="6"/>
        <v>9.2857142857142527</v>
      </c>
      <c r="G136" s="6">
        <v>0</v>
      </c>
      <c r="H136" s="6"/>
      <c r="I136" s="245"/>
      <c r="J136" s="6">
        <v>3.395</v>
      </c>
      <c r="K136" s="6">
        <v>306</v>
      </c>
      <c r="L136" s="244">
        <v>45045.916666666664</v>
      </c>
      <c r="M136" s="249">
        <v>9.0212937866666607</v>
      </c>
      <c r="N136" s="249">
        <v>1.3618701613333299</v>
      </c>
      <c r="O136" s="249">
        <v>8.8853135287999994</v>
      </c>
      <c r="P136" s="249">
        <v>0.83292446799999997</v>
      </c>
      <c r="Q136" s="249">
        <v>9.0212937866666607</v>
      </c>
      <c r="R136" s="249">
        <v>1.3618701613333299</v>
      </c>
    </row>
    <row r="137" spans="1:18" x14ac:dyDescent="0.25">
      <c r="A137" s="238" t="s">
        <v>314</v>
      </c>
      <c r="B137" s="6">
        <v>160</v>
      </c>
      <c r="C137" s="6">
        <v>0.23719999999999999</v>
      </c>
      <c r="D137" s="6">
        <v>0.23830000000000001</v>
      </c>
      <c r="E137" s="6">
        <f t="shared" si="5"/>
        <v>1.1000000000000176E-3</v>
      </c>
      <c r="F137" s="193">
        <f t="shared" si="6"/>
        <v>6.8750000000001101</v>
      </c>
      <c r="G137" s="6">
        <v>0</v>
      </c>
      <c r="H137" s="6"/>
      <c r="I137" s="245"/>
      <c r="J137" s="6">
        <v>3.1139999999999999</v>
      </c>
      <c r="K137" s="6">
        <v>307</v>
      </c>
      <c r="L137" s="244">
        <v>45046.125</v>
      </c>
      <c r="M137" s="249">
        <v>9.7976981146666606</v>
      </c>
      <c r="N137" s="249">
        <v>1.19757845333333</v>
      </c>
      <c r="O137" s="249">
        <v>11.209641884</v>
      </c>
      <c r="P137" s="249">
        <v>0.71647227599999996</v>
      </c>
      <c r="Q137" s="249">
        <v>9.7976981146666606</v>
      </c>
      <c r="R137" s="249">
        <v>1.19757845333333</v>
      </c>
    </row>
    <row r="138" spans="1:18" x14ac:dyDescent="0.25">
      <c r="A138" s="238" t="s">
        <v>315</v>
      </c>
      <c r="B138" s="6">
        <v>160</v>
      </c>
      <c r="C138" s="6">
        <v>0.23089999999999999</v>
      </c>
      <c r="D138" s="6">
        <v>0.23130000000000001</v>
      </c>
      <c r="E138" s="6">
        <f t="shared" si="5"/>
        <v>4.0000000000001146E-4</v>
      </c>
      <c r="F138" s="193">
        <f t="shared" si="6"/>
        <v>2.5000000000000715</v>
      </c>
      <c r="G138" s="6">
        <v>0</v>
      </c>
      <c r="H138" s="6"/>
      <c r="I138" s="245"/>
      <c r="J138" s="6">
        <v>2.9430000000000001</v>
      </c>
      <c r="K138" s="6">
        <v>308</v>
      </c>
      <c r="L138" s="244">
        <v>45046.333333333336</v>
      </c>
      <c r="M138" s="249">
        <v>7.9770290266666599</v>
      </c>
      <c r="N138" s="249">
        <v>1.26042132666666</v>
      </c>
      <c r="O138" s="249">
        <v>10.423064119999999</v>
      </c>
      <c r="P138" s="249">
        <v>0.64374088399999996</v>
      </c>
      <c r="Q138" s="249">
        <v>7.9770290266666599</v>
      </c>
      <c r="R138" s="249">
        <v>1.26042132666666</v>
      </c>
    </row>
    <row r="139" spans="1:18" x14ac:dyDescent="0.25">
      <c r="A139" s="238" t="s">
        <v>316</v>
      </c>
      <c r="B139" s="6">
        <v>150</v>
      </c>
      <c r="C139" s="6">
        <v>0.2354</v>
      </c>
      <c r="D139" s="6">
        <v>0.23730000000000001</v>
      </c>
      <c r="E139" s="6">
        <f t="shared" si="5"/>
        <v>1.9000000000000128E-3</v>
      </c>
      <c r="F139" s="193">
        <f t="shared" si="6"/>
        <v>12.666666666666751</v>
      </c>
      <c r="G139" s="6">
        <v>43.66</v>
      </c>
      <c r="H139" s="6"/>
      <c r="I139" s="245"/>
      <c r="J139" s="6">
        <v>4.1040000000000001</v>
      </c>
      <c r="K139" s="6">
        <v>309</v>
      </c>
      <c r="L139" s="244">
        <v>45046.541666666664</v>
      </c>
      <c r="M139" s="249">
        <v>8.7500032893333302</v>
      </c>
      <c r="N139" s="249">
        <v>1.0220899240000001</v>
      </c>
      <c r="O139" s="249">
        <v>8.3597602844000001</v>
      </c>
      <c r="P139" s="249">
        <v>0.60178064399999998</v>
      </c>
      <c r="Q139" s="249">
        <v>8.7500032893333302</v>
      </c>
      <c r="R139" s="249">
        <v>1.0220899240000001</v>
      </c>
    </row>
    <row r="140" spans="1:18" x14ac:dyDescent="0.25">
      <c r="A140" s="238" t="s">
        <v>317</v>
      </c>
      <c r="B140" s="6">
        <v>140</v>
      </c>
      <c r="C140" s="6">
        <v>0.2351</v>
      </c>
      <c r="D140" s="6">
        <v>0.2414</v>
      </c>
      <c r="E140" s="6">
        <f t="shared" si="5"/>
        <v>6.3E-3</v>
      </c>
      <c r="F140" s="193">
        <f t="shared" si="6"/>
        <v>45.000000000000007</v>
      </c>
      <c r="G140" s="6">
        <v>85.5</v>
      </c>
      <c r="H140" s="6"/>
      <c r="I140" s="245"/>
      <c r="J140" s="6">
        <v>4.9790000000000001</v>
      </c>
      <c r="K140" s="6">
        <v>310</v>
      </c>
      <c r="L140" s="244">
        <v>45046.75</v>
      </c>
      <c r="M140" s="249">
        <v>38.639293733333297</v>
      </c>
      <c r="N140" s="249">
        <v>0.72509531466666699</v>
      </c>
      <c r="O140" s="249">
        <v>43.856735999999998</v>
      </c>
      <c r="P140" s="249">
        <v>0.91321567999999997</v>
      </c>
      <c r="Q140" s="249">
        <v>38.639293733333297</v>
      </c>
      <c r="R140" s="249">
        <v>0.72509531466666699</v>
      </c>
    </row>
    <row r="141" spans="1:18" x14ac:dyDescent="0.25">
      <c r="A141" s="238" t="s">
        <v>318</v>
      </c>
      <c r="B141" s="6">
        <v>150</v>
      </c>
      <c r="C141" s="6">
        <v>0.2346</v>
      </c>
      <c r="D141" s="6">
        <v>0.23669999999999999</v>
      </c>
      <c r="E141" s="6">
        <f t="shared" si="5"/>
        <v>2.0999999999999908E-3</v>
      </c>
      <c r="F141" s="193">
        <f t="shared" si="6"/>
        <v>13.99999999999994</v>
      </c>
      <c r="G141" s="6">
        <v>0</v>
      </c>
      <c r="H141" s="6"/>
      <c r="I141" s="245"/>
      <c r="J141" s="6">
        <v>3.871</v>
      </c>
      <c r="K141" s="6">
        <v>311</v>
      </c>
      <c r="L141" s="244">
        <v>45046.958333333336</v>
      </c>
      <c r="M141" s="249">
        <v>21.475960133333299</v>
      </c>
      <c r="N141" s="249">
        <v>0.75147322400000005</v>
      </c>
      <c r="O141" s="249">
        <v>16.958527199999999</v>
      </c>
      <c r="P141" s="249">
        <v>0.98583381199999998</v>
      </c>
      <c r="Q141" s="249">
        <v>21.475960133333299</v>
      </c>
      <c r="R141" s="249">
        <v>0.75147322400000005</v>
      </c>
    </row>
    <row r="142" spans="1:18" x14ac:dyDescent="0.25">
      <c r="A142" s="238" t="s">
        <v>319</v>
      </c>
      <c r="B142" s="6">
        <v>150</v>
      </c>
      <c r="C142" s="6">
        <v>0.23499999999999999</v>
      </c>
      <c r="D142" s="6">
        <v>0.23649999999999999</v>
      </c>
      <c r="E142" s="6">
        <f t="shared" si="5"/>
        <v>1.5000000000000013E-3</v>
      </c>
      <c r="F142" s="193">
        <f t="shared" si="6"/>
        <v>10.000000000000009</v>
      </c>
      <c r="G142" s="6">
        <v>0</v>
      </c>
      <c r="H142" s="6"/>
      <c r="I142" s="245"/>
      <c r="J142" s="6">
        <v>3.4740000000000002</v>
      </c>
      <c r="K142" s="6">
        <v>312</v>
      </c>
      <c r="L142" s="244">
        <v>45047.166666666664</v>
      </c>
      <c r="M142" s="249">
        <v>12.734633816800001</v>
      </c>
      <c r="N142" s="249">
        <v>0.79717206666666696</v>
      </c>
      <c r="O142" s="249">
        <v>12.384886399999999</v>
      </c>
      <c r="P142" s="249">
        <v>0.82808364799999901</v>
      </c>
      <c r="Q142" s="249">
        <v>12.734633816800001</v>
      </c>
      <c r="R142" s="249">
        <v>0.79717206666666696</v>
      </c>
    </row>
    <row r="143" spans="1:18" x14ac:dyDescent="0.25">
      <c r="A143" s="238" t="s">
        <v>320</v>
      </c>
      <c r="B143" s="6">
        <v>160</v>
      </c>
      <c r="C143" s="6">
        <v>0.2334</v>
      </c>
      <c r="D143" s="6">
        <v>0.23469999999999999</v>
      </c>
      <c r="E143" s="6">
        <f t="shared" si="5"/>
        <v>1.2999999999999956E-3</v>
      </c>
      <c r="F143" s="193">
        <f t="shared" si="6"/>
        <v>8.1249999999999734</v>
      </c>
      <c r="G143" s="6">
        <v>0</v>
      </c>
      <c r="H143" s="6"/>
      <c r="I143" s="245"/>
      <c r="J143" s="6">
        <v>3.2690000000000001</v>
      </c>
      <c r="K143" s="6">
        <v>313</v>
      </c>
      <c r="L143" s="244">
        <v>45047.375</v>
      </c>
      <c r="M143" s="249">
        <v>8.6821808133333302</v>
      </c>
      <c r="N143" s="249">
        <v>1.5189193546666599</v>
      </c>
      <c r="O143" s="249">
        <v>11.245605614480001</v>
      </c>
      <c r="P143" s="249">
        <v>0.70318841200000004</v>
      </c>
      <c r="Q143" s="249">
        <v>8.6821808133333302</v>
      </c>
      <c r="R143" s="249">
        <v>1.5189193546666599</v>
      </c>
    </row>
    <row r="144" spans="1:18" x14ac:dyDescent="0.25">
      <c r="A144" s="238" t="s">
        <v>321</v>
      </c>
      <c r="B144" s="6">
        <v>170</v>
      </c>
      <c r="C144" s="6">
        <v>0.2359</v>
      </c>
      <c r="D144" s="6">
        <v>0.2382</v>
      </c>
      <c r="E144" s="6">
        <f t="shared" ref="E144:E152" si="7">D144-C144</f>
        <v>2.2999999999999965E-3</v>
      </c>
      <c r="F144" s="193">
        <f t="shared" ref="F144:F152" si="8">E144/B144*1000*1000</f>
        <v>13.529411764705863</v>
      </c>
      <c r="G144" s="6">
        <v>0</v>
      </c>
      <c r="H144" s="6"/>
      <c r="I144" s="245"/>
      <c r="J144" s="6">
        <v>4.6879999999999997</v>
      </c>
      <c r="K144" s="6">
        <v>314</v>
      </c>
      <c r="L144" s="244">
        <v>45047.583333333336</v>
      </c>
      <c r="M144" s="249">
        <v>16.170986133333301</v>
      </c>
      <c r="N144" s="249">
        <v>0.73912359866666699</v>
      </c>
      <c r="O144" s="249">
        <v>13.655055599999899</v>
      </c>
      <c r="P144" s="249">
        <v>0.67487072000000004</v>
      </c>
      <c r="Q144" s="249">
        <v>16.170986133333301</v>
      </c>
      <c r="R144" s="249">
        <v>0.73912359866666699</v>
      </c>
    </row>
    <row r="145" spans="1:18" x14ac:dyDescent="0.25">
      <c r="A145" s="238" t="s">
        <v>322</v>
      </c>
      <c r="B145" s="6">
        <v>150</v>
      </c>
      <c r="C145" s="6">
        <v>0.23849999999999999</v>
      </c>
      <c r="D145" s="6">
        <v>0.24149999999999999</v>
      </c>
      <c r="E145" s="6">
        <f t="shared" si="7"/>
        <v>3.0000000000000027E-3</v>
      </c>
      <c r="F145" s="193">
        <f t="shared" si="8"/>
        <v>20.000000000000018</v>
      </c>
      <c r="G145" s="6">
        <v>64.14</v>
      </c>
      <c r="H145" s="6"/>
      <c r="I145" s="245"/>
      <c r="J145" s="67">
        <v>3.9550000000000001</v>
      </c>
      <c r="K145" s="67">
        <v>328</v>
      </c>
      <c r="L145" s="244">
        <v>45047.833333333336</v>
      </c>
      <c r="M145" s="249"/>
      <c r="N145" s="249">
        <v>0.903743569333334</v>
      </c>
      <c r="O145" s="249">
        <v>22.0529236</v>
      </c>
      <c r="P145" s="249">
        <v>0.97117030400000004</v>
      </c>
      <c r="Q145" s="249"/>
      <c r="R145" s="249">
        <v>0.903743569333334</v>
      </c>
    </row>
    <row r="146" spans="1:18" x14ac:dyDescent="0.25">
      <c r="A146" s="238" t="s">
        <v>323</v>
      </c>
      <c r="B146" s="6">
        <v>160</v>
      </c>
      <c r="C146" s="6">
        <v>0.24010000000000001</v>
      </c>
      <c r="D146" s="6">
        <v>0.2417</v>
      </c>
      <c r="E146" s="6">
        <f t="shared" si="7"/>
        <v>1.5999999999999903E-3</v>
      </c>
      <c r="F146" s="193">
        <f t="shared" si="8"/>
        <v>9.9999999999999396</v>
      </c>
      <c r="G146" s="6">
        <v>0</v>
      </c>
      <c r="H146" s="6"/>
      <c r="I146" s="245"/>
      <c r="J146" s="6">
        <v>3.2229999999999999</v>
      </c>
      <c r="K146" s="6">
        <v>329</v>
      </c>
      <c r="L146" s="244">
        <v>45048.125</v>
      </c>
      <c r="M146" s="249">
        <v>12.641193039999999</v>
      </c>
      <c r="N146" s="249">
        <v>0.69605300133333403</v>
      </c>
      <c r="O146" s="249">
        <v>12.440960799999999</v>
      </c>
      <c r="P146" s="249">
        <v>0.82063311999999999</v>
      </c>
      <c r="Q146" s="249">
        <v>12.641193039999999</v>
      </c>
      <c r="R146" s="249">
        <v>0.69605300133333403</v>
      </c>
    </row>
    <row r="147" spans="1:18" x14ac:dyDescent="0.25">
      <c r="A147" s="238" t="s">
        <v>324</v>
      </c>
      <c r="B147" s="6">
        <v>160</v>
      </c>
      <c r="C147" s="6">
        <v>0.23649999999999999</v>
      </c>
      <c r="D147" s="6">
        <v>0.2366</v>
      </c>
      <c r="E147" s="6">
        <f t="shared" si="7"/>
        <v>1.0000000000001674E-4</v>
      </c>
      <c r="F147" s="193">
        <f t="shared" si="8"/>
        <v>0.62500000000010458</v>
      </c>
      <c r="G147" s="6">
        <v>0</v>
      </c>
      <c r="H147" s="6"/>
      <c r="I147" s="245"/>
      <c r="J147" s="6">
        <v>3.044</v>
      </c>
      <c r="K147" s="6">
        <v>330</v>
      </c>
      <c r="L147" s="244">
        <v>45048.416666666664</v>
      </c>
      <c r="M147" s="249">
        <v>10.0303982666666</v>
      </c>
      <c r="N147" s="249">
        <v>0.64806454800000002</v>
      </c>
      <c r="O147" s="249">
        <v>9.0430761999999998</v>
      </c>
      <c r="P147" s="249">
        <v>0.66461490000000001</v>
      </c>
      <c r="Q147" s="249">
        <v>10.0303982666666</v>
      </c>
      <c r="R147" s="249">
        <v>0.64806454800000002</v>
      </c>
    </row>
    <row r="148" spans="1:18" x14ac:dyDescent="0.25">
      <c r="A148" s="238" t="s">
        <v>325</v>
      </c>
      <c r="B148" s="6">
        <v>160</v>
      </c>
      <c r="C148" s="6">
        <v>0.2344</v>
      </c>
      <c r="D148" s="6">
        <v>0.2351</v>
      </c>
      <c r="E148" s="6">
        <f t="shared" si="7"/>
        <v>7.0000000000000617E-4</v>
      </c>
      <c r="F148" s="193">
        <f t="shared" si="8"/>
        <v>4.3750000000000382</v>
      </c>
      <c r="G148" s="6">
        <v>0</v>
      </c>
      <c r="H148" s="6"/>
      <c r="I148" s="245"/>
      <c r="J148" s="6">
        <v>3.4780000000000002</v>
      </c>
      <c r="K148" s="6">
        <v>331</v>
      </c>
      <c r="L148" s="244">
        <v>45048.708333333336</v>
      </c>
      <c r="M148" s="249"/>
      <c r="N148" s="249">
        <v>0.66948233599999996</v>
      </c>
      <c r="O148" s="249">
        <v>11.007816999999999</v>
      </c>
      <c r="P148" s="249">
        <v>0.72370817200000004</v>
      </c>
      <c r="Q148" s="249"/>
      <c r="R148" s="249">
        <v>0.66948233599999996</v>
      </c>
    </row>
    <row r="149" spans="1:18" x14ac:dyDescent="0.25">
      <c r="A149" s="238" t="s">
        <v>326</v>
      </c>
      <c r="B149" s="6">
        <v>150</v>
      </c>
      <c r="C149" s="6">
        <v>0.23019999999999999</v>
      </c>
      <c r="D149" s="6">
        <v>0.23069999999999999</v>
      </c>
      <c r="E149" s="6">
        <f t="shared" si="7"/>
        <v>5.0000000000000044E-4</v>
      </c>
      <c r="F149" s="193">
        <f t="shared" si="8"/>
        <v>3.3333333333333361</v>
      </c>
      <c r="G149" s="6">
        <v>0</v>
      </c>
      <c r="H149" s="6"/>
      <c r="I149" s="245"/>
      <c r="J149" s="6">
        <v>3.1890000000000001</v>
      </c>
      <c r="K149" s="6">
        <v>332</v>
      </c>
      <c r="L149" s="244">
        <v>45049</v>
      </c>
      <c r="M149" s="249">
        <v>9.1829196</v>
      </c>
      <c r="N149" s="249">
        <v>0.63945933466666705</v>
      </c>
      <c r="O149" s="249">
        <v>9.7772273199999997</v>
      </c>
      <c r="P149" s="249">
        <v>0.771403536</v>
      </c>
      <c r="Q149" s="249">
        <v>9.1829196</v>
      </c>
      <c r="R149" s="249">
        <v>0.63945933466666705</v>
      </c>
    </row>
    <row r="150" spans="1:18" x14ac:dyDescent="0.25">
      <c r="A150" s="9" t="s">
        <v>327</v>
      </c>
      <c r="B150" s="6">
        <v>140</v>
      </c>
      <c r="C150" s="6">
        <v>0.22739999999999999</v>
      </c>
      <c r="D150" s="6">
        <v>0.2281</v>
      </c>
      <c r="E150" s="6">
        <f t="shared" si="7"/>
        <v>7.0000000000000617E-4</v>
      </c>
      <c r="F150" s="193">
        <f t="shared" si="8"/>
        <v>5.0000000000000444</v>
      </c>
      <c r="G150" s="6">
        <v>0</v>
      </c>
      <c r="H150" s="6"/>
      <c r="I150" s="245"/>
      <c r="J150" s="6">
        <v>2.7290000000000001</v>
      </c>
      <c r="K150" s="6">
        <v>333</v>
      </c>
      <c r="L150" s="244">
        <v>45049.291666666664</v>
      </c>
      <c r="M150" s="249">
        <v>10.3782316933333</v>
      </c>
      <c r="N150" s="249">
        <v>0.60962034399999998</v>
      </c>
      <c r="O150" s="249">
        <v>8.0378636399999994</v>
      </c>
      <c r="P150" s="249">
        <v>0.65167801599999997</v>
      </c>
      <c r="Q150" s="249">
        <v>10.3782316933333</v>
      </c>
      <c r="R150" s="249">
        <v>0.60962034399999998</v>
      </c>
    </row>
    <row r="151" spans="1:18" x14ac:dyDescent="0.25">
      <c r="A151" s="9" t="s">
        <v>328</v>
      </c>
      <c r="B151" s="6">
        <v>150</v>
      </c>
      <c r="C151" s="6">
        <v>0.23150000000000001</v>
      </c>
      <c r="D151" s="6">
        <v>0.2331</v>
      </c>
      <c r="E151" s="6">
        <f t="shared" si="7"/>
        <v>1.5999999999999903E-3</v>
      </c>
      <c r="F151" s="193">
        <f t="shared" si="8"/>
        <v>10.666666666666602</v>
      </c>
      <c r="G151" s="6">
        <v>39.619999999999997</v>
      </c>
      <c r="H151" s="6"/>
      <c r="I151" s="245"/>
      <c r="J151" s="6">
        <v>3.419</v>
      </c>
      <c r="K151" s="6">
        <v>334</v>
      </c>
      <c r="L151" s="244">
        <v>45049.583333333336</v>
      </c>
      <c r="M151" s="249">
        <v>9.8354738279999996</v>
      </c>
      <c r="N151" s="249">
        <v>0.58413531333333402</v>
      </c>
      <c r="O151" s="249">
        <v>10.11803948328</v>
      </c>
      <c r="P151" s="249">
        <v>0.62427880800000002</v>
      </c>
      <c r="Q151" s="249">
        <v>9.8354738279999996</v>
      </c>
      <c r="R151" s="249">
        <v>0.58413531333333402</v>
      </c>
    </row>
    <row r="152" spans="1:18" x14ac:dyDescent="0.25">
      <c r="A152" s="9" t="s">
        <v>329</v>
      </c>
      <c r="B152" s="6">
        <v>160</v>
      </c>
      <c r="C152" s="6">
        <v>0.23280000000000001</v>
      </c>
      <c r="D152" s="6">
        <v>0.23669999999999999</v>
      </c>
      <c r="E152" s="6">
        <f t="shared" si="7"/>
        <v>3.8999999999999868E-3</v>
      </c>
      <c r="F152" s="193">
        <f t="shared" si="8"/>
        <v>24.374999999999918</v>
      </c>
      <c r="G152" s="6">
        <v>87.1</v>
      </c>
      <c r="H152" s="6"/>
      <c r="I152" s="245"/>
      <c r="J152" s="6">
        <v>4.0039999999999996</v>
      </c>
      <c r="K152" s="6">
        <v>335</v>
      </c>
      <c r="L152" s="244">
        <v>45049.833333333336</v>
      </c>
      <c r="M152" s="249">
        <v>22.228124099999999</v>
      </c>
      <c r="N152" s="249">
        <v>0.86806397466666696</v>
      </c>
      <c r="O152" s="249">
        <v>20.03069</v>
      </c>
      <c r="P152" s="249">
        <v>0.93434271999999996</v>
      </c>
      <c r="Q152" s="249">
        <v>22.228124099999999</v>
      </c>
      <c r="R152" s="249">
        <v>0.86806397466666696</v>
      </c>
    </row>
    <row r="153" spans="1:18" x14ac:dyDescent="0.25">
      <c r="A153" s="9"/>
      <c r="B153" s="6"/>
      <c r="C153" s="6"/>
      <c r="D153" s="6"/>
      <c r="E153" s="6"/>
      <c r="F153" s="6"/>
      <c r="G153" s="6">
        <v>0</v>
      </c>
      <c r="H153" s="6"/>
      <c r="I153" s="245"/>
      <c r="J153" s="6"/>
      <c r="K153" s="6"/>
      <c r="L153" s="244">
        <v>45049.958333333336</v>
      </c>
      <c r="M153" s="249">
        <v>14.96945008</v>
      </c>
      <c r="N153" s="249">
        <v>0.88412704400000097</v>
      </c>
      <c r="O153" s="249">
        <v>14.313794400000001</v>
      </c>
      <c r="P153" s="249">
        <v>0.90266856799999995</v>
      </c>
      <c r="Q153" s="249">
        <v>14.96945008</v>
      </c>
      <c r="R153" s="249">
        <v>0.88412704400000097</v>
      </c>
    </row>
    <row r="154" spans="1:18" x14ac:dyDescent="0.25">
      <c r="A154" s="9"/>
      <c r="B154" s="6"/>
      <c r="C154" s="6"/>
      <c r="D154" s="6"/>
      <c r="E154" s="6"/>
      <c r="F154" s="6"/>
      <c r="G154" s="6">
        <v>26.28</v>
      </c>
      <c r="H154" s="6"/>
      <c r="I154" s="245"/>
      <c r="J154" s="6"/>
      <c r="K154" s="6"/>
      <c r="L154" s="244">
        <v>45050.083333333336</v>
      </c>
      <c r="M154" s="249">
        <v>12.378681706666599</v>
      </c>
      <c r="N154" s="249">
        <v>0.81815425333333403</v>
      </c>
      <c r="O154" s="249">
        <v>10.664316599999999</v>
      </c>
      <c r="P154" s="249">
        <v>0.81794674000000001</v>
      </c>
      <c r="Q154" s="249">
        <v>12.378681706666599</v>
      </c>
      <c r="R154" s="249">
        <v>0.81815425333333403</v>
      </c>
    </row>
    <row r="155" spans="1:18" x14ac:dyDescent="0.25">
      <c r="A155" s="6" t="s">
        <v>330</v>
      </c>
      <c r="B155" s="6">
        <v>160</v>
      </c>
      <c r="C155" s="6">
        <v>0.2341</v>
      </c>
      <c r="D155" s="6">
        <v>0.23499999999999999</v>
      </c>
      <c r="E155" s="6">
        <f>D155-C155</f>
        <v>8.9999999999998415E-4</v>
      </c>
      <c r="F155" s="193">
        <f>E155/B155*1000*1000</f>
        <v>5.6249999999999005</v>
      </c>
      <c r="G155" s="6">
        <v>0</v>
      </c>
      <c r="H155" s="6"/>
      <c r="I155" s="245"/>
      <c r="J155" s="6">
        <v>2.944</v>
      </c>
      <c r="K155" s="6">
        <v>336</v>
      </c>
      <c r="L155" s="244">
        <v>45050.208333333336</v>
      </c>
      <c r="M155" s="249">
        <v>10.541740973333299</v>
      </c>
      <c r="N155" s="249">
        <v>0.69254495866666699</v>
      </c>
      <c r="O155" s="249">
        <v>8.5506115000000005</v>
      </c>
      <c r="P155" s="249">
        <v>0.742938612</v>
      </c>
      <c r="Q155" s="249">
        <v>10.541740973333299</v>
      </c>
      <c r="R155" s="249">
        <v>0.69254495866666699</v>
      </c>
    </row>
    <row r="156" spans="1:18" x14ac:dyDescent="0.25">
      <c r="A156" s="6"/>
      <c r="B156" s="6"/>
      <c r="C156" s="6"/>
      <c r="D156" s="6"/>
      <c r="E156" s="6"/>
      <c r="F156" s="6"/>
      <c r="G156" s="6">
        <v>0</v>
      </c>
      <c r="H156" s="6"/>
      <c r="I156" s="245"/>
      <c r="J156" s="6"/>
      <c r="K156" s="6"/>
      <c r="L156" s="244">
        <v>45050.333333333336</v>
      </c>
      <c r="M156" s="249">
        <v>8.0138589866666603</v>
      </c>
      <c r="N156" s="249">
        <v>0.63426094933333399</v>
      </c>
      <c r="O156" s="249">
        <v>9.0879493359999994</v>
      </c>
      <c r="P156" s="249">
        <v>0.69204235599999997</v>
      </c>
      <c r="Q156" s="249">
        <v>8.0138589866666603</v>
      </c>
      <c r="R156" s="249">
        <v>0.63426094933333399</v>
      </c>
    </row>
    <row r="157" spans="1:18" x14ac:dyDescent="0.25">
      <c r="A157" s="6"/>
      <c r="B157" s="6"/>
      <c r="C157" s="6"/>
      <c r="D157" s="6"/>
      <c r="E157" s="6"/>
      <c r="F157" s="6"/>
      <c r="G157" s="6">
        <v>35.26</v>
      </c>
      <c r="H157" s="6"/>
      <c r="I157" s="245"/>
      <c r="J157" s="6"/>
      <c r="K157" s="6"/>
      <c r="L157" s="244">
        <v>45050.458333333336</v>
      </c>
      <c r="M157" s="249">
        <v>8.3940114666666599</v>
      </c>
      <c r="N157" s="249">
        <v>0.61283889866666696</v>
      </c>
      <c r="O157" s="249">
        <v>8.8480133999999993</v>
      </c>
      <c r="P157" s="249">
        <v>0.62816207999999996</v>
      </c>
      <c r="Q157" s="249">
        <v>8.3940114666666599</v>
      </c>
      <c r="R157" s="249">
        <v>0.61283889866666696</v>
      </c>
    </row>
    <row r="158" spans="1:18" x14ac:dyDescent="0.25">
      <c r="A158" s="6" t="s">
        <v>331</v>
      </c>
      <c r="B158" s="6">
        <v>155</v>
      </c>
      <c r="C158" s="6">
        <v>0.222</v>
      </c>
      <c r="D158" s="6">
        <v>0.22220000000000001</v>
      </c>
      <c r="E158" s="6">
        <f>D158-C158</f>
        <v>2.0000000000000573E-4</v>
      </c>
      <c r="F158" s="193">
        <f>E158/B158*1000*1000</f>
        <v>1.2903225806451981</v>
      </c>
      <c r="G158" s="6">
        <v>0</v>
      </c>
      <c r="H158" s="6"/>
      <c r="I158" s="245"/>
      <c r="J158" s="6">
        <v>3.504</v>
      </c>
      <c r="K158" s="6">
        <v>337</v>
      </c>
      <c r="L158" s="244">
        <v>45050.583333333336</v>
      </c>
      <c r="M158" s="249">
        <v>9.5848903199999906</v>
      </c>
      <c r="N158" s="249">
        <v>0.63369554133333394</v>
      </c>
      <c r="O158" s="249">
        <v>9.2369909200000002</v>
      </c>
      <c r="P158" s="249">
        <v>0.63526555200000001</v>
      </c>
      <c r="Q158" s="249">
        <v>9.5848903199999906</v>
      </c>
      <c r="R158" s="249">
        <v>0.63369554133333394</v>
      </c>
    </row>
    <row r="159" spans="1:18" x14ac:dyDescent="0.25">
      <c r="A159" s="6"/>
      <c r="B159" s="6"/>
      <c r="C159" s="6"/>
      <c r="D159" s="6"/>
      <c r="E159" s="6"/>
      <c r="F159" s="6"/>
      <c r="G159" s="6">
        <v>72.78</v>
      </c>
      <c r="H159" s="6"/>
      <c r="I159" s="245"/>
      <c r="J159" s="6"/>
      <c r="K159" s="6"/>
      <c r="L159" s="244">
        <v>45050.708333333336</v>
      </c>
      <c r="M159" s="249">
        <v>16.9080908</v>
      </c>
      <c r="N159" s="249">
        <v>0.75963689066666695</v>
      </c>
      <c r="O159" s="249">
        <v>15.2589617119999</v>
      </c>
      <c r="P159" s="249">
        <v>0.78517861599999905</v>
      </c>
      <c r="Q159" s="249">
        <v>16.9080908</v>
      </c>
      <c r="R159" s="249">
        <v>0.75963689066666695</v>
      </c>
    </row>
    <row r="160" spans="1:18" x14ac:dyDescent="0.25">
      <c r="A160" s="6" t="s">
        <v>332</v>
      </c>
      <c r="B160" s="6">
        <v>140</v>
      </c>
      <c r="C160" s="6">
        <v>0.23089999999999999</v>
      </c>
      <c r="D160" s="6">
        <v>0.23100000000000001</v>
      </c>
      <c r="E160" s="6">
        <f>D160-C160</f>
        <v>1.0000000000001674E-4</v>
      </c>
      <c r="F160" s="193">
        <f>E160/B160*1000*1000</f>
        <v>0.71428571428583387</v>
      </c>
      <c r="G160" s="6">
        <v>25.16</v>
      </c>
      <c r="H160" s="17">
        <f>0.0117180656445*27.38</f>
        <v>0.32084063734641</v>
      </c>
      <c r="I160" s="245">
        <f>H160/(B160/1000)</f>
        <v>2.2917188381886424</v>
      </c>
      <c r="J160" s="6">
        <v>3.5750000000000002</v>
      </c>
      <c r="K160" s="6">
        <v>338</v>
      </c>
      <c r="L160" s="244">
        <v>45050.833333333336</v>
      </c>
      <c r="M160" s="249">
        <v>13.3637106666666</v>
      </c>
      <c r="N160" s="249">
        <v>0.806582470666667</v>
      </c>
      <c r="O160" s="249">
        <v>11.863201948</v>
      </c>
      <c r="P160" s="249">
        <v>0.87536313200000004</v>
      </c>
      <c r="Q160" s="249">
        <v>13.3637106666666</v>
      </c>
      <c r="R160" s="249">
        <v>0.806582470666667</v>
      </c>
    </row>
    <row r="161" spans="1:18" x14ac:dyDescent="0.25">
      <c r="A161" s="6" t="s">
        <v>333</v>
      </c>
      <c r="B161" s="6">
        <v>140</v>
      </c>
      <c r="C161" s="6">
        <v>0.23469999999999999</v>
      </c>
      <c r="D161" s="6">
        <v>0.23549999999999999</v>
      </c>
      <c r="E161" s="6">
        <f>D161-C161</f>
        <v>7.9999999999999516E-4</v>
      </c>
      <c r="F161" s="193">
        <f>E161/B161*1000*1000</f>
        <v>5.7142857142856798</v>
      </c>
      <c r="G161" s="6">
        <v>15.19</v>
      </c>
      <c r="H161" s="17">
        <f>0.0086452595395*27.38</f>
        <v>0.23670720619151001</v>
      </c>
      <c r="I161" s="245">
        <f t="shared" ref="I161:I167" si="9">H161/(B161/1000)</f>
        <v>1.6907657585107856</v>
      </c>
      <c r="J161" s="6">
        <v>3.2189999999999999</v>
      </c>
      <c r="K161" s="6">
        <v>339</v>
      </c>
      <c r="L161" s="244">
        <v>45050.958333333336</v>
      </c>
      <c r="M161" s="249">
        <v>9.3933083066666594</v>
      </c>
      <c r="N161" s="249">
        <v>1.68469130666666</v>
      </c>
      <c r="O161" s="249">
        <v>9.9651312127999994</v>
      </c>
      <c r="P161" s="249">
        <v>0.80451119999999998</v>
      </c>
      <c r="Q161" s="249">
        <v>9.3933083066666594</v>
      </c>
      <c r="R161" s="249">
        <v>1.68469130666666</v>
      </c>
    </row>
    <row r="162" spans="1:18" x14ac:dyDescent="0.25">
      <c r="A162" s="6"/>
      <c r="B162" s="6"/>
      <c r="C162" s="6"/>
      <c r="D162" s="6"/>
      <c r="E162" s="6"/>
      <c r="F162" s="6"/>
      <c r="G162" s="6">
        <v>99.54</v>
      </c>
      <c r="H162" s="6"/>
      <c r="I162" s="245"/>
      <c r="J162" s="6"/>
      <c r="K162" s="6"/>
      <c r="L162" s="244">
        <v>45051.083333333336</v>
      </c>
      <c r="M162" s="249">
        <v>7.5067932800000001</v>
      </c>
      <c r="N162" s="249">
        <v>2.3029300400000001</v>
      </c>
      <c r="O162" s="249">
        <v>8.4859850784000006</v>
      </c>
      <c r="P162" s="249">
        <v>0.72139595199999995</v>
      </c>
      <c r="Q162" s="249">
        <v>7.5067932800000001</v>
      </c>
      <c r="R162" s="249">
        <v>2.3029300400000001</v>
      </c>
    </row>
    <row r="163" spans="1:18" x14ac:dyDescent="0.25">
      <c r="A163" s="6" t="s">
        <v>334</v>
      </c>
      <c r="B163" s="6">
        <v>140</v>
      </c>
      <c r="C163" s="6">
        <v>0.23580000000000001</v>
      </c>
      <c r="D163" s="6">
        <v>0.2361</v>
      </c>
      <c r="E163" s="6">
        <f>D163-C163</f>
        <v>2.9999999999999472E-4</v>
      </c>
      <c r="F163" s="193">
        <f>E163/B163*1000*1000</f>
        <v>2.142857142857105</v>
      </c>
      <c r="G163" s="6">
        <v>0</v>
      </c>
      <c r="H163" s="6"/>
      <c r="I163" s="245"/>
      <c r="J163" s="6">
        <v>2.7109999999999999</v>
      </c>
      <c r="K163" s="6">
        <v>340</v>
      </c>
      <c r="L163" s="244">
        <v>45051.208333333336</v>
      </c>
      <c r="M163" s="249">
        <v>5.4897123906666598</v>
      </c>
      <c r="N163" s="249">
        <v>1.62193118</v>
      </c>
      <c r="O163" s="249">
        <v>8.9133909280000001</v>
      </c>
      <c r="P163" s="249">
        <v>0.65682395599999999</v>
      </c>
      <c r="Q163" s="249">
        <v>5.4897123906666598</v>
      </c>
      <c r="R163" s="249">
        <v>1.62193118</v>
      </c>
    </row>
    <row r="164" spans="1:18" x14ac:dyDescent="0.25">
      <c r="A164" s="6"/>
      <c r="B164" s="6"/>
      <c r="C164" s="6"/>
      <c r="D164" s="6"/>
      <c r="E164" s="6"/>
      <c r="F164" s="6"/>
      <c r="G164" s="6">
        <v>40.119999999999997</v>
      </c>
      <c r="H164" s="6"/>
      <c r="I164" s="245"/>
      <c r="J164" s="6"/>
      <c r="K164" s="6"/>
      <c r="L164" s="244">
        <v>45051.333333333336</v>
      </c>
      <c r="M164" s="249">
        <v>8.2732197266666603</v>
      </c>
      <c r="N164" s="249">
        <v>1.9584662533333299</v>
      </c>
      <c r="O164" s="249">
        <v>7.5681198240000001</v>
      </c>
      <c r="P164" s="249">
        <v>0.63590339600000001</v>
      </c>
      <c r="Q164" s="249">
        <v>8.2732197266666603</v>
      </c>
      <c r="R164" s="249">
        <v>1.9584662533333299</v>
      </c>
    </row>
    <row r="165" spans="1:18" x14ac:dyDescent="0.25">
      <c r="A165" s="6" t="s">
        <v>335</v>
      </c>
      <c r="B165" s="6">
        <v>150</v>
      </c>
      <c r="C165" s="6">
        <v>0.2329</v>
      </c>
      <c r="D165" s="6">
        <v>0.23300000000000001</v>
      </c>
      <c r="E165" s="6">
        <f>D165-C165</f>
        <v>1.0000000000001674E-4</v>
      </c>
      <c r="F165" s="193">
        <f>E165/B165*1000*1000</f>
        <v>0.66666666666677832</v>
      </c>
      <c r="G165" s="6">
        <v>25.61</v>
      </c>
      <c r="H165" s="17">
        <f>0.007431424321*27.38</f>
        <v>0.20347239790898</v>
      </c>
      <c r="I165" s="245">
        <f t="shared" si="9"/>
        <v>1.3564826527265335</v>
      </c>
      <c r="J165" s="6">
        <v>2.7170000000000001</v>
      </c>
      <c r="K165" s="6">
        <v>341</v>
      </c>
      <c r="L165" s="244">
        <v>45051.458333333336</v>
      </c>
      <c r="M165" s="249">
        <v>6.5764189999999996</v>
      </c>
      <c r="N165" s="249">
        <v>1.8495387186666601</v>
      </c>
      <c r="O165" s="249">
        <v>7.6637165200000004</v>
      </c>
      <c r="P165" s="249">
        <v>0.58479850799999999</v>
      </c>
      <c r="Q165" s="249">
        <v>6.5764189999999996</v>
      </c>
      <c r="R165" s="249">
        <v>1.8495387186666601</v>
      </c>
    </row>
    <row r="166" spans="1:18" x14ac:dyDescent="0.25">
      <c r="A166" s="6"/>
      <c r="B166" s="6"/>
      <c r="C166" s="6"/>
      <c r="D166" s="6"/>
      <c r="E166" s="6"/>
      <c r="F166" s="6"/>
      <c r="G166" s="6">
        <v>0</v>
      </c>
      <c r="H166" s="6"/>
      <c r="I166" s="245"/>
      <c r="J166" s="6"/>
      <c r="K166" s="6"/>
      <c r="L166" s="244">
        <v>45051.583333333336</v>
      </c>
      <c r="M166" s="249">
        <v>7.3791796666666603</v>
      </c>
      <c r="N166" s="249">
        <v>1.75635108533333</v>
      </c>
      <c r="O166" s="249">
        <v>10.3719666</v>
      </c>
      <c r="P166" s="249">
        <v>0.57238550399999999</v>
      </c>
      <c r="Q166" s="249">
        <v>7.3791796666666603</v>
      </c>
      <c r="R166" s="249">
        <v>1.75635108533333</v>
      </c>
    </row>
    <row r="167" spans="1:18" x14ac:dyDescent="0.25">
      <c r="A167" s="6" t="s">
        <v>336</v>
      </c>
      <c r="B167" s="6">
        <v>150</v>
      </c>
      <c r="C167" s="6">
        <v>0.23180000000000001</v>
      </c>
      <c r="D167" s="6">
        <v>0.23319999999999999</v>
      </c>
      <c r="E167" s="6">
        <f>D167-C167</f>
        <v>1.3999999999999846E-3</v>
      </c>
      <c r="F167" s="193"/>
      <c r="G167" s="6">
        <v>30.82</v>
      </c>
      <c r="H167" s="17">
        <f>0.0093669671855*27.38</f>
        <v>0.25646756153898997</v>
      </c>
      <c r="I167" s="245">
        <f t="shared" si="9"/>
        <v>1.7097837435932666</v>
      </c>
      <c r="J167" s="6">
        <v>3.8330000000000002</v>
      </c>
      <c r="K167" s="6">
        <v>342</v>
      </c>
      <c r="L167" s="244">
        <v>45051.708333333336</v>
      </c>
      <c r="M167" s="249">
        <v>9.8172653466666606</v>
      </c>
      <c r="N167" s="249">
        <v>1.98575952</v>
      </c>
      <c r="O167" s="249">
        <v>10.963208972</v>
      </c>
      <c r="P167" s="249">
        <v>0.66916045199999996</v>
      </c>
      <c r="Q167" s="249">
        <v>9.8172653466666606</v>
      </c>
      <c r="R167" s="249">
        <v>1.98575952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195B-C2B1-40DF-A713-EC36D1F92D07}">
  <dimension ref="A1:W87"/>
  <sheetViews>
    <sheetView zoomScaleNormal="100" workbookViewId="0">
      <selection activeCell="I2" sqref="I2"/>
    </sheetView>
  </sheetViews>
  <sheetFormatPr defaultRowHeight="15" x14ac:dyDescent="0.25"/>
  <cols>
    <col min="1" max="1" width="26.7109375" style="5" customWidth="1"/>
    <col min="2" max="2" width="15.42578125" style="5" customWidth="1"/>
    <col min="3" max="3" width="16.28515625" style="5" customWidth="1"/>
    <col min="4" max="4" width="12.7109375" style="5" customWidth="1"/>
    <col min="5" max="5" width="22.42578125" style="5" customWidth="1"/>
    <col min="6" max="10" width="16.85546875" style="5" customWidth="1"/>
    <col min="11" max="11" width="15.42578125" style="5" customWidth="1"/>
    <col min="12" max="12" width="16.28515625" style="5" customWidth="1"/>
    <col min="13" max="13" width="16.85546875" style="5" customWidth="1"/>
    <col min="14" max="14" width="12.140625" customWidth="1"/>
    <col min="15" max="21" width="18" customWidth="1"/>
    <col min="22" max="22" width="18.42578125" customWidth="1"/>
    <col min="23" max="23" width="15.5703125" customWidth="1"/>
  </cols>
  <sheetData>
    <row r="1" spans="1:22" ht="44.25" customHeight="1" x14ac:dyDescent="0.25">
      <c r="A1" s="144" t="s">
        <v>1</v>
      </c>
      <c r="B1" s="145" t="s">
        <v>0</v>
      </c>
      <c r="C1" s="146" t="s">
        <v>2</v>
      </c>
      <c r="D1" s="146" t="s">
        <v>3</v>
      </c>
      <c r="E1" s="146" t="s">
        <v>71</v>
      </c>
      <c r="F1" s="146" t="s">
        <v>4</v>
      </c>
      <c r="G1" s="146" t="s">
        <v>97</v>
      </c>
      <c r="H1" s="146" t="s">
        <v>72</v>
      </c>
      <c r="I1" s="146" t="s">
        <v>70</v>
      </c>
      <c r="J1" s="146" t="s">
        <v>69</v>
      </c>
      <c r="K1" s="145" t="s">
        <v>117</v>
      </c>
      <c r="L1" s="146" t="s">
        <v>118</v>
      </c>
      <c r="M1" s="146" t="s">
        <v>119</v>
      </c>
      <c r="N1" s="146" t="s">
        <v>61</v>
      </c>
      <c r="O1" s="146" t="s">
        <v>67</v>
      </c>
      <c r="P1" s="251" t="s">
        <v>337</v>
      </c>
      <c r="Q1" s="248" t="s">
        <v>342</v>
      </c>
      <c r="R1" s="251" t="s">
        <v>338</v>
      </c>
      <c r="S1" s="248" t="s">
        <v>340</v>
      </c>
      <c r="T1" s="251" t="s">
        <v>339</v>
      </c>
      <c r="U1" s="248" t="s">
        <v>341</v>
      </c>
    </row>
    <row r="2" spans="1:22" x14ac:dyDescent="0.25">
      <c r="A2" s="55" t="s">
        <v>85</v>
      </c>
      <c r="B2" s="55">
        <v>240.43</v>
      </c>
      <c r="C2" s="55">
        <v>0.24310000000000001</v>
      </c>
      <c r="D2" s="55">
        <v>0.37830000000000003</v>
      </c>
      <c r="E2" s="55">
        <f>D2-C2</f>
        <v>0.13520000000000001</v>
      </c>
      <c r="F2" s="56">
        <f>E2/B2*1000*1000</f>
        <v>562.3258328827518</v>
      </c>
      <c r="G2" s="55">
        <v>339.78248000000002</v>
      </c>
      <c r="H2" s="57">
        <v>12.42059499105352</v>
      </c>
      <c r="I2" s="58">
        <f>H2/B2*1000</f>
        <v>51.659921769552554</v>
      </c>
      <c r="J2" s="59">
        <v>9.1790000000000003</v>
      </c>
      <c r="K2" s="55">
        <v>1.19</v>
      </c>
      <c r="L2" s="55">
        <v>6.2E-2</v>
      </c>
      <c r="M2" s="55">
        <v>0.36</v>
      </c>
      <c r="N2" s="55" t="s">
        <v>73</v>
      </c>
      <c r="O2" s="13">
        <v>44400.659722222219</v>
      </c>
      <c r="P2" s="249">
        <v>92.5304</v>
      </c>
      <c r="Q2" s="249">
        <v>25.148399999999999</v>
      </c>
      <c r="R2" s="249">
        <v>92.5304</v>
      </c>
      <c r="S2" s="249">
        <v>25.148399999999999</v>
      </c>
      <c r="T2" s="249">
        <v>95.885999999999996</v>
      </c>
      <c r="U2" s="249">
        <v>18.795999999999999</v>
      </c>
      <c r="V2" s="219" t="s">
        <v>5</v>
      </c>
    </row>
    <row r="3" spans="1:22" x14ac:dyDescent="0.25">
      <c r="A3" s="55" t="s">
        <v>86</v>
      </c>
      <c r="B3" s="55">
        <v>257.18</v>
      </c>
      <c r="C3" s="55">
        <v>0.2412</v>
      </c>
      <c r="D3" s="55">
        <v>0.377</v>
      </c>
      <c r="E3" s="55">
        <f t="shared" ref="E3:E37" si="0">D3-C3</f>
        <v>0.1358</v>
      </c>
      <c r="F3" s="56">
        <f>E3/B3*1000*1000</f>
        <v>528.03483941208492</v>
      </c>
      <c r="G3" s="55">
        <v>457.12</v>
      </c>
      <c r="H3" s="57">
        <v>12.917667659613238</v>
      </c>
      <c r="I3" s="58">
        <f t="shared" ref="I3:I12" si="1">H3/B3*1000</f>
        <v>50.228119059076278</v>
      </c>
      <c r="J3" s="59">
        <v>12.625</v>
      </c>
      <c r="K3" s="55">
        <v>1.63</v>
      </c>
      <c r="L3" s="55">
        <v>8.7999999999999995E-2</v>
      </c>
      <c r="M3" s="55">
        <v>0.44500000000000001</v>
      </c>
      <c r="N3" s="55" t="s">
        <v>74</v>
      </c>
      <c r="O3" s="13">
        <v>44400.67291666667</v>
      </c>
      <c r="P3" s="249">
        <v>197.94775999999999</v>
      </c>
      <c r="Q3" s="249">
        <v>25.114000000000001</v>
      </c>
      <c r="R3" s="249">
        <v>197.94775999999999</v>
      </c>
      <c r="S3" s="249">
        <v>25.114000000000001</v>
      </c>
      <c r="T3" s="249">
        <v>137.97319999999999</v>
      </c>
      <c r="U3" s="249">
        <v>17.669599999999999</v>
      </c>
      <c r="V3" s="220" t="s">
        <v>6</v>
      </c>
    </row>
    <row r="4" spans="1:22" x14ac:dyDescent="0.25">
      <c r="A4" s="55" t="s">
        <v>87</v>
      </c>
      <c r="B4" s="55">
        <v>279.39000000000004</v>
      </c>
      <c r="C4" s="55">
        <v>0.23849999999999999</v>
      </c>
      <c r="D4" s="55">
        <v>0.27850000000000003</v>
      </c>
      <c r="E4" s="55">
        <f t="shared" si="0"/>
        <v>4.0000000000000036E-2</v>
      </c>
      <c r="F4" s="56">
        <f>E4/B4*1000*1000</f>
        <v>143.16904685207069</v>
      </c>
      <c r="G4" s="55">
        <v>152.79</v>
      </c>
      <c r="H4" s="57">
        <v>4.05181995661607</v>
      </c>
      <c r="I4" s="58">
        <f>H4/B4*1000</f>
        <v>14.502380030123016</v>
      </c>
      <c r="J4" s="59">
        <v>13.388</v>
      </c>
      <c r="K4" s="55">
        <v>0.77</v>
      </c>
      <c r="L4" s="55">
        <v>8.7999999999999995E-2</v>
      </c>
      <c r="M4" s="55">
        <v>0.248</v>
      </c>
      <c r="N4" s="55" t="s">
        <v>84</v>
      </c>
      <c r="O4" s="13">
        <v>44400.694444444445</v>
      </c>
      <c r="P4" s="249">
        <v>78.192979999999906</v>
      </c>
      <c r="Q4" s="249">
        <v>37.8446</v>
      </c>
      <c r="R4" s="249">
        <v>78.192979999999906</v>
      </c>
      <c r="S4" s="249">
        <v>37.8446</v>
      </c>
      <c r="T4" s="249">
        <v>60.357999999999898</v>
      </c>
      <c r="U4" s="249">
        <v>27.986000000000001</v>
      </c>
      <c r="V4" s="201" t="s">
        <v>56</v>
      </c>
    </row>
    <row r="5" spans="1:22" x14ac:dyDescent="0.25">
      <c r="A5" s="55" t="s">
        <v>88</v>
      </c>
      <c r="B5" s="55">
        <v>297.24</v>
      </c>
      <c r="C5" s="55">
        <v>0.24379999999999999</v>
      </c>
      <c r="D5" s="55">
        <v>0.26840000000000003</v>
      </c>
      <c r="E5" s="55">
        <f t="shared" si="0"/>
        <v>2.4600000000000039E-2</v>
      </c>
      <c r="F5" s="56">
        <f t="shared" ref="F5:F32" si="2">E5/B5*1000*1000</f>
        <v>82.761404925313002</v>
      </c>
      <c r="G5" s="55">
        <v>168.45</v>
      </c>
      <c r="H5" s="57">
        <v>3.4720828614205299</v>
      </c>
      <c r="I5" s="58">
        <f t="shared" si="1"/>
        <v>11.68107543204323</v>
      </c>
      <c r="J5" s="59">
        <v>12.997</v>
      </c>
      <c r="K5" s="55">
        <v>0.5</v>
      </c>
      <c r="L5" s="55">
        <v>8.3000000000000004E-2</v>
      </c>
      <c r="M5" s="55">
        <v>0.214</v>
      </c>
      <c r="N5" s="55" t="s">
        <v>75</v>
      </c>
      <c r="O5" s="13">
        <v>44400.704861111109</v>
      </c>
      <c r="P5" s="249">
        <v>74.057744</v>
      </c>
      <c r="Q5" s="249">
        <v>40.254799999999904</v>
      </c>
      <c r="R5" s="249">
        <v>74.057744</v>
      </c>
      <c r="S5" s="249">
        <v>40.254799999999904</v>
      </c>
      <c r="T5" s="249">
        <v>45.711999999999897</v>
      </c>
      <c r="U5" s="249">
        <v>30.934000000000001</v>
      </c>
      <c r="V5" s="221" t="s">
        <v>58</v>
      </c>
    </row>
    <row r="6" spans="1:22" x14ac:dyDescent="0.25">
      <c r="A6" s="55" t="s">
        <v>89</v>
      </c>
      <c r="B6" s="55">
        <v>262.73</v>
      </c>
      <c r="C6" s="55">
        <v>0.2414</v>
      </c>
      <c r="D6" s="55">
        <v>0.25109999999999999</v>
      </c>
      <c r="E6" s="55">
        <f t="shared" si="0"/>
        <v>9.6999999999999864E-3</v>
      </c>
      <c r="F6" s="56">
        <f t="shared" si="2"/>
        <v>36.920031971986397</v>
      </c>
      <c r="G6" s="55">
        <v>43.15</v>
      </c>
      <c r="H6" s="57">
        <v>1.6843076180902734</v>
      </c>
      <c r="I6" s="58">
        <f t="shared" si="1"/>
        <v>6.4107928979951785</v>
      </c>
      <c r="J6" s="59">
        <v>12.868</v>
      </c>
      <c r="K6" s="55">
        <v>0.1</v>
      </c>
      <c r="L6" s="55">
        <v>5.2999999999999999E-2</v>
      </c>
      <c r="M6" s="55">
        <v>9.7000000000000003E-2</v>
      </c>
      <c r="N6" s="55" t="s">
        <v>76</v>
      </c>
      <c r="O6" s="13">
        <v>44400.804861111108</v>
      </c>
      <c r="P6" s="249">
        <v>20.5702</v>
      </c>
      <c r="Q6" s="249">
        <v>52.587200000000003</v>
      </c>
      <c r="R6" s="249">
        <v>20.5702</v>
      </c>
      <c r="S6" s="249">
        <v>52.587200000000003</v>
      </c>
      <c r="T6" s="249">
        <v>13.346799999999901</v>
      </c>
      <c r="U6" s="249">
        <v>39.0732</v>
      </c>
      <c r="V6" s="222" t="s">
        <v>57</v>
      </c>
    </row>
    <row r="7" spans="1:22" x14ac:dyDescent="0.25">
      <c r="A7" s="4" t="s">
        <v>90</v>
      </c>
      <c r="B7" s="4">
        <v>272.58000000000004</v>
      </c>
      <c r="C7" s="4">
        <v>0.23980000000000001</v>
      </c>
      <c r="D7" s="4">
        <v>0.24579999999999999</v>
      </c>
      <c r="E7" s="4">
        <f t="shared" si="0"/>
        <v>5.9999999999999776E-3</v>
      </c>
      <c r="F7" s="10">
        <f t="shared" si="2"/>
        <v>22.011886418665991</v>
      </c>
      <c r="G7" s="4">
        <v>17.7</v>
      </c>
      <c r="H7" s="18">
        <v>1.3097205793723499</v>
      </c>
      <c r="I7" s="19">
        <f t="shared" si="1"/>
        <v>4.8049034388889487</v>
      </c>
      <c r="J7" s="26">
        <v>11.551</v>
      </c>
      <c r="K7" s="4">
        <v>7.0000000000000007E-2</v>
      </c>
      <c r="L7" s="4">
        <v>4.7E-2</v>
      </c>
      <c r="M7" s="4">
        <v>7.6999999999999999E-2</v>
      </c>
      <c r="N7" s="4" t="s">
        <v>77</v>
      </c>
      <c r="O7" s="13">
        <v>44400.876388888886</v>
      </c>
      <c r="P7" s="249">
        <v>9.0307999999999904</v>
      </c>
      <c r="Q7" s="249">
        <v>38.270000000000003</v>
      </c>
      <c r="R7" s="249">
        <v>16.9712</v>
      </c>
      <c r="S7" s="249">
        <v>54.248399999999997</v>
      </c>
      <c r="T7" s="249">
        <v>9.0307999999999904</v>
      </c>
      <c r="U7" s="249">
        <v>38.270000000000003</v>
      </c>
      <c r="V7" s="223" t="s">
        <v>59</v>
      </c>
    </row>
    <row r="8" spans="1:22" x14ac:dyDescent="0.25">
      <c r="A8" s="4" t="s">
        <v>91</v>
      </c>
      <c r="B8" s="4">
        <v>223.25</v>
      </c>
      <c r="C8" s="4">
        <v>0.24010000000000001</v>
      </c>
      <c r="D8" s="4">
        <v>0.2555</v>
      </c>
      <c r="E8" s="4">
        <f t="shared" si="0"/>
        <v>1.5399999999999997E-2</v>
      </c>
      <c r="F8" s="10">
        <f t="shared" si="2"/>
        <v>68.980963045912645</v>
      </c>
      <c r="G8" s="4">
        <v>92.06</v>
      </c>
      <c r="H8" s="18">
        <v>2.4792040459396865</v>
      </c>
      <c r="I8" s="19">
        <f t="shared" si="1"/>
        <v>11.105057316639133</v>
      </c>
      <c r="J8" s="26">
        <v>4.5220000000000002</v>
      </c>
      <c r="K8" s="4">
        <v>0.15</v>
      </c>
      <c r="L8" s="4">
        <v>4.2000000000000003E-2</v>
      </c>
      <c r="M8" s="4">
        <v>9.4E-2</v>
      </c>
      <c r="N8" s="4" t="s">
        <v>78</v>
      </c>
      <c r="O8" s="13">
        <v>44400.620833333334</v>
      </c>
      <c r="P8" s="249">
        <v>10.092000000000001</v>
      </c>
      <c r="Q8" s="249">
        <v>16.559999999999999</v>
      </c>
      <c r="R8" s="249">
        <v>12.229200000000001</v>
      </c>
      <c r="S8" s="249">
        <v>21.9376</v>
      </c>
      <c r="T8" s="249">
        <v>10.092000000000001</v>
      </c>
      <c r="U8" s="249">
        <v>16.559999999999999</v>
      </c>
      <c r="V8" s="224" t="s">
        <v>60</v>
      </c>
    </row>
    <row r="9" spans="1:22" x14ac:dyDescent="0.25">
      <c r="A9" s="4" t="s">
        <v>92</v>
      </c>
      <c r="B9" s="4">
        <v>207.27</v>
      </c>
      <c r="C9" s="4">
        <v>0.24149999999999999</v>
      </c>
      <c r="D9" s="4">
        <v>0.26729999999999998</v>
      </c>
      <c r="E9" s="4">
        <f t="shared" si="0"/>
        <v>2.579999999999999E-2</v>
      </c>
      <c r="F9" s="10">
        <f t="shared" si="2"/>
        <v>124.47532204371103</v>
      </c>
      <c r="G9" s="4">
        <v>95.69</v>
      </c>
      <c r="H9" s="18">
        <v>6.1584312598812998</v>
      </c>
      <c r="I9" s="19">
        <f t="shared" si="1"/>
        <v>29.712120711541949</v>
      </c>
      <c r="J9" s="26">
        <v>4.4359999999999999</v>
      </c>
      <c r="K9" s="4">
        <v>0.28000000000000003</v>
      </c>
      <c r="L9" s="4">
        <v>4.4999999999999998E-2</v>
      </c>
      <c r="M9" s="4">
        <v>0.12</v>
      </c>
      <c r="N9" s="4" t="s">
        <v>79</v>
      </c>
      <c r="O9" s="13">
        <v>44400.626388888886</v>
      </c>
      <c r="P9" s="249">
        <v>13.925599999999999</v>
      </c>
      <c r="Q9" s="249">
        <v>16.904799999999899</v>
      </c>
      <c r="R9" s="249">
        <v>18.771000000000001</v>
      </c>
      <c r="S9" s="249">
        <v>21.957000000000001</v>
      </c>
      <c r="T9" s="249">
        <v>13.925599999999999</v>
      </c>
      <c r="U9" s="249">
        <v>16.904799999999899</v>
      </c>
    </row>
    <row r="10" spans="1:22" x14ac:dyDescent="0.25">
      <c r="A10" s="4" t="s">
        <v>93</v>
      </c>
      <c r="B10" s="4">
        <v>254.43999999999997</v>
      </c>
      <c r="C10" s="4">
        <v>0.2419</v>
      </c>
      <c r="D10" s="4">
        <v>0.33329999999999999</v>
      </c>
      <c r="E10" s="4">
        <f t="shared" si="0"/>
        <v>9.1399999999999981E-2</v>
      </c>
      <c r="F10" s="10">
        <f t="shared" si="2"/>
        <v>359.22024838861807</v>
      </c>
      <c r="G10" s="4">
        <v>403.51499999999999</v>
      </c>
      <c r="H10" s="18">
        <v>10.503118006915519</v>
      </c>
      <c r="I10" s="19">
        <f t="shared" si="1"/>
        <v>41.279350758196514</v>
      </c>
      <c r="J10" s="26">
        <v>12.442</v>
      </c>
      <c r="K10" s="4">
        <v>1.66</v>
      </c>
      <c r="L10" s="4">
        <v>0.09</v>
      </c>
      <c r="M10" s="4">
        <v>0.36199999999999999</v>
      </c>
      <c r="N10" s="4" t="s">
        <v>81</v>
      </c>
      <c r="O10" s="13">
        <v>44400.675694444442</v>
      </c>
      <c r="P10" s="249">
        <v>126.08439999999899</v>
      </c>
      <c r="Q10" s="249">
        <v>19.173200000000001</v>
      </c>
      <c r="R10" s="249">
        <v>182.640559999999</v>
      </c>
      <c r="S10" s="249">
        <v>27.346</v>
      </c>
      <c r="T10" s="249">
        <v>126.08439999999899</v>
      </c>
      <c r="U10" s="249">
        <v>19.173200000000001</v>
      </c>
    </row>
    <row r="11" spans="1:22" ht="13.15" customHeight="1" x14ac:dyDescent="0.25">
      <c r="A11" s="4" t="s">
        <v>94</v>
      </c>
      <c r="B11" s="4">
        <v>315.87000000000006</v>
      </c>
      <c r="C11" s="4">
        <v>0.24010000000000001</v>
      </c>
      <c r="D11" s="4">
        <v>0.26729999999999998</v>
      </c>
      <c r="E11" s="4">
        <f t="shared" si="0"/>
        <v>2.7199999999999974E-2</v>
      </c>
      <c r="F11" s="10">
        <f t="shared" si="2"/>
        <v>86.111374932725383</v>
      </c>
      <c r="G11" s="4">
        <v>124.04</v>
      </c>
      <c r="H11" s="18">
        <v>3.0083665576103797</v>
      </c>
      <c r="I11" s="19">
        <f t="shared" si="1"/>
        <v>9.5240654624066199</v>
      </c>
      <c r="J11" s="26">
        <v>12.977</v>
      </c>
      <c r="K11" s="4">
        <v>0.38</v>
      </c>
      <c r="L11" s="4">
        <v>8.3000000000000004E-2</v>
      </c>
      <c r="M11" s="4">
        <v>0.20799999999999999</v>
      </c>
      <c r="N11" s="4" t="s">
        <v>82</v>
      </c>
      <c r="O11" s="13">
        <v>44400.706944444442</v>
      </c>
      <c r="P11" s="249">
        <v>43.206399999999903</v>
      </c>
      <c r="Q11" s="249">
        <v>31.476400000000002</v>
      </c>
      <c r="R11" s="249">
        <v>73.380716000000007</v>
      </c>
      <c r="S11" s="249">
        <v>40.674199999999999</v>
      </c>
      <c r="T11" s="249">
        <v>43.206399999999903</v>
      </c>
      <c r="U11" s="249">
        <v>31.476400000000002</v>
      </c>
    </row>
    <row r="12" spans="1:22" x14ac:dyDescent="0.25">
      <c r="A12" s="4" t="s">
        <v>95</v>
      </c>
      <c r="B12" s="4">
        <v>222.95000000000002</v>
      </c>
      <c r="C12" s="4">
        <v>0.2437</v>
      </c>
      <c r="D12" s="4">
        <v>0.252</v>
      </c>
      <c r="E12" s="4">
        <f>D12-C12</f>
        <v>8.3000000000000018E-3</v>
      </c>
      <c r="F12" s="10">
        <f>E12/B12*1000*1000</f>
        <v>37.228078044404583</v>
      </c>
      <c r="G12" s="4">
        <v>65.3</v>
      </c>
      <c r="H12" s="18">
        <v>1.4577906907522695</v>
      </c>
      <c r="I12" s="19">
        <f t="shared" si="1"/>
        <v>6.5386440491243301</v>
      </c>
      <c r="J12" s="26">
        <v>13.108000000000001</v>
      </c>
      <c r="K12" s="4">
        <v>0.13</v>
      </c>
      <c r="L12" s="4">
        <v>6.7000000000000004E-2</v>
      </c>
      <c r="M12" s="4">
        <v>0.13200000000000001</v>
      </c>
      <c r="N12" s="4" t="s">
        <v>80</v>
      </c>
      <c r="O12" s="13">
        <v>44400.748611111114</v>
      </c>
      <c r="P12" s="249">
        <v>20.805599999999899</v>
      </c>
      <c r="Q12" s="249">
        <v>37.244</v>
      </c>
      <c r="R12" s="249">
        <v>35.428628000000003</v>
      </c>
      <c r="S12" s="249">
        <v>47.753999999999998</v>
      </c>
      <c r="T12" s="249">
        <v>20.805599999999899</v>
      </c>
      <c r="U12" s="249">
        <v>37.244</v>
      </c>
    </row>
    <row r="13" spans="1:22" ht="16.149999999999999" customHeight="1" thickBot="1" x14ac:dyDescent="0.3">
      <c r="A13" s="61" t="s">
        <v>96</v>
      </c>
      <c r="B13" s="61">
        <v>213.57</v>
      </c>
      <c r="C13" s="61">
        <v>0.24249999999999999</v>
      </c>
      <c r="D13" s="61">
        <v>0.249</v>
      </c>
      <c r="E13" s="61">
        <f t="shared" si="0"/>
        <v>6.5000000000000058E-3</v>
      </c>
      <c r="F13" s="62">
        <f t="shared" si="2"/>
        <v>30.434986187198604</v>
      </c>
      <c r="G13" s="61">
        <v>42.87</v>
      </c>
      <c r="H13" s="63">
        <v>1.2189465182507433</v>
      </c>
      <c r="I13" s="64">
        <f>H13/B13*1000</f>
        <v>5.7074800685992573</v>
      </c>
      <c r="J13" s="65">
        <v>12.073</v>
      </c>
      <c r="K13" s="61">
        <v>0.06</v>
      </c>
      <c r="L13" s="61">
        <v>4.8000000000000001E-2</v>
      </c>
      <c r="M13" s="61">
        <v>8.5999999999999993E-2</v>
      </c>
      <c r="N13" s="61" t="s">
        <v>83</v>
      </c>
      <c r="O13" s="66">
        <v>44400.842361111114</v>
      </c>
      <c r="P13" s="249">
        <v>10.3607999999999</v>
      </c>
      <c r="Q13" s="249">
        <v>38.999200000000002</v>
      </c>
      <c r="R13" s="249">
        <v>12.141999999999999</v>
      </c>
      <c r="S13" s="249">
        <v>54.304000000000002</v>
      </c>
      <c r="T13" s="249">
        <v>10.3607999999999</v>
      </c>
      <c r="U13" s="249">
        <v>38.999200000000002</v>
      </c>
    </row>
    <row r="14" spans="1:22" ht="15.75" x14ac:dyDescent="0.25">
      <c r="A14" s="70" t="s">
        <v>98</v>
      </c>
      <c r="B14" s="70">
        <v>119.53</v>
      </c>
      <c r="C14" s="70">
        <v>0.24010000000000001</v>
      </c>
      <c r="D14" s="70">
        <v>0.247</v>
      </c>
      <c r="E14" s="70">
        <f>D14-C14</f>
        <v>6.8999999999999895E-3</v>
      </c>
      <c r="F14" s="71">
        <f>E14/B14*1000*1000</f>
        <v>57.726093867648203</v>
      </c>
      <c r="G14" s="70">
        <v>206.82</v>
      </c>
      <c r="H14" s="72">
        <v>0.81093355630223884</v>
      </c>
      <c r="I14" s="73">
        <f>H14/B14*1000</f>
        <v>6.7843516799317234</v>
      </c>
      <c r="J14" s="74">
        <v>4.9130000000000003</v>
      </c>
      <c r="K14" s="70">
        <v>0.48</v>
      </c>
      <c r="L14" s="70">
        <v>1.49059E-2</v>
      </c>
      <c r="M14" s="70">
        <v>9.9315000000000001E-2</v>
      </c>
      <c r="N14" s="75">
        <v>95</v>
      </c>
      <c r="O14" s="76">
        <v>44776.626388888886</v>
      </c>
      <c r="P14" s="249">
        <v>3.1412203684533901</v>
      </c>
      <c r="Q14" s="249">
        <v>5.5433241451956903</v>
      </c>
      <c r="R14" s="249">
        <v>16.7956</v>
      </c>
      <c r="S14" s="249">
        <v>17.312799999999999</v>
      </c>
      <c r="T14" s="249">
        <v>3.1412203684533901</v>
      </c>
      <c r="U14" s="249">
        <v>5.5433241451956903</v>
      </c>
    </row>
    <row r="15" spans="1:22" ht="15.75" x14ac:dyDescent="0.25">
      <c r="A15" s="3" t="s">
        <v>99</v>
      </c>
      <c r="B15" s="3">
        <v>118.59</v>
      </c>
      <c r="C15" s="3">
        <v>0.2432</v>
      </c>
      <c r="D15" s="3">
        <v>0.24890000000000001</v>
      </c>
      <c r="E15" s="3">
        <f t="shared" ref="E15:E20" si="3">D15-C15</f>
        <v>5.7000000000000106E-3</v>
      </c>
      <c r="F15" s="11">
        <f t="shared" ref="F15:F20" si="4">E15/B15*1000*1000</f>
        <v>48.064760941057514</v>
      </c>
      <c r="G15" s="3">
        <v>142.53</v>
      </c>
      <c r="H15" s="20">
        <v>0.67779828329961622</v>
      </c>
      <c r="I15" s="21">
        <f t="shared" ref="I15:I20" si="5">H15/B15*1000</f>
        <v>5.7154758689570473</v>
      </c>
      <c r="J15" s="27">
        <v>6.55</v>
      </c>
      <c r="K15" s="3">
        <v>0.4</v>
      </c>
      <c r="L15" s="3">
        <v>7.15306E-2</v>
      </c>
      <c r="M15" s="3">
        <v>0.1012671</v>
      </c>
      <c r="N15" s="37">
        <v>96</v>
      </c>
      <c r="O15" s="13">
        <v>44776.636805555558</v>
      </c>
      <c r="P15" s="249">
        <v>3.1412530097882798</v>
      </c>
      <c r="Q15" s="249">
        <v>5.54325131463888</v>
      </c>
      <c r="R15" s="249">
        <v>19.789199999999902</v>
      </c>
      <c r="S15" s="249">
        <v>24.931999999999999</v>
      </c>
      <c r="T15" s="249">
        <v>3.1412530097882798</v>
      </c>
      <c r="U15" s="249">
        <v>5.54325131463888</v>
      </c>
    </row>
    <row r="16" spans="1:22" ht="15.75" x14ac:dyDescent="0.25">
      <c r="A16" s="3" t="s">
        <v>100</v>
      </c>
      <c r="B16" s="3">
        <v>121.81</v>
      </c>
      <c r="C16" s="3">
        <v>0.24129999999999999</v>
      </c>
      <c r="D16" s="3">
        <v>0.248</v>
      </c>
      <c r="E16" s="3">
        <f t="shared" si="3"/>
        <v>6.7000000000000115E-3</v>
      </c>
      <c r="F16" s="11">
        <f t="shared" si="4"/>
        <v>55.003694277973992</v>
      </c>
      <c r="G16" s="3">
        <v>55.06</v>
      </c>
      <c r="H16" s="77">
        <v>0.63223097869840805</v>
      </c>
      <c r="I16" s="21">
        <f t="shared" si="5"/>
        <v>5.1903043978196211</v>
      </c>
      <c r="J16" s="27">
        <v>8.0350000000000001</v>
      </c>
      <c r="K16" s="3">
        <v>0.14000000000000001</v>
      </c>
      <c r="L16" s="3">
        <v>5.4371599999999999E-2</v>
      </c>
      <c r="M16" s="3">
        <v>8.5650299999999999E-2</v>
      </c>
      <c r="N16" s="37">
        <v>97</v>
      </c>
      <c r="O16" s="13">
        <v>44776.657638888886</v>
      </c>
      <c r="P16" s="249">
        <v>3.1413182924580698</v>
      </c>
      <c r="Q16" s="249">
        <v>5.5431056535252798</v>
      </c>
      <c r="R16" s="249">
        <v>10.3628</v>
      </c>
      <c r="S16" s="249">
        <v>33.9084</v>
      </c>
      <c r="T16" s="249">
        <v>3.1413182924580698</v>
      </c>
      <c r="U16" s="249">
        <v>5.5431056535252798</v>
      </c>
      <c r="V16" s="42"/>
    </row>
    <row r="17" spans="1:23" ht="15.75" x14ac:dyDescent="0.25">
      <c r="A17" s="3" t="s">
        <v>101</v>
      </c>
      <c r="B17" s="3">
        <v>117.35</v>
      </c>
      <c r="C17" s="3">
        <v>0.23710000000000001</v>
      </c>
      <c r="D17" s="3">
        <v>0.2424</v>
      </c>
      <c r="E17" s="3">
        <f t="shared" si="3"/>
        <v>5.2999999999999992E-3</v>
      </c>
      <c r="F17" s="11">
        <f t="shared" si="4"/>
        <v>45.164039198977413</v>
      </c>
      <c r="G17" s="3">
        <v>66.040000000000006</v>
      </c>
      <c r="H17" s="20">
        <v>0.64059153994189177</v>
      </c>
      <c r="I17" s="21">
        <f t="shared" si="5"/>
        <v>5.4588115887677189</v>
      </c>
      <c r="J17" s="27">
        <v>8.6910000000000007</v>
      </c>
      <c r="K17" s="3"/>
      <c r="L17" s="3"/>
      <c r="M17" s="3"/>
      <c r="N17" s="37">
        <v>98</v>
      </c>
      <c r="O17" s="13">
        <v>44776.678472222222</v>
      </c>
      <c r="P17" s="249">
        <v>3.1413835751278598</v>
      </c>
      <c r="Q17" s="249">
        <v>5.5429599924116699</v>
      </c>
      <c r="R17" s="249">
        <v>13.1524</v>
      </c>
      <c r="S17" s="249">
        <v>36.403199999999998</v>
      </c>
      <c r="T17" s="249">
        <v>3.1413835751278598</v>
      </c>
      <c r="U17" s="249">
        <v>5.5429599924116699</v>
      </c>
    </row>
    <row r="18" spans="1:23" ht="15.75" x14ac:dyDescent="0.25">
      <c r="A18" s="3" t="s">
        <v>102</v>
      </c>
      <c r="B18" s="3">
        <v>120.51</v>
      </c>
      <c r="C18" s="3">
        <v>0.23480000000000001</v>
      </c>
      <c r="D18" s="3">
        <v>0.2369</v>
      </c>
      <c r="E18" s="3">
        <f>D18-C18</f>
        <v>2.0999999999999908E-3</v>
      </c>
      <c r="F18" s="11">
        <f t="shared" si="4"/>
        <v>17.425939756036765</v>
      </c>
      <c r="G18" s="3">
        <v>39.15</v>
      </c>
      <c r="H18" s="20">
        <v>0.3795284226614497</v>
      </c>
      <c r="I18" s="21">
        <f>H19/B19*1000</f>
        <v>2.0882180227795768</v>
      </c>
      <c r="J18" s="27">
        <v>8.1240000000000006</v>
      </c>
      <c r="K18" s="3"/>
      <c r="L18" s="3"/>
      <c r="M18" s="3"/>
      <c r="N18" s="37">
        <v>99</v>
      </c>
      <c r="O18" s="13">
        <v>44776.751388888886</v>
      </c>
      <c r="P18" s="249">
        <v>3.1416120644721102</v>
      </c>
      <c r="Q18" s="249">
        <v>5.5424501785140601</v>
      </c>
      <c r="R18" s="249">
        <v>9.5941333333333301</v>
      </c>
      <c r="S18" s="249">
        <v>37.711066666666603</v>
      </c>
      <c r="T18" s="249">
        <v>3.1416120644721102</v>
      </c>
      <c r="U18" s="249">
        <v>5.5424501785140601</v>
      </c>
    </row>
    <row r="19" spans="1:23" ht="15.75" x14ac:dyDescent="0.25">
      <c r="A19" s="3" t="s">
        <v>103</v>
      </c>
      <c r="B19" s="3">
        <v>122.31</v>
      </c>
      <c r="C19" s="3">
        <v>0.23319999999999999</v>
      </c>
      <c r="D19" s="3">
        <v>0.2346</v>
      </c>
      <c r="E19" s="3">
        <f>D19-C19</f>
        <v>1.4000000000000123E-3</v>
      </c>
      <c r="F19" s="11">
        <f t="shared" si="4"/>
        <v>11.446324912108677</v>
      </c>
      <c r="G19" s="3">
        <v>23.32</v>
      </c>
      <c r="H19" s="20">
        <v>0.25540994636617004</v>
      </c>
      <c r="I19" s="21">
        <f>H18/B18*1000</f>
        <v>3.1493521090486243</v>
      </c>
      <c r="J19" s="27">
        <v>8.0730000000000004</v>
      </c>
      <c r="K19" s="3">
        <v>0.08</v>
      </c>
      <c r="L19" s="3">
        <v>2.8633100000000002E-2</v>
      </c>
      <c r="M19" s="3">
        <v>4.46562E-2</v>
      </c>
      <c r="N19" s="37">
        <v>100</v>
      </c>
      <c r="O19" s="13">
        <v>44776.761805555558</v>
      </c>
      <c r="P19" s="249">
        <v>3.1416447058070101</v>
      </c>
      <c r="Q19" s="249">
        <v>5.5423773479572498</v>
      </c>
      <c r="R19" s="249">
        <v>9.1205333333333307</v>
      </c>
      <c r="S19" s="249">
        <v>37.138933333333298</v>
      </c>
      <c r="T19" s="249">
        <v>3.1416447058070101</v>
      </c>
      <c r="U19" s="249">
        <v>5.5423773479572498</v>
      </c>
      <c r="V19" s="5"/>
      <c r="W19" s="5"/>
    </row>
    <row r="20" spans="1:23" ht="16.5" thickBot="1" x14ac:dyDescent="0.3">
      <c r="A20" s="78" t="s">
        <v>104</v>
      </c>
      <c r="B20" s="78">
        <v>122.5</v>
      </c>
      <c r="C20" s="78">
        <v>0.2417</v>
      </c>
      <c r="D20" s="78">
        <v>0.24249999999999999</v>
      </c>
      <c r="E20" s="78">
        <f t="shared" si="3"/>
        <v>7.9999999999999516E-4</v>
      </c>
      <c r="F20" s="79">
        <f t="shared" si="4"/>
        <v>6.5306122448979194</v>
      </c>
      <c r="G20" s="78">
        <v>0</v>
      </c>
      <c r="H20" s="80">
        <v>0.26461862273170189</v>
      </c>
      <c r="I20" s="81">
        <f t="shared" si="5"/>
        <v>2.1601520222996071</v>
      </c>
      <c r="J20" s="82">
        <v>3.1280000000000001</v>
      </c>
      <c r="K20" s="78"/>
      <c r="L20" s="78"/>
      <c r="M20" s="78"/>
      <c r="N20" s="83">
        <v>101</v>
      </c>
      <c r="O20" s="66">
        <v>44776.793055555558</v>
      </c>
      <c r="P20" s="249">
        <v>3.1417426298116902</v>
      </c>
      <c r="Q20" s="249">
        <v>5.54215885628685</v>
      </c>
      <c r="R20" s="249">
        <v>7.7619999999999996</v>
      </c>
      <c r="S20" s="249">
        <v>35.1289333333333</v>
      </c>
      <c r="T20" s="249">
        <v>3.1417426298116902</v>
      </c>
      <c r="U20" s="249">
        <v>5.54215885628685</v>
      </c>
    </row>
    <row r="21" spans="1:23" ht="15.75" x14ac:dyDescent="0.25">
      <c r="A21" s="84" t="s">
        <v>105</v>
      </c>
      <c r="B21" s="84">
        <v>117.93</v>
      </c>
      <c r="C21" s="84">
        <v>0.24030000000000001</v>
      </c>
      <c r="D21" s="84">
        <v>0.24129999999999999</v>
      </c>
      <c r="E21" s="84">
        <f t="shared" si="0"/>
        <v>9.9999999999997313E-4</v>
      </c>
      <c r="F21" s="85">
        <f t="shared" si="2"/>
        <v>8.4796065462560257</v>
      </c>
      <c r="G21" s="84">
        <v>0</v>
      </c>
      <c r="H21" s="86">
        <v>0.17978326915702031</v>
      </c>
      <c r="I21" s="87">
        <f t="shared" ref="I21:I77" si="6">H21/B21*1000</f>
        <v>1.5244913860512195</v>
      </c>
      <c r="J21" s="88">
        <v>3.359</v>
      </c>
      <c r="K21" s="84"/>
      <c r="L21" s="84"/>
      <c r="M21" s="84"/>
      <c r="N21" s="89">
        <v>102</v>
      </c>
      <c r="O21" s="76">
        <v>44781.571527777778</v>
      </c>
      <c r="P21" s="249">
        <v>3.1567162981719199</v>
      </c>
      <c r="Q21" s="249">
        <v>5.5087490521962996</v>
      </c>
      <c r="R21" s="249">
        <v>5.6118666666666597</v>
      </c>
      <c r="S21" s="249">
        <v>18.7592</v>
      </c>
      <c r="T21" s="249">
        <v>3.1567162981719199</v>
      </c>
      <c r="U21" s="249">
        <v>5.5087490521962996</v>
      </c>
    </row>
    <row r="22" spans="1:23" ht="15.75" x14ac:dyDescent="0.25">
      <c r="A22" s="6" t="s">
        <v>106</v>
      </c>
      <c r="B22" s="6">
        <v>121</v>
      </c>
      <c r="C22" s="6">
        <v>0.24199999999999999</v>
      </c>
      <c r="D22" s="6">
        <v>0.24329999999999999</v>
      </c>
      <c r="E22" s="6">
        <f t="shared" si="0"/>
        <v>1.2999999999999956E-3</v>
      </c>
      <c r="F22" s="7">
        <f t="shared" si="2"/>
        <v>10.743801652892525</v>
      </c>
      <c r="G22" s="6">
        <v>0</v>
      </c>
      <c r="H22" s="17">
        <v>0.20670824007668936</v>
      </c>
      <c r="I22" s="22">
        <f t="shared" si="6"/>
        <v>1.7083325626172676</v>
      </c>
      <c r="J22" s="28">
        <v>3.4239999999999999</v>
      </c>
      <c r="K22" s="6">
        <v>0.1</v>
      </c>
      <c r="L22" s="6">
        <v>1.1474099999999999E-2</v>
      </c>
      <c r="M22" s="6">
        <v>2.90394E-2</v>
      </c>
      <c r="N22" s="23">
        <v>103</v>
      </c>
      <c r="O22" s="13">
        <v>44781.581944444442</v>
      </c>
      <c r="P22" s="249">
        <v>3.1567489395068198</v>
      </c>
      <c r="Q22" s="249">
        <v>5.5086762216395</v>
      </c>
      <c r="R22" s="249">
        <v>7.4348000000000001</v>
      </c>
      <c r="S22" s="249">
        <v>20.030533333333299</v>
      </c>
      <c r="T22" s="249">
        <v>3.1567489395068198</v>
      </c>
      <c r="U22" s="249">
        <v>5.5086762216395</v>
      </c>
    </row>
    <row r="23" spans="1:23" ht="15.75" x14ac:dyDescent="0.25">
      <c r="A23" s="6" t="s">
        <v>107</v>
      </c>
      <c r="B23" s="6">
        <v>120.98</v>
      </c>
      <c r="C23" s="6">
        <v>0.23780000000000001</v>
      </c>
      <c r="D23" s="6">
        <v>0.2402</v>
      </c>
      <c r="E23" s="6">
        <f t="shared" si="0"/>
        <v>2.3999999999999855E-3</v>
      </c>
      <c r="F23" s="7">
        <f t="shared" si="2"/>
        <v>19.837989750371843</v>
      </c>
      <c r="G23" s="6">
        <v>52.87</v>
      </c>
      <c r="H23" s="17">
        <v>0.37004991918953345</v>
      </c>
      <c r="I23" s="22">
        <f t="shared" si="6"/>
        <v>3.0587693766699737</v>
      </c>
      <c r="J23" s="28">
        <v>3.9</v>
      </c>
      <c r="K23" s="6"/>
      <c r="L23" s="6"/>
      <c r="M23" s="6"/>
      <c r="N23" s="23">
        <v>104</v>
      </c>
      <c r="O23" s="13">
        <v>44781.592361111114</v>
      </c>
      <c r="P23" s="249">
        <v>3.1567815808417099</v>
      </c>
      <c r="Q23" s="249">
        <v>5.5086033910827004</v>
      </c>
      <c r="R23" s="249">
        <v>9.4147999999999996</v>
      </c>
      <c r="S23" s="249">
        <v>21.281866666666598</v>
      </c>
      <c r="T23" s="249">
        <v>3.1567815808417099</v>
      </c>
      <c r="U23" s="249">
        <v>5.5086033910827004</v>
      </c>
    </row>
    <row r="24" spans="1:23" ht="15.75" x14ac:dyDescent="0.25">
      <c r="A24" s="6" t="s">
        <v>108</v>
      </c>
      <c r="B24" s="6">
        <v>122.22</v>
      </c>
      <c r="C24" s="6">
        <v>0.2427</v>
      </c>
      <c r="D24" s="6">
        <v>0.2487</v>
      </c>
      <c r="E24" s="6">
        <f t="shared" si="0"/>
        <v>6.0000000000000053E-3</v>
      </c>
      <c r="F24" s="7">
        <f t="shared" si="2"/>
        <v>49.091801669121296</v>
      </c>
      <c r="G24" s="6">
        <v>204.03</v>
      </c>
      <c r="H24" s="17">
        <v>0.65572150300064624</v>
      </c>
      <c r="I24" s="22">
        <f t="shared" si="6"/>
        <v>5.365091662580971</v>
      </c>
      <c r="J24" s="28">
        <v>5.2789999999999999</v>
      </c>
      <c r="K24" s="6">
        <v>0.11</v>
      </c>
      <c r="L24" s="6">
        <v>2.6917199999999999E-2</v>
      </c>
      <c r="M24" s="6">
        <v>6.3819200000000006E-2</v>
      </c>
      <c r="N24" s="23">
        <v>105</v>
      </c>
      <c r="O24" s="13">
        <v>44781.602777777778</v>
      </c>
      <c r="P24" s="249">
        <v>3.1568142221766098</v>
      </c>
      <c r="Q24" s="249">
        <v>5.5085305605258901</v>
      </c>
      <c r="R24" s="249">
        <v>15.5524</v>
      </c>
      <c r="S24" s="249">
        <v>26.152000000000001</v>
      </c>
      <c r="T24" s="249">
        <v>3.1568142221766098</v>
      </c>
      <c r="U24" s="249">
        <v>5.5085305605258901</v>
      </c>
    </row>
    <row r="25" spans="1:23" ht="15.75" x14ac:dyDescent="0.25">
      <c r="A25" s="6" t="s">
        <v>109</v>
      </c>
      <c r="B25" s="6">
        <v>121.52</v>
      </c>
      <c r="C25" s="6">
        <v>0.23899999999999999</v>
      </c>
      <c r="D25" s="6">
        <v>0.24329999999999999</v>
      </c>
      <c r="E25" s="6">
        <f t="shared" si="0"/>
        <v>4.2999999999999983E-3</v>
      </c>
      <c r="F25" s="7">
        <f t="shared" si="2"/>
        <v>35.385121790651731</v>
      </c>
      <c r="G25" s="6">
        <v>105.77</v>
      </c>
      <c r="H25" s="17">
        <v>0.62239773814796806</v>
      </c>
      <c r="I25" s="22">
        <f t="shared" si="6"/>
        <v>5.1217720387423311</v>
      </c>
      <c r="J25" s="28">
        <v>7.2069999999999999</v>
      </c>
      <c r="K25" s="6"/>
      <c r="L25" s="6"/>
      <c r="M25" s="6"/>
      <c r="N25" s="23">
        <v>106</v>
      </c>
      <c r="O25" s="13">
        <v>44781.613194444442</v>
      </c>
      <c r="P25" s="249">
        <v>3.1568468635114999</v>
      </c>
      <c r="Q25" s="249">
        <v>5.5084577299690896</v>
      </c>
      <c r="R25" s="249">
        <v>20.757200000000001</v>
      </c>
      <c r="S25" s="249">
        <v>31.234400000000001</v>
      </c>
      <c r="T25" s="249">
        <v>3.1568468635114999</v>
      </c>
      <c r="U25" s="249">
        <v>5.5084577299690896</v>
      </c>
    </row>
    <row r="26" spans="1:23" ht="15.75" x14ac:dyDescent="0.25">
      <c r="A26" s="6" t="s">
        <v>110</v>
      </c>
      <c r="B26" s="6">
        <v>122.46</v>
      </c>
      <c r="C26" s="6">
        <v>0.23760000000000001</v>
      </c>
      <c r="D26" s="6">
        <v>0.24049999999999999</v>
      </c>
      <c r="E26" s="6">
        <f t="shared" si="0"/>
        <v>2.8999999999999859E-3</v>
      </c>
      <c r="F26" s="7">
        <f t="shared" si="2"/>
        <v>23.681202025150956</v>
      </c>
      <c r="G26" s="6">
        <v>68.83</v>
      </c>
      <c r="H26" s="17">
        <v>0.27757088646634936</v>
      </c>
      <c r="I26" s="22">
        <f t="shared" si="6"/>
        <v>2.2666249098999622</v>
      </c>
      <c r="J26" s="28">
        <v>7.75</v>
      </c>
      <c r="K26" s="6">
        <v>0.17</v>
      </c>
      <c r="L26" s="6">
        <v>5.09398E-2</v>
      </c>
      <c r="M26" s="6">
        <v>7.3937699999999995E-2</v>
      </c>
      <c r="N26" s="23">
        <v>107</v>
      </c>
      <c r="O26" s="13">
        <v>44781.640972222223</v>
      </c>
      <c r="P26" s="249">
        <v>3.1569339070712199</v>
      </c>
      <c r="Q26" s="249">
        <v>5.5082635151509498</v>
      </c>
      <c r="R26" s="249">
        <v>14.5328</v>
      </c>
      <c r="S26" s="249">
        <v>35.32</v>
      </c>
      <c r="T26" s="249">
        <v>3.1569339070712199</v>
      </c>
      <c r="U26" s="249">
        <v>5.5082635151509498</v>
      </c>
    </row>
    <row r="27" spans="1:23" ht="15.75" x14ac:dyDescent="0.25">
      <c r="A27" s="6" t="s">
        <v>111</v>
      </c>
      <c r="B27" s="6">
        <v>121.35</v>
      </c>
      <c r="C27" s="6">
        <v>0.24160000000000001</v>
      </c>
      <c r="D27" s="6">
        <v>0.24279999999999999</v>
      </c>
      <c r="E27" s="6">
        <f t="shared" si="0"/>
        <v>1.1999999999999789E-3</v>
      </c>
      <c r="F27" s="7">
        <f t="shared" si="2"/>
        <v>9.8887515451172572</v>
      </c>
      <c r="G27" s="6">
        <v>36.65</v>
      </c>
      <c r="H27" s="17">
        <v>0.23932675048380125</v>
      </c>
      <c r="I27" s="22">
        <f t="shared" si="6"/>
        <v>1.9722023113621858</v>
      </c>
      <c r="J27" s="28">
        <v>8.41</v>
      </c>
      <c r="K27" s="6">
        <v>0.28999999999999998</v>
      </c>
      <c r="L27" s="6">
        <v>3.8928499999999998E-2</v>
      </c>
      <c r="M27" s="6">
        <v>4.0751999999999997E-2</v>
      </c>
      <c r="N27" s="23">
        <v>108</v>
      </c>
      <c r="O27" s="13">
        <v>44781.675694444442</v>
      </c>
      <c r="P27" s="249">
        <v>3.1570427115208601</v>
      </c>
      <c r="Q27" s="249">
        <v>5.5080207466282802</v>
      </c>
      <c r="R27" s="249">
        <v>9.2880000000000003</v>
      </c>
      <c r="S27" s="249">
        <v>37.662799999999997</v>
      </c>
      <c r="T27" s="249">
        <v>3.1570427115208601</v>
      </c>
      <c r="U27" s="249">
        <v>5.5080207466282802</v>
      </c>
    </row>
    <row r="28" spans="1:23" ht="15.75" x14ac:dyDescent="0.25">
      <c r="A28" s="6" t="s">
        <v>112</v>
      </c>
      <c r="B28" s="6">
        <v>119.95</v>
      </c>
      <c r="C28" s="6">
        <v>0.24410000000000001</v>
      </c>
      <c r="D28" s="7">
        <v>0.24505360250000002</v>
      </c>
      <c r="E28" s="7">
        <f t="shared" si="0"/>
        <v>9.5360250000001145E-4</v>
      </c>
      <c r="F28" s="7">
        <f t="shared" si="2"/>
        <v>7.9500000000000943</v>
      </c>
      <c r="G28" s="6">
        <v>25.92</v>
      </c>
      <c r="H28" s="17">
        <v>0.18463063927826467</v>
      </c>
      <c r="I28" s="22">
        <f t="shared" si="6"/>
        <v>1.5392300064882425</v>
      </c>
      <c r="J28" s="28">
        <v>2.7050000000000001</v>
      </c>
      <c r="K28" s="7"/>
      <c r="L28" s="6"/>
      <c r="M28" s="7"/>
      <c r="N28" s="23">
        <v>110</v>
      </c>
      <c r="O28" s="13">
        <v>44781.696527777778</v>
      </c>
      <c r="P28" s="249">
        <v>3.1571079941906501</v>
      </c>
      <c r="Q28" s="249">
        <v>5.5078750855146703</v>
      </c>
      <c r="R28" s="249">
        <v>8.1485333333333294</v>
      </c>
      <c r="S28" s="249">
        <v>38.017733333333297</v>
      </c>
      <c r="T28" s="249">
        <v>3.1571079941906501</v>
      </c>
      <c r="U28" s="249">
        <v>5.5078750855146703</v>
      </c>
    </row>
    <row r="29" spans="1:23" ht="15.75" x14ac:dyDescent="0.25">
      <c r="A29" s="6" t="s">
        <v>113</v>
      </c>
      <c r="B29" s="6">
        <v>122.53</v>
      </c>
      <c r="C29" s="6">
        <v>0.2424</v>
      </c>
      <c r="D29" s="6">
        <v>0.2429</v>
      </c>
      <c r="E29" s="6">
        <f t="shared" si="0"/>
        <v>5.0000000000000044E-4</v>
      </c>
      <c r="F29" s="7">
        <f t="shared" si="2"/>
        <v>4.080633314290381</v>
      </c>
      <c r="G29" s="6">
        <v>21.67</v>
      </c>
      <c r="H29" s="17">
        <v>0.18608289987021998</v>
      </c>
      <c r="I29" s="22">
        <f>H29/B29*1000</f>
        <v>1.5186721608603606</v>
      </c>
      <c r="J29" s="28">
        <v>8.4209999999999994</v>
      </c>
      <c r="K29" s="6"/>
      <c r="L29" s="6"/>
      <c r="M29" s="6"/>
      <c r="N29" s="23">
        <v>111</v>
      </c>
      <c r="O29" s="13">
        <v>44781.706944444442</v>
      </c>
      <c r="P29" s="249">
        <v>3.1571406355255398</v>
      </c>
      <c r="Q29" s="249">
        <v>5.5078022549578698</v>
      </c>
      <c r="R29" s="249">
        <v>7.5998666666666601</v>
      </c>
      <c r="S29" s="249">
        <v>38.203333333333298</v>
      </c>
      <c r="T29" s="249">
        <v>3.1571406355255398</v>
      </c>
      <c r="U29" s="249">
        <v>5.5078022549578698</v>
      </c>
    </row>
    <row r="30" spans="1:23" ht="15.75" x14ac:dyDescent="0.25">
      <c r="A30" s="6" t="s">
        <v>114</v>
      </c>
      <c r="B30" s="6">
        <v>121.54</v>
      </c>
      <c r="C30" s="6">
        <v>0.23649999999999999</v>
      </c>
      <c r="D30" s="6">
        <v>0.23669999999999999</v>
      </c>
      <c r="E30" s="6">
        <f t="shared" si="0"/>
        <v>2.0000000000000573E-4</v>
      </c>
      <c r="F30" s="7">
        <f t="shared" si="2"/>
        <v>1.6455487905216861</v>
      </c>
      <c r="G30" s="6">
        <v>19.05</v>
      </c>
      <c r="H30" s="17">
        <v>0.19585625568188858</v>
      </c>
      <c r="I30" s="22">
        <f t="shared" si="6"/>
        <v>1.6114551232671432</v>
      </c>
      <c r="J30" s="28">
        <v>8.1829999999999998</v>
      </c>
      <c r="K30" s="6"/>
      <c r="L30" s="6"/>
      <c r="M30" s="6"/>
      <c r="N30" s="23">
        <v>112</v>
      </c>
      <c r="O30" s="13">
        <v>44781.727777777778</v>
      </c>
      <c r="P30" s="249">
        <v>3.1572059181953298</v>
      </c>
      <c r="Q30" s="249">
        <v>5.5076565938442599</v>
      </c>
      <c r="R30" s="249">
        <v>6.7853333333333303</v>
      </c>
      <c r="S30" s="249">
        <v>38.651333333333298</v>
      </c>
      <c r="T30" s="249">
        <v>3.1572059181953298</v>
      </c>
      <c r="U30" s="249">
        <v>5.5076565938442599</v>
      </c>
    </row>
    <row r="31" spans="1:23" ht="15.75" x14ac:dyDescent="0.25">
      <c r="A31" s="6" t="s">
        <v>115</v>
      </c>
      <c r="B31" s="6">
        <v>118.38</v>
      </c>
      <c r="C31" s="6">
        <v>0.23619999999999999</v>
      </c>
      <c r="D31" s="6">
        <v>0.23630000000000001</v>
      </c>
      <c r="E31" s="6">
        <f t="shared" si="0"/>
        <v>1.0000000000001674E-4</v>
      </c>
      <c r="F31" s="7">
        <f t="shared" si="2"/>
        <v>0.84473728670397652</v>
      </c>
      <c r="G31" s="6">
        <v>18.36</v>
      </c>
      <c r="H31" s="17">
        <v>0.20604215861937406</v>
      </c>
      <c r="I31" s="22">
        <f t="shared" si="6"/>
        <v>1.7405149401873126</v>
      </c>
      <c r="J31" s="28">
        <v>2.742</v>
      </c>
      <c r="K31" s="6"/>
      <c r="L31" s="6"/>
      <c r="M31" s="6"/>
      <c r="N31" s="23">
        <v>113</v>
      </c>
      <c r="O31" s="13">
        <v>44781.748611111114</v>
      </c>
      <c r="P31" s="249">
        <v>3.1572712008651198</v>
      </c>
      <c r="Q31" s="249">
        <v>5.5075109327306597</v>
      </c>
      <c r="R31" s="249">
        <v>6.1841333333333299</v>
      </c>
      <c r="S31" s="249">
        <v>39.066800000000001</v>
      </c>
      <c r="T31" s="249">
        <v>3.1572712008651198</v>
      </c>
      <c r="U31" s="249">
        <v>5.5075109327306597</v>
      </c>
    </row>
    <row r="32" spans="1:23" ht="16.5" thickBot="1" x14ac:dyDescent="0.3">
      <c r="A32" s="90" t="s">
        <v>116</v>
      </c>
      <c r="B32" s="90">
        <v>122.39</v>
      </c>
      <c r="C32" s="90">
        <v>0.23980000000000001</v>
      </c>
      <c r="D32" s="90">
        <v>0.24049999999999999</v>
      </c>
      <c r="E32" s="90">
        <f t="shared" si="0"/>
        <v>6.9999999999997842E-4</v>
      </c>
      <c r="F32" s="91">
        <f t="shared" si="2"/>
        <v>5.7194215213659483</v>
      </c>
      <c r="G32" s="90">
        <v>0</v>
      </c>
      <c r="H32" s="92">
        <v>0.18269018151077018</v>
      </c>
      <c r="I32" s="93">
        <f t="shared" si="6"/>
        <v>1.4926887941071181</v>
      </c>
      <c r="J32" s="94">
        <v>8.0850000000000009</v>
      </c>
      <c r="K32" s="90">
        <v>0.06</v>
      </c>
      <c r="L32" s="90">
        <v>3.0349000000000001E-2</v>
      </c>
      <c r="M32" s="90">
        <v>3.4895700000000002E-2</v>
      </c>
      <c r="N32" s="95">
        <v>114</v>
      </c>
      <c r="O32" s="66">
        <v>44781.759027777778</v>
      </c>
      <c r="P32" s="249">
        <v>3.1573038422000099</v>
      </c>
      <c r="Q32" s="249">
        <v>5.5074381021738601</v>
      </c>
      <c r="R32" s="249">
        <v>5.9731999999999896</v>
      </c>
      <c r="S32" s="249">
        <v>39.000399999999999</v>
      </c>
      <c r="T32" s="249">
        <v>3.1573038422000099</v>
      </c>
      <c r="U32" s="249">
        <v>5.5074381021738601</v>
      </c>
    </row>
    <row r="33" spans="1:21" x14ac:dyDescent="0.25">
      <c r="A33" s="96" t="s">
        <v>62</v>
      </c>
      <c r="B33" s="96">
        <v>100</v>
      </c>
      <c r="C33" s="96">
        <v>0.2336</v>
      </c>
      <c r="D33" s="96">
        <v>0.25230000000000002</v>
      </c>
      <c r="E33" s="96">
        <f t="shared" si="0"/>
        <v>1.8700000000000022E-2</v>
      </c>
      <c r="F33" s="97">
        <f>E33/B33*1000*1000</f>
        <v>187.00000000000023</v>
      </c>
      <c r="G33" s="97"/>
      <c r="H33" s="98">
        <v>2.9943162613702401</v>
      </c>
      <c r="I33" s="99">
        <f>H33/B33*1000</f>
        <v>29.943162613702402</v>
      </c>
      <c r="J33" s="100">
        <v>2.7629999999999999</v>
      </c>
      <c r="K33" s="96">
        <v>1.89E-2</v>
      </c>
      <c r="L33" s="96"/>
      <c r="M33" s="96"/>
      <c r="N33" s="101">
        <v>439</v>
      </c>
      <c r="O33" s="76">
        <v>45136.619444444441</v>
      </c>
      <c r="P33" s="249">
        <v>28.3628</v>
      </c>
      <c r="Q33" s="249">
        <v>6.9968000000000004</v>
      </c>
      <c r="R33" s="249">
        <v>28.3628</v>
      </c>
      <c r="S33" s="249">
        <v>6.9968000000000004</v>
      </c>
      <c r="T33" s="249">
        <v>33.437199999999997</v>
      </c>
      <c r="U33" s="249">
        <v>6.95</v>
      </c>
    </row>
    <row r="34" spans="1:21" x14ac:dyDescent="0.25">
      <c r="A34" s="43" t="s">
        <v>24</v>
      </c>
      <c r="B34" s="43">
        <v>90</v>
      </c>
      <c r="C34" s="43">
        <v>0.2349</v>
      </c>
      <c r="D34" s="43">
        <v>0.24479999999999999</v>
      </c>
      <c r="E34" s="43">
        <f t="shared" si="0"/>
        <v>9.8999999999999921E-3</v>
      </c>
      <c r="F34" s="44">
        <f t="shared" ref="F34:F50" si="7">E34/B34*1000*1000</f>
        <v>109.9999999999999</v>
      </c>
      <c r="G34" s="43">
        <v>271.06</v>
      </c>
      <c r="H34" s="45">
        <v>0.86155236948536007</v>
      </c>
      <c r="I34" s="46">
        <f t="shared" si="6"/>
        <v>9.5728041053928887</v>
      </c>
      <c r="J34" s="47">
        <v>3.1280000000000001</v>
      </c>
      <c r="K34" s="43">
        <v>6.9500000000000006E-2</v>
      </c>
      <c r="L34" s="43"/>
      <c r="M34" s="43"/>
      <c r="N34" s="48">
        <v>440</v>
      </c>
      <c r="O34" s="13">
        <v>45136.629861111112</v>
      </c>
      <c r="P34" s="249">
        <v>35.5732</v>
      </c>
      <c r="Q34" s="249">
        <v>7.1007999999999996</v>
      </c>
      <c r="R34" s="249">
        <v>35.5732</v>
      </c>
      <c r="S34" s="249">
        <v>7.1007999999999996</v>
      </c>
      <c r="T34" s="249">
        <v>39.591999999999999</v>
      </c>
      <c r="U34" s="249">
        <v>7.1947999999999999</v>
      </c>
    </row>
    <row r="35" spans="1:21" x14ac:dyDescent="0.25">
      <c r="A35" s="43" t="s">
        <v>25</v>
      </c>
      <c r="B35" s="43">
        <v>90</v>
      </c>
      <c r="C35" s="43">
        <v>0.23330000000000001</v>
      </c>
      <c r="D35" s="43">
        <v>0.23810000000000001</v>
      </c>
      <c r="E35" s="43">
        <f t="shared" si="0"/>
        <v>4.7999999999999987E-3</v>
      </c>
      <c r="F35" s="44">
        <f t="shared" si="7"/>
        <v>53.333333333333321</v>
      </c>
      <c r="G35" s="43">
        <v>249.50899999999999</v>
      </c>
      <c r="H35" s="45">
        <v>0.62402435211444007</v>
      </c>
      <c r="I35" s="46">
        <f t="shared" si="6"/>
        <v>6.9336039123826678</v>
      </c>
      <c r="J35" s="47">
        <v>3.5529999999999999</v>
      </c>
      <c r="K35" s="43">
        <v>4.1099999999999998E-2</v>
      </c>
      <c r="L35" s="43"/>
      <c r="M35" s="43"/>
      <c r="N35" s="48">
        <v>441</v>
      </c>
      <c r="O35" s="13">
        <v>45136.640277777777</v>
      </c>
      <c r="P35" s="249">
        <v>34.972000000000001</v>
      </c>
      <c r="Q35" s="249">
        <v>7.9359999999999999</v>
      </c>
      <c r="R35" s="249">
        <v>34.972000000000001</v>
      </c>
      <c r="S35" s="249">
        <v>7.9359999999999999</v>
      </c>
      <c r="T35" s="249">
        <v>37.057600000000001</v>
      </c>
      <c r="U35" s="249">
        <v>8.0852000000000004</v>
      </c>
    </row>
    <row r="36" spans="1:21" x14ac:dyDescent="0.25">
      <c r="A36" s="43" t="s">
        <v>26</v>
      </c>
      <c r="B36" s="43">
        <v>100</v>
      </c>
      <c r="C36" s="43">
        <v>0.23699999999999999</v>
      </c>
      <c r="D36" s="43">
        <v>0.245</v>
      </c>
      <c r="E36" s="43">
        <f t="shared" si="0"/>
        <v>8.0000000000000071E-3</v>
      </c>
      <c r="F36" s="44">
        <f t="shared" si="7"/>
        <v>80.000000000000071</v>
      </c>
      <c r="G36" s="43">
        <v>244.85599999999999</v>
      </c>
      <c r="H36" s="45">
        <v>0.74831808175628001</v>
      </c>
      <c r="I36" s="46">
        <f t="shared" si="6"/>
        <v>7.4831808175628005</v>
      </c>
      <c r="J36" s="47">
        <v>3.9260000000000002</v>
      </c>
      <c r="K36" s="43">
        <v>7.5700000000000003E-2</v>
      </c>
      <c r="L36" s="43"/>
      <c r="M36" s="43"/>
      <c r="N36" s="48">
        <v>442</v>
      </c>
      <c r="O36" s="13">
        <v>45136.650694444441</v>
      </c>
      <c r="P36" s="249">
        <v>32.542400000000001</v>
      </c>
      <c r="Q36" s="249">
        <v>8.77</v>
      </c>
      <c r="R36" s="249">
        <v>32.542400000000001</v>
      </c>
      <c r="S36" s="249">
        <v>8.77</v>
      </c>
      <c r="T36" s="249">
        <v>33.884399999999999</v>
      </c>
      <c r="U36" s="249">
        <v>8.9596</v>
      </c>
    </row>
    <row r="37" spans="1:21" x14ac:dyDescent="0.25">
      <c r="A37" s="43" t="s">
        <v>27</v>
      </c>
      <c r="B37" s="43">
        <v>90</v>
      </c>
      <c r="C37" s="43">
        <v>0.2404</v>
      </c>
      <c r="D37" s="43">
        <v>0.24429999999999999</v>
      </c>
      <c r="E37" s="43">
        <f t="shared" si="0"/>
        <v>3.8999999999999868E-3</v>
      </c>
      <c r="F37" s="44">
        <f t="shared" si="7"/>
        <v>43.333333333333179</v>
      </c>
      <c r="G37" s="43">
        <v>233.25</v>
      </c>
      <c r="H37" s="45">
        <v>0.53337838091197998</v>
      </c>
      <c r="I37" s="46">
        <f t="shared" si="6"/>
        <v>5.9264264545775553</v>
      </c>
      <c r="J37" s="47">
        <v>4.1580000000000004</v>
      </c>
      <c r="K37" s="43">
        <v>6.6299999999999998E-2</v>
      </c>
      <c r="L37" s="43"/>
      <c r="M37" s="43"/>
      <c r="N37" s="48">
        <v>443</v>
      </c>
      <c r="O37" s="13">
        <v>45136.661111111112</v>
      </c>
      <c r="P37" s="249">
        <v>26.4848</v>
      </c>
      <c r="Q37" s="249">
        <v>9.6544000000000008</v>
      </c>
      <c r="R37" s="249">
        <v>26.4848</v>
      </c>
      <c r="S37" s="249">
        <v>9.6544000000000008</v>
      </c>
      <c r="T37" s="249">
        <v>26.9192</v>
      </c>
      <c r="U37" s="249">
        <v>9.9071999999999996</v>
      </c>
    </row>
    <row r="38" spans="1:21" x14ac:dyDescent="0.25">
      <c r="A38" s="43" t="s">
        <v>63</v>
      </c>
      <c r="B38" s="43">
        <v>90</v>
      </c>
      <c r="C38" s="43">
        <v>0.23810000000000001</v>
      </c>
      <c r="D38" s="43">
        <v>0.24640000000000001</v>
      </c>
      <c r="E38" s="43">
        <v>8.3000000000000018E-3</v>
      </c>
      <c r="F38" s="44">
        <f t="shared" si="7"/>
        <v>92.222222222222243</v>
      </c>
      <c r="G38" s="43">
        <v>124.5634</v>
      </c>
      <c r="H38" s="45">
        <v>0.74561143823581988</v>
      </c>
      <c r="I38" s="46">
        <f t="shared" si="6"/>
        <v>8.2845715359535532</v>
      </c>
      <c r="J38" s="47">
        <v>4.5709999999999997</v>
      </c>
      <c r="K38" s="43">
        <v>3.6499999999999998E-2</v>
      </c>
      <c r="L38" s="43"/>
      <c r="M38" s="43"/>
      <c r="N38" s="48">
        <v>444</v>
      </c>
      <c r="O38" s="13">
        <v>45136.671527777777</v>
      </c>
      <c r="P38" s="249">
        <v>20.574000000000002</v>
      </c>
      <c r="Q38" s="249">
        <v>10.4076</v>
      </c>
      <c r="R38" s="249">
        <v>20.574000000000002</v>
      </c>
      <c r="S38" s="249">
        <v>10.4076</v>
      </c>
      <c r="T38" s="249">
        <v>20.897600000000001</v>
      </c>
      <c r="U38" s="249">
        <v>10.7044</v>
      </c>
    </row>
    <row r="39" spans="1:21" x14ac:dyDescent="0.25">
      <c r="A39" s="43" t="s">
        <v>64</v>
      </c>
      <c r="B39" s="43">
        <v>90</v>
      </c>
      <c r="C39" s="43">
        <v>0.24129999999999999</v>
      </c>
      <c r="D39" s="43">
        <v>0.246</v>
      </c>
      <c r="E39" s="43">
        <v>4.7000000000000097E-3</v>
      </c>
      <c r="F39" s="44">
        <f t="shared" si="7"/>
        <v>52.222222222222328</v>
      </c>
      <c r="G39" s="43">
        <v>9.89</v>
      </c>
      <c r="H39" s="45">
        <v>0.93145151485235989</v>
      </c>
      <c r="I39" s="46">
        <f t="shared" si="6"/>
        <v>10.349461276137333</v>
      </c>
      <c r="J39" s="47">
        <v>5.15</v>
      </c>
      <c r="K39" s="43">
        <v>2.12E-2</v>
      </c>
      <c r="L39" s="43"/>
      <c r="M39" s="43"/>
      <c r="N39" s="48">
        <v>445</v>
      </c>
      <c r="O39" s="13">
        <v>45136.681944444441</v>
      </c>
      <c r="P39" s="249">
        <v>17.004000000000001</v>
      </c>
      <c r="Q39" s="249">
        <v>10.905999999999899</v>
      </c>
      <c r="R39" s="249">
        <v>17.004000000000001</v>
      </c>
      <c r="S39" s="249">
        <v>10.905999999999899</v>
      </c>
      <c r="T39" s="249">
        <v>17.011599999999898</v>
      </c>
      <c r="U39" s="249">
        <v>11.237599999999899</v>
      </c>
    </row>
    <row r="40" spans="1:21" x14ac:dyDescent="0.25">
      <c r="A40" s="1" t="s">
        <v>28</v>
      </c>
      <c r="B40" s="1">
        <v>90</v>
      </c>
      <c r="C40" s="1">
        <v>0.23680000000000001</v>
      </c>
      <c r="D40" s="1">
        <v>0.24579999999999999</v>
      </c>
      <c r="E40" s="1">
        <f t="shared" ref="E40:E49" si="8">D40-C40</f>
        <v>8.9999999999999802E-3</v>
      </c>
      <c r="F40" s="12">
        <f t="shared" si="7"/>
        <v>99.999999999999773</v>
      </c>
      <c r="G40" s="1">
        <v>327.45299999999997</v>
      </c>
      <c r="H40" s="24">
        <v>1.2514082631396399</v>
      </c>
      <c r="I40" s="25">
        <f t="shared" si="6"/>
        <v>13.904536257107111</v>
      </c>
      <c r="J40" s="29">
        <v>8.5760000000000005</v>
      </c>
      <c r="K40" s="1">
        <v>1.04E-2</v>
      </c>
      <c r="L40" s="1"/>
      <c r="M40" s="1"/>
      <c r="N40" s="38">
        <v>446</v>
      </c>
      <c r="O40" s="13">
        <v>45136.636111111111</v>
      </c>
      <c r="P40" s="249">
        <v>37.755200000000002</v>
      </c>
      <c r="Q40" s="249">
        <v>7.7267999999999999</v>
      </c>
      <c r="R40" s="249">
        <v>35.4</v>
      </c>
      <c r="S40" s="249">
        <v>7.6048</v>
      </c>
      <c r="T40" s="249">
        <v>37.755200000000002</v>
      </c>
      <c r="U40" s="249">
        <v>7.7267999999999999</v>
      </c>
    </row>
    <row r="41" spans="1:21" x14ac:dyDescent="0.25">
      <c r="A41" s="1" t="s">
        <v>29</v>
      </c>
      <c r="B41" s="1">
        <v>90</v>
      </c>
      <c r="C41" s="1">
        <v>0.23449999999999999</v>
      </c>
      <c r="D41" s="1">
        <v>0.24399999999999999</v>
      </c>
      <c r="E41" s="1">
        <f t="shared" si="8"/>
        <v>9.5000000000000084E-3</v>
      </c>
      <c r="F41" s="12">
        <f t="shared" si="7"/>
        <v>105.55555555555566</v>
      </c>
      <c r="G41" s="1">
        <v>241.809</v>
      </c>
      <c r="H41" s="24">
        <v>1.00317261593764</v>
      </c>
      <c r="I41" s="25">
        <f t="shared" si="6"/>
        <v>11.14636239930711</v>
      </c>
      <c r="J41" s="29">
        <v>4.0309999999999997</v>
      </c>
      <c r="K41" s="1">
        <v>7.0000000000000007E-2</v>
      </c>
      <c r="L41" s="1"/>
      <c r="M41" s="1"/>
      <c r="N41" s="38">
        <v>447</v>
      </c>
      <c r="O41" s="13">
        <v>45136.646527777775</v>
      </c>
      <c r="P41" s="249">
        <v>35.681999999999903</v>
      </c>
      <c r="Q41" s="249">
        <v>8.6044</v>
      </c>
      <c r="R41" s="249">
        <v>33.956800000000001</v>
      </c>
      <c r="S41" s="249">
        <v>8.4388000000000005</v>
      </c>
      <c r="T41" s="249">
        <v>35.681999999999903</v>
      </c>
      <c r="U41" s="249">
        <v>8.6044</v>
      </c>
    </row>
    <row r="42" spans="1:21" x14ac:dyDescent="0.25">
      <c r="A42" s="1" t="s">
        <v>30</v>
      </c>
      <c r="B42" s="1">
        <v>90</v>
      </c>
      <c r="C42" s="1">
        <v>0.23069999999999999</v>
      </c>
      <c r="D42" s="1">
        <v>0.23519999999999999</v>
      </c>
      <c r="E42" s="1">
        <f t="shared" si="8"/>
        <v>4.500000000000004E-3</v>
      </c>
      <c r="F42" s="12">
        <f t="shared" si="7"/>
        <v>50.000000000000043</v>
      </c>
      <c r="G42" s="1">
        <v>158.52500000000001</v>
      </c>
      <c r="H42" s="24">
        <v>0.67066455629003996</v>
      </c>
      <c r="I42" s="25">
        <f t="shared" si="6"/>
        <v>7.4518284032226658</v>
      </c>
      <c r="J42" s="29">
        <v>4.1859999999999999</v>
      </c>
      <c r="K42" s="1">
        <v>7.1599999999999997E-2</v>
      </c>
      <c r="L42" s="1"/>
      <c r="M42" s="1"/>
      <c r="N42" s="38">
        <v>448</v>
      </c>
      <c r="O42" s="13">
        <v>45136.656944444447</v>
      </c>
      <c r="P42" s="249">
        <v>29.9968</v>
      </c>
      <c r="Q42" s="249">
        <v>9.5231999999999992</v>
      </c>
      <c r="R42" s="249">
        <v>29.175999999999998</v>
      </c>
      <c r="S42" s="249">
        <v>9.3040000000000003</v>
      </c>
      <c r="T42" s="249">
        <v>29.9968</v>
      </c>
      <c r="U42" s="249">
        <v>9.5231999999999992</v>
      </c>
    </row>
    <row r="43" spans="1:21" x14ac:dyDescent="0.25">
      <c r="A43" s="1" t="s">
        <v>31</v>
      </c>
      <c r="B43" s="1">
        <v>90</v>
      </c>
      <c r="C43" s="1">
        <v>0.23380000000000001</v>
      </c>
      <c r="D43" s="1">
        <v>0.24</v>
      </c>
      <c r="E43" s="1">
        <f t="shared" si="8"/>
        <v>6.1999999999999833E-3</v>
      </c>
      <c r="F43" s="12">
        <f t="shared" si="7"/>
        <v>68.888888888888701</v>
      </c>
      <c r="G43" s="1">
        <v>132.47200000000001</v>
      </c>
      <c r="H43" s="24">
        <v>0.67506134010429997</v>
      </c>
      <c r="I43" s="25">
        <f t="shared" si="6"/>
        <v>7.5006815567144436</v>
      </c>
      <c r="J43" s="29">
        <v>4.351</v>
      </c>
      <c r="K43" s="1">
        <v>4.7199999999999999E-2</v>
      </c>
      <c r="L43" s="1"/>
      <c r="M43" s="1"/>
      <c r="N43" s="38">
        <v>449</v>
      </c>
      <c r="O43" s="13">
        <v>45136.667361111111</v>
      </c>
      <c r="P43" s="249">
        <v>22.9848</v>
      </c>
      <c r="Q43" s="249">
        <v>10.421200000000001</v>
      </c>
      <c r="R43" s="249">
        <v>22.698799999999999</v>
      </c>
      <c r="S43" s="249">
        <v>10.147600000000001</v>
      </c>
      <c r="T43" s="249">
        <v>22.9848</v>
      </c>
      <c r="U43" s="249">
        <v>10.421200000000001</v>
      </c>
    </row>
    <row r="44" spans="1:21" x14ac:dyDescent="0.25">
      <c r="A44" s="1" t="s">
        <v>32</v>
      </c>
      <c r="B44" s="1">
        <v>90</v>
      </c>
      <c r="C44" s="1">
        <v>0.23300000000000001</v>
      </c>
      <c r="D44" s="1">
        <v>0.23760000000000001</v>
      </c>
      <c r="E44" s="1">
        <f t="shared" si="8"/>
        <v>4.599999999999993E-3</v>
      </c>
      <c r="F44" s="12">
        <f t="shared" si="7"/>
        <v>51.111111111111029</v>
      </c>
      <c r="G44" s="1">
        <v>98.91</v>
      </c>
      <c r="H44" s="24">
        <v>0</v>
      </c>
      <c r="I44" s="25"/>
      <c r="J44" s="29">
        <v>4.3109999999999999</v>
      </c>
      <c r="K44" s="1">
        <v>6.0499999999999998E-2</v>
      </c>
      <c r="L44" s="1"/>
      <c r="M44" s="1"/>
      <c r="N44" s="38">
        <v>450</v>
      </c>
      <c r="O44" s="13">
        <v>45136.677777777775</v>
      </c>
      <c r="P44" s="249">
        <v>18.417999999999999</v>
      </c>
      <c r="Q44" s="249">
        <v>11.054399999999999</v>
      </c>
      <c r="R44" s="249">
        <v>18.052</v>
      </c>
      <c r="S44" s="249">
        <v>10.730799999999901</v>
      </c>
      <c r="T44" s="249">
        <v>18.417999999999999</v>
      </c>
      <c r="U44" s="249">
        <v>11.054399999999999</v>
      </c>
    </row>
    <row r="45" spans="1:21" x14ac:dyDescent="0.25">
      <c r="A45" s="1" t="s">
        <v>33</v>
      </c>
      <c r="B45" s="1">
        <v>95</v>
      </c>
      <c r="C45" s="1">
        <v>0.2319</v>
      </c>
      <c r="D45" s="1">
        <v>0.23619999999999999</v>
      </c>
      <c r="E45" s="1">
        <f t="shared" si="8"/>
        <v>4.2999999999999983E-3</v>
      </c>
      <c r="F45" s="12">
        <f t="shared" si="7"/>
        <v>45.263157894736821</v>
      </c>
      <c r="G45" s="1">
        <v>90.356999999999999</v>
      </c>
      <c r="H45" s="24">
        <v>0.56237380340356002</v>
      </c>
      <c r="I45" s="25">
        <f t="shared" si="6"/>
        <v>5.9197242463532636</v>
      </c>
      <c r="J45" s="29">
        <v>4.4720000000000004</v>
      </c>
      <c r="K45" s="1">
        <v>6.6199999999999995E-2</v>
      </c>
      <c r="L45" s="1"/>
      <c r="M45" s="1"/>
      <c r="N45" s="38">
        <v>451</v>
      </c>
      <c r="O45" s="13">
        <v>45136.688194444447</v>
      </c>
      <c r="P45" s="249">
        <v>15.4439999999999</v>
      </c>
      <c r="Q45" s="249">
        <v>11.464399999999999</v>
      </c>
      <c r="R45" s="249">
        <v>15.383599999999999</v>
      </c>
      <c r="S45" s="249">
        <v>11.129200000000001</v>
      </c>
      <c r="T45" s="249">
        <v>15.4439999999999</v>
      </c>
      <c r="U45" s="249">
        <v>11.464399999999999</v>
      </c>
    </row>
    <row r="46" spans="1:21" x14ac:dyDescent="0.25">
      <c r="A46" s="1" t="s">
        <v>34</v>
      </c>
      <c r="B46" s="1">
        <v>120</v>
      </c>
      <c r="C46" s="1">
        <v>0.2349</v>
      </c>
      <c r="D46" s="1">
        <v>0.23730000000000001</v>
      </c>
      <c r="E46" s="1">
        <f t="shared" si="8"/>
        <v>2.4000000000000132E-3</v>
      </c>
      <c r="F46" s="12">
        <f t="shared" si="7"/>
        <v>20.00000000000011</v>
      </c>
      <c r="G46" s="1">
        <v>84.561999999999998</v>
      </c>
      <c r="H46" s="24">
        <v>0</v>
      </c>
      <c r="I46" s="25"/>
      <c r="J46" s="29">
        <v>4.6630000000000003</v>
      </c>
      <c r="K46" s="1"/>
      <c r="L46" s="1"/>
      <c r="M46" s="1"/>
      <c r="N46" s="38">
        <v>452</v>
      </c>
      <c r="O46" s="13">
        <v>45136.698611111111</v>
      </c>
      <c r="P46" s="249">
        <v>13.4284</v>
      </c>
      <c r="Q46" s="249">
        <v>11.779199999999999</v>
      </c>
      <c r="R46" s="249">
        <v>13.183999999999999</v>
      </c>
      <c r="S46" s="249">
        <v>11.424799999999999</v>
      </c>
      <c r="T46" s="249">
        <v>13.4284</v>
      </c>
      <c r="U46" s="249">
        <v>11.779199999999999</v>
      </c>
    </row>
    <row r="47" spans="1:21" x14ac:dyDescent="0.25">
      <c r="A47" s="1" t="s">
        <v>35</v>
      </c>
      <c r="B47" s="1">
        <v>110</v>
      </c>
      <c r="C47" s="1">
        <v>0.2311</v>
      </c>
      <c r="D47" s="1">
        <v>0.23280000000000001</v>
      </c>
      <c r="E47" s="1">
        <f t="shared" si="8"/>
        <v>1.7000000000000071E-3</v>
      </c>
      <c r="F47" s="12">
        <f t="shared" si="7"/>
        <v>15.454545454545519</v>
      </c>
      <c r="G47" s="1">
        <v>59.01</v>
      </c>
      <c r="H47" s="24">
        <v>0.32430437517212002</v>
      </c>
      <c r="I47" s="25">
        <f t="shared" si="6"/>
        <v>2.9482215924738182</v>
      </c>
      <c r="J47" s="29">
        <v>4.9740000000000002</v>
      </c>
      <c r="K47" s="1">
        <v>1.83E-2</v>
      </c>
      <c r="L47" s="1"/>
      <c r="M47" s="1"/>
      <c r="N47" s="38">
        <v>453</v>
      </c>
      <c r="O47" s="13">
        <v>45136.719444444447</v>
      </c>
      <c r="P47" s="249">
        <v>11.5524</v>
      </c>
      <c r="Q47" s="249">
        <v>12.388</v>
      </c>
      <c r="R47" s="249">
        <v>10.696400000000001</v>
      </c>
      <c r="S47" s="249">
        <v>11.9759999999999</v>
      </c>
      <c r="T47" s="249">
        <v>11.5524</v>
      </c>
      <c r="U47" s="249">
        <v>12.388</v>
      </c>
    </row>
    <row r="48" spans="1:21" x14ac:dyDescent="0.25">
      <c r="A48" s="1" t="s">
        <v>36</v>
      </c>
      <c r="B48" s="1">
        <v>100</v>
      </c>
      <c r="C48" s="1">
        <v>0.22989999999999999</v>
      </c>
      <c r="D48" s="1">
        <v>0.23250000000000001</v>
      </c>
      <c r="E48" s="1">
        <f t="shared" si="8"/>
        <v>2.600000000000019E-3</v>
      </c>
      <c r="F48" s="12">
        <f t="shared" si="7"/>
        <v>26.000000000000188</v>
      </c>
      <c r="G48" s="1">
        <v>42.72</v>
      </c>
      <c r="H48" s="24">
        <v>0</v>
      </c>
      <c r="I48" s="25"/>
      <c r="J48" s="29">
        <v>4.9390000000000001</v>
      </c>
      <c r="K48" s="1">
        <v>1.9300000000000001E-2</v>
      </c>
      <c r="L48" s="1"/>
      <c r="M48" s="1"/>
      <c r="N48" s="38">
        <v>454</v>
      </c>
      <c r="O48" s="13">
        <v>45136.740277777775</v>
      </c>
      <c r="P48" s="249">
        <v>11.089600000000001</v>
      </c>
      <c r="Q48" s="249">
        <v>12.837999999999999</v>
      </c>
      <c r="R48" s="249">
        <v>8.9494666666666607</v>
      </c>
      <c r="S48" s="249">
        <v>12.485066666666601</v>
      </c>
      <c r="T48" s="249">
        <v>11.089600000000001</v>
      </c>
      <c r="U48" s="249">
        <v>12.837999999999999</v>
      </c>
    </row>
    <row r="49" spans="1:21" ht="15.75" thickBot="1" x14ac:dyDescent="0.3">
      <c r="A49" s="102" t="s">
        <v>37</v>
      </c>
      <c r="B49" s="102">
        <v>100</v>
      </c>
      <c r="C49" s="102">
        <v>0.22919999999999999</v>
      </c>
      <c r="D49" s="102">
        <v>0.23130000000000001</v>
      </c>
      <c r="E49" s="102">
        <f t="shared" si="8"/>
        <v>2.1000000000000185E-3</v>
      </c>
      <c r="F49" s="103">
        <f t="shared" si="7"/>
        <v>21.000000000000185</v>
      </c>
      <c r="G49" s="102">
        <v>98.146000000000001</v>
      </c>
      <c r="H49" s="104">
        <v>0.42750517220431999</v>
      </c>
      <c r="I49" s="105">
        <f t="shared" si="6"/>
        <v>4.2750517220431998</v>
      </c>
      <c r="J49" s="106">
        <v>5.2530000000000001</v>
      </c>
      <c r="K49" s="102"/>
      <c r="L49" s="102"/>
      <c r="M49" s="102"/>
      <c r="N49" s="107">
        <v>455</v>
      </c>
      <c r="O49" s="66">
        <v>45136.771527777775</v>
      </c>
      <c r="P49" s="249">
        <v>12.7316</v>
      </c>
      <c r="Q49" s="249">
        <v>13.862399999999999</v>
      </c>
      <c r="R49" s="249">
        <v>9.0177333333333305</v>
      </c>
      <c r="S49" s="249">
        <v>12.996133333333299</v>
      </c>
      <c r="T49" s="249">
        <v>12.7316</v>
      </c>
      <c r="U49" s="249">
        <v>13.862399999999999</v>
      </c>
    </row>
    <row r="50" spans="1:21" x14ac:dyDescent="0.25">
      <c r="A50" s="108" t="s">
        <v>7</v>
      </c>
      <c r="B50" s="108">
        <v>260</v>
      </c>
      <c r="C50" s="108">
        <v>0.2351</v>
      </c>
      <c r="D50" s="108">
        <v>0.25490000000000002</v>
      </c>
      <c r="E50" s="108">
        <f t="shared" ref="E50:E67" si="9">D50-C50</f>
        <v>1.9800000000000012E-2</v>
      </c>
      <c r="F50" s="109">
        <f t="shared" si="7"/>
        <v>76.153846153846203</v>
      </c>
      <c r="G50" s="108">
        <v>210.458</v>
      </c>
      <c r="H50" s="110">
        <v>2.0222215051616801</v>
      </c>
      <c r="I50" s="111">
        <f t="shared" si="6"/>
        <v>7.7777750198526157</v>
      </c>
      <c r="J50" s="112">
        <v>4.4729999999999999</v>
      </c>
      <c r="K50" s="108">
        <v>6.83E-2</v>
      </c>
      <c r="L50" s="108"/>
      <c r="M50" s="108"/>
      <c r="N50" s="113">
        <v>456</v>
      </c>
      <c r="O50" s="76">
        <v>45151.78125</v>
      </c>
      <c r="P50" s="249">
        <v>13.715999999999999</v>
      </c>
      <c r="Q50" s="249">
        <v>7.4420000000000002</v>
      </c>
      <c r="R50" s="249">
        <v>13.715999999999999</v>
      </c>
      <c r="S50" s="249">
        <v>7.4420000000000002</v>
      </c>
      <c r="T50" s="249">
        <v>4.51231775700934</v>
      </c>
      <c r="U50" s="249">
        <v>2.0589408099688402</v>
      </c>
    </row>
    <row r="51" spans="1:21" x14ac:dyDescent="0.25">
      <c r="A51" s="49" t="s">
        <v>8</v>
      </c>
      <c r="B51" s="49">
        <v>250</v>
      </c>
      <c r="C51" s="49">
        <v>0.2339</v>
      </c>
      <c r="D51" s="49">
        <v>0.2442</v>
      </c>
      <c r="E51" s="49">
        <f t="shared" si="9"/>
        <v>1.0300000000000004E-2</v>
      </c>
      <c r="F51" s="50">
        <f t="shared" ref="F51:F67" si="10">E51/B51*1000*1000</f>
        <v>41.200000000000017</v>
      </c>
      <c r="G51" s="49">
        <v>116.066</v>
      </c>
      <c r="H51" s="51">
        <v>1.1336781018156401</v>
      </c>
      <c r="I51" s="52">
        <f t="shared" si="6"/>
        <v>4.5347124072625604</v>
      </c>
      <c r="J51" s="53">
        <v>3.9359999999999999</v>
      </c>
      <c r="K51" s="49">
        <v>9.6100000000000005E-2</v>
      </c>
      <c r="L51" s="49"/>
      <c r="M51" s="49"/>
      <c r="N51" s="54">
        <v>457</v>
      </c>
      <c r="O51" s="13">
        <v>45151.790277777778</v>
      </c>
      <c r="P51" s="249">
        <v>16.154399999999999</v>
      </c>
      <c r="Q51" s="249">
        <v>9.5616000000000003</v>
      </c>
      <c r="R51" s="249">
        <v>16.154399999999999</v>
      </c>
      <c r="S51" s="249">
        <v>9.5616000000000003</v>
      </c>
      <c r="T51" s="249">
        <v>4.5110218068535799</v>
      </c>
      <c r="U51" s="249">
        <v>2.0615273104880498</v>
      </c>
    </row>
    <row r="52" spans="1:21" x14ac:dyDescent="0.25">
      <c r="A52" s="49" t="s">
        <v>9</v>
      </c>
      <c r="B52" s="49">
        <v>250</v>
      </c>
      <c r="C52" s="49">
        <v>0.23799999999999999</v>
      </c>
      <c r="D52" s="49">
        <v>0.24790000000000001</v>
      </c>
      <c r="E52" s="49">
        <f t="shared" si="9"/>
        <v>9.9000000000000199E-3</v>
      </c>
      <c r="F52" s="50">
        <f t="shared" si="10"/>
        <v>39.60000000000008</v>
      </c>
      <c r="G52" s="49">
        <v>113.258</v>
      </c>
      <c r="H52" s="51">
        <v>1.4723180433944001</v>
      </c>
      <c r="I52" s="52">
        <f t="shared" si="6"/>
        <v>5.8892721735776004</v>
      </c>
      <c r="J52" s="53">
        <v>3.9430000000000001</v>
      </c>
      <c r="K52" s="49">
        <v>9.6799999999999997E-2</v>
      </c>
      <c r="L52" s="49"/>
      <c r="M52" s="49"/>
      <c r="N52" s="54">
        <v>458</v>
      </c>
      <c r="O52" s="13">
        <v>45151.793055555558</v>
      </c>
      <c r="P52" s="249">
        <v>14.494399999999899</v>
      </c>
      <c r="Q52" s="249">
        <v>9.6416000000000004</v>
      </c>
      <c r="R52" s="249">
        <v>14.494399999999899</v>
      </c>
      <c r="S52" s="249">
        <v>9.6416000000000004</v>
      </c>
      <c r="T52" s="249">
        <v>4.5106230529594997</v>
      </c>
      <c r="U52" s="249">
        <v>2.0623231568016598</v>
      </c>
    </row>
    <row r="53" spans="1:21" x14ac:dyDescent="0.25">
      <c r="A53" s="49" t="s">
        <v>10</v>
      </c>
      <c r="B53" s="49">
        <v>250</v>
      </c>
      <c r="C53" s="49">
        <v>0.23469999999999999</v>
      </c>
      <c r="D53" s="49">
        <v>0.24160000000000001</v>
      </c>
      <c r="E53" s="49">
        <f t="shared" si="9"/>
        <v>6.9000000000000172E-3</v>
      </c>
      <c r="F53" s="50">
        <f t="shared" si="10"/>
        <v>27.600000000000069</v>
      </c>
      <c r="G53" s="49">
        <v>81.150000000000006</v>
      </c>
      <c r="H53" s="51">
        <v>1.2008849810370801</v>
      </c>
      <c r="I53" s="52">
        <f t="shared" si="6"/>
        <v>4.8035399241483203</v>
      </c>
      <c r="J53" s="53">
        <v>4.0389999999999997</v>
      </c>
      <c r="K53" s="49">
        <v>9.06E-2</v>
      </c>
      <c r="L53" s="49"/>
      <c r="M53" s="49"/>
      <c r="N53" s="54">
        <v>459</v>
      </c>
      <c r="O53" s="13">
        <v>45151.798611111109</v>
      </c>
      <c r="P53" s="249">
        <v>11.944000000000001</v>
      </c>
      <c r="Q53" s="249">
        <v>9.69</v>
      </c>
      <c r="R53" s="249">
        <v>11.944000000000001</v>
      </c>
      <c r="S53" s="249">
        <v>9.69</v>
      </c>
      <c r="T53" s="249">
        <v>4.5098255451713296</v>
      </c>
      <c r="U53" s="249">
        <v>2.0639148494288602</v>
      </c>
    </row>
    <row r="54" spans="1:21" x14ac:dyDescent="0.25">
      <c r="A54" s="49" t="s">
        <v>11</v>
      </c>
      <c r="B54" s="49">
        <v>240</v>
      </c>
      <c r="C54" s="49">
        <v>0.2374</v>
      </c>
      <c r="D54" s="49">
        <v>0.2424</v>
      </c>
      <c r="E54" s="49">
        <f t="shared" si="9"/>
        <v>5.0000000000000044E-3</v>
      </c>
      <c r="F54" s="50">
        <f t="shared" si="10"/>
        <v>20.833333333333353</v>
      </c>
      <c r="G54" s="49">
        <v>56.15</v>
      </c>
      <c r="H54" s="51">
        <v>0.70097364508676874</v>
      </c>
      <c r="I54" s="52">
        <f t="shared" si="6"/>
        <v>2.9207235211948697</v>
      </c>
      <c r="J54" s="53">
        <v>2.786</v>
      </c>
      <c r="K54" s="49">
        <v>3.9199999999999999E-2</v>
      </c>
      <c r="L54" s="49"/>
      <c r="M54" s="49"/>
      <c r="N54" s="54">
        <v>460</v>
      </c>
      <c r="O54" s="13">
        <v>45151.876388888886</v>
      </c>
      <c r="P54" s="249">
        <v>7.8642666666666603</v>
      </c>
      <c r="Q54" s="249">
        <v>7.7591999999999999</v>
      </c>
      <c r="R54" s="249">
        <v>7.8642666666666603</v>
      </c>
      <c r="S54" s="249">
        <v>7.7591999999999999</v>
      </c>
      <c r="T54" s="249">
        <v>4.4986604361370697</v>
      </c>
      <c r="U54" s="249">
        <v>2.0861985462097601</v>
      </c>
    </row>
    <row r="55" spans="1:21" x14ac:dyDescent="0.25">
      <c r="A55" s="2" t="s">
        <v>12</v>
      </c>
      <c r="B55" s="2">
        <v>250</v>
      </c>
      <c r="C55" s="2">
        <v>0.2374</v>
      </c>
      <c r="D55" s="2">
        <v>0.2482</v>
      </c>
      <c r="E55" s="2">
        <f t="shared" si="9"/>
        <v>1.0800000000000004E-2</v>
      </c>
      <c r="F55" s="14">
        <f t="shared" si="10"/>
        <v>43.200000000000017</v>
      </c>
      <c r="G55" s="2">
        <v>183.80799999999999</v>
      </c>
      <c r="H55" s="30">
        <v>1.3888700852562501</v>
      </c>
      <c r="I55" s="31">
        <f t="shared" si="6"/>
        <v>5.5554803410250004</v>
      </c>
      <c r="J55" s="32">
        <v>9.9</v>
      </c>
      <c r="K55" s="2">
        <v>7.1000000000000004E-3</v>
      </c>
      <c r="L55" s="2"/>
      <c r="M55" s="2"/>
      <c r="N55" s="39">
        <v>461</v>
      </c>
      <c r="O55" s="13">
        <v>45151.791666666664</v>
      </c>
      <c r="P55" s="249">
        <v>4.5108224299065398</v>
      </c>
      <c r="Q55" s="249">
        <v>2.0619252336448599</v>
      </c>
      <c r="R55" s="249">
        <v>15.231999999999999</v>
      </c>
      <c r="S55" s="249">
        <v>9.6280000000000001</v>
      </c>
      <c r="T55" s="249">
        <v>4.5108224299065398</v>
      </c>
      <c r="U55" s="249">
        <v>2.0619252336448599</v>
      </c>
    </row>
    <row r="56" spans="1:21" x14ac:dyDescent="0.25">
      <c r="A56" s="2" t="s">
        <v>13</v>
      </c>
      <c r="B56" s="2">
        <v>260</v>
      </c>
      <c r="C56" s="2">
        <v>0.2281</v>
      </c>
      <c r="D56" s="2">
        <v>0.23569999999999999</v>
      </c>
      <c r="E56" s="2">
        <f t="shared" si="9"/>
        <v>7.5999999999999956E-3</v>
      </c>
      <c r="F56" s="14">
        <f t="shared" si="10"/>
        <v>29.230769230769212</v>
      </c>
      <c r="G56" s="2">
        <v>83.528000000000006</v>
      </c>
      <c r="H56" s="30">
        <v>1.3211677463677476</v>
      </c>
      <c r="I56" s="31">
        <f t="shared" si="6"/>
        <v>5.0814144091067215</v>
      </c>
      <c r="J56" s="32">
        <v>3.379</v>
      </c>
      <c r="K56" s="2">
        <v>8.2199999999999995E-2</v>
      </c>
      <c r="L56" s="2"/>
      <c r="M56" s="2"/>
      <c r="N56" s="39">
        <v>462</v>
      </c>
      <c r="O56" s="13">
        <v>45151.802083333336</v>
      </c>
      <c r="P56" s="249">
        <v>4.5093271028037298</v>
      </c>
      <c r="Q56" s="249">
        <v>2.0649096573208698</v>
      </c>
      <c r="R56" s="249">
        <v>10.95</v>
      </c>
      <c r="S56" s="249">
        <v>9.6379999999999999</v>
      </c>
      <c r="T56" s="249">
        <v>4.5093271028037298</v>
      </c>
      <c r="U56" s="249">
        <v>2.0649096573208698</v>
      </c>
    </row>
    <row r="57" spans="1:21" x14ac:dyDescent="0.25">
      <c r="A57" s="2" t="s">
        <v>14</v>
      </c>
      <c r="B57" s="2">
        <v>260</v>
      </c>
      <c r="C57" s="2">
        <v>0.2384</v>
      </c>
      <c r="D57" s="2">
        <v>0.24490000000000001</v>
      </c>
      <c r="E57" s="2">
        <f t="shared" si="9"/>
        <v>6.5000000000000058E-3</v>
      </c>
      <c r="F57" s="14">
        <f t="shared" si="10"/>
        <v>25.000000000000021</v>
      </c>
      <c r="G57" s="2">
        <v>72.105000000000004</v>
      </c>
      <c r="H57" s="30">
        <v>1.243345664936105</v>
      </c>
      <c r="I57" s="31">
        <f t="shared" si="6"/>
        <v>4.7820987112927114</v>
      </c>
      <c r="J57" s="32">
        <v>3.1909999999999998</v>
      </c>
      <c r="K57" s="2">
        <v>5.8000000000000003E-2</v>
      </c>
      <c r="L57" s="2"/>
      <c r="M57" s="2"/>
      <c r="N57" s="39">
        <v>463</v>
      </c>
      <c r="O57" s="13">
        <v>45151.8125</v>
      </c>
      <c r="P57" s="249">
        <v>4.5078317757009296</v>
      </c>
      <c r="Q57" s="249">
        <v>2.0678940809968802</v>
      </c>
      <c r="R57" s="249">
        <v>9.2100000000000009</v>
      </c>
      <c r="S57" s="249">
        <v>9.1639999999999908</v>
      </c>
      <c r="T57" s="249">
        <v>4.5078317757009296</v>
      </c>
      <c r="U57" s="249">
        <v>2.0678940809968802</v>
      </c>
    </row>
    <row r="58" spans="1:21" x14ac:dyDescent="0.25">
      <c r="A58" s="2" t="s">
        <v>15</v>
      </c>
      <c r="B58" s="2">
        <v>240</v>
      </c>
      <c r="C58" s="2">
        <v>0.23130000000000001</v>
      </c>
      <c r="D58" s="2">
        <v>0.23699999999999999</v>
      </c>
      <c r="E58" s="2">
        <f t="shared" si="9"/>
        <v>5.6999999999999829E-3</v>
      </c>
      <c r="F58" s="14">
        <f t="shared" si="10"/>
        <v>23.749999999999932</v>
      </c>
      <c r="G58" s="2">
        <v>67.606999999999999</v>
      </c>
      <c r="H58" s="30">
        <v>0.96877795638711239</v>
      </c>
      <c r="I58" s="31">
        <f t="shared" si="6"/>
        <v>4.036574818279635</v>
      </c>
      <c r="J58" s="32">
        <v>3.1280000000000001</v>
      </c>
      <c r="K58" s="2">
        <v>5.79E-2</v>
      </c>
      <c r="L58" s="2"/>
      <c r="M58" s="2"/>
      <c r="N58" s="39">
        <v>464</v>
      </c>
      <c r="O58" s="13">
        <v>45151.822916666664</v>
      </c>
      <c r="P58" s="249">
        <v>4.5063364485981303</v>
      </c>
      <c r="Q58" s="249">
        <v>2.0708785046728901</v>
      </c>
      <c r="R58" s="249">
        <v>7.968</v>
      </c>
      <c r="S58" s="249">
        <v>8.5879999999999992</v>
      </c>
      <c r="T58" s="249">
        <v>4.5063364485981303</v>
      </c>
      <c r="U58" s="249">
        <v>2.0708785046728901</v>
      </c>
    </row>
    <row r="59" spans="1:21" x14ac:dyDescent="0.25">
      <c r="A59" s="2" t="s">
        <v>16</v>
      </c>
      <c r="B59" s="2">
        <v>90</v>
      </c>
      <c r="C59" s="2">
        <v>0.23319999999999999</v>
      </c>
      <c r="D59" s="2">
        <v>0.23519999999999999</v>
      </c>
      <c r="E59" s="2">
        <f t="shared" si="9"/>
        <v>2.0000000000000018E-3</v>
      </c>
      <c r="F59" s="14">
        <f t="shared" si="10"/>
        <v>22.222222222222243</v>
      </c>
      <c r="G59" s="2">
        <v>70.3</v>
      </c>
      <c r="H59" s="30"/>
      <c r="I59" s="31"/>
      <c r="J59" s="32">
        <v>3.3319999999999999</v>
      </c>
      <c r="K59" s="2">
        <v>5.8299999999999998E-2</v>
      </c>
      <c r="L59" s="2"/>
      <c r="M59" s="2"/>
      <c r="N59" s="39">
        <v>465</v>
      </c>
      <c r="O59" s="13">
        <v>45151.833333333336</v>
      </c>
      <c r="P59" s="249">
        <v>4.5048411214953203</v>
      </c>
      <c r="Q59" s="249">
        <v>2.0738629283489098</v>
      </c>
      <c r="R59" s="249">
        <v>7.5539999999999896</v>
      </c>
      <c r="S59" s="249">
        <v>8.4359999999999893</v>
      </c>
      <c r="T59" s="249">
        <v>4.5048411214953203</v>
      </c>
      <c r="U59" s="249">
        <v>2.0738629283489098</v>
      </c>
    </row>
    <row r="60" spans="1:21" x14ac:dyDescent="0.25">
      <c r="A60" s="2" t="s">
        <v>17</v>
      </c>
      <c r="B60" s="2">
        <v>90</v>
      </c>
      <c r="C60" s="2">
        <v>0.2298</v>
      </c>
      <c r="D60" s="2">
        <v>0.23180000000000001</v>
      </c>
      <c r="E60" s="2">
        <f t="shared" si="9"/>
        <v>2.0000000000000018E-3</v>
      </c>
      <c r="F60" s="14">
        <f t="shared" si="10"/>
        <v>22.222222222222243</v>
      </c>
      <c r="G60" s="2">
        <v>67.88</v>
      </c>
      <c r="H60" s="30">
        <v>0.46451618132306999</v>
      </c>
      <c r="I60" s="31">
        <f t="shared" si="6"/>
        <v>5.1612909035896664</v>
      </c>
      <c r="J60" s="32">
        <v>3.1309999999999998</v>
      </c>
      <c r="K60" s="2">
        <v>4.6899999999999997E-2</v>
      </c>
      <c r="L60" s="2"/>
      <c r="M60" s="2"/>
      <c r="N60" s="39">
        <v>466</v>
      </c>
      <c r="O60" s="13">
        <v>45151.84375</v>
      </c>
      <c r="P60" s="249">
        <v>4.5033457943925201</v>
      </c>
      <c r="Q60" s="249">
        <v>2.0768473520249202</v>
      </c>
      <c r="R60" s="249">
        <v>7.2919999999999998</v>
      </c>
      <c r="S60" s="249">
        <v>8.2419999999999902</v>
      </c>
      <c r="T60" s="249">
        <v>4.5033457943925201</v>
      </c>
      <c r="U60" s="249">
        <v>2.0768473520249202</v>
      </c>
    </row>
    <row r="61" spans="1:21" x14ac:dyDescent="0.25">
      <c r="A61" s="2" t="s">
        <v>18</v>
      </c>
      <c r="B61" s="2">
        <v>105</v>
      </c>
      <c r="C61" s="2">
        <v>0.2283</v>
      </c>
      <c r="D61" s="2">
        <v>0.2306</v>
      </c>
      <c r="E61" s="2">
        <f t="shared" si="9"/>
        <v>2.2999999999999965E-3</v>
      </c>
      <c r="F61" s="14">
        <f t="shared" si="10"/>
        <v>21.90476190476187</v>
      </c>
      <c r="G61" s="2">
        <v>84.66</v>
      </c>
      <c r="H61" s="30"/>
      <c r="I61" s="31"/>
      <c r="J61" s="32">
        <v>3.286</v>
      </c>
      <c r="K61" s="2">
        <v>1.77E-2</v>
      </c>
      <c r="L61" s="2"/>
      <c r="M61" s="2"/>
      <c r="N61" s="39">
        <v>467</v>
      </c>
      <c r="O61" s="13">
        <v>45151.854166666664</v>
      </c>
      <c r="P61" s="249">
        <v>4.5018504672897199</v>
      </c>
      <c r="Q61" s="249">
        <v>2.0798317757009301</v>
      </c>
      <c r="R61" s="249">
        <v>7.2699999999999898</v>
      </c>
      <c r="S61" s="249">
        <v>8.01</v>
      </c>
      <c r="T61" s="249">
        <v>4.5018504672897199</v>
      </c>
      <c r="U61" s="249">
        <v>2.0798317757009301</v>
      </c>
    </row>
    <row r="62" spans="1:21" x14ac:dyDescent="0.25">
      <c r="A62" s="2" t="s">
        <v>19</v>
      </c>
      <c r="B62" s="2">
        <v>100</v>
      </c>
      <c r="C62" s="2">
        <v>0.22900000000000001</v>
      </c>
      <c r="D62" s="2">
        <v>0.23080000000000001</v>
      </c>
      <c r="E62" s="2">
        <f t="shared" si="9"/>
        <v>1.799999999999996E-3</v>
      </c>
      <c r="F62" s="14">
        <f t="shared" si="10"/>
        <v>17.999999999999961</v>
      </c>
      <c r="G62" s="2">
        <v>67.569999999999993</v>
      </c>
      <c r="H62" s="30">
        <v>0.51244036630343248</v>
      </c>
      <c r="I62" s="31">
        <f t="shared" si="6"/>
        <v>5.1244036630343253</v>
      </c>
      <c r="J62" s="32">
        <v>2.9169999999999998</v>
      </c>
      <c r="K62" s="2">
        <v>3.1800000000000002E-2</v>
      </c>
      <c r="L62" s="2"/>
      <c r="M62" s="2"/>
      <c r="N62" s="39">
        <v>468</v>
      </c>
      <c r="O62" s="13">
        <v>45151.864583333336</v>
      </c>
      <c r="P62" s="249">
        <v>4.50035514018691</v>
      </c>
      <c r="Q62" s="249">
        <v>2.0828161993769401</v>
      </c>
      <c r="R62" s="249">
        <v>7.6459999999999901</v>
      </c>
      <c r="S62" s="249">
        <v>7.8559999999999999</v>
      </c>
      <c r="T62" s="249">
        <v>4.50035514018691</v>
      </c>
      <c r="U62" s="249">
        <v>2.0828161993769401</v>
      </c>
    </row>
    <row r="63" spans="1:21" x14ac:dyDescent="0.25">
      <c r="A63" s="2" t="s">
        <v>20</v>
      </c>
      <c r="B63" s="2">
        <v>200</v>
      </c>
      <c r="C63" s="2">
        <v>0.23630000000000001</v>
      </c>
      <c r="D63" s="2">
        <v>0.2404</v>
      </c>
      <c r="E63" s="2">
        <f t="shared" si="9"/>
        <v>4.0999999999999925E-3</v>
      </c>
      <c r="F63" s="14">
        <f t="shared" si="10"/>
        <v>20.499999999999964</v>
      </c>
      <c r="G63" s="2">
        <v>54.936</v>
      </c>
      <c r="H63" s="30"/>
      <c r="I63" s="31"/>
      <c r="J63" s="32">
        <v>2.548</v>
      </c>
      <c r="K63" s="2">
        <v>4.8099999999999997E-2</v>
      </c>
      <c r="L63" s="2"/>
      <c r="M63" s="2"/>
      <c r="N63" s="39">
        <v>469</v>
      </c>
      <c r="O63" s="13">
        <v>45151.875</v>
      </c>
      <c r="P63" s="249">
        <v>4.4988598130841098</v>
      </c>
      <c r="Q63" s="249">
        <v>2.0858006230529602</v>
      </c>
      <c r="R63" s="249">
        <v>7.8399999999999901</v>
      </c>
      <c r="S63" s="249">
        <v>7.7720000000000002</v>
      </c>
      <c r="T63" s="249">
        <v>4.4988598130841098</v>
      </c>
      <c r="U63" s="249">
        <v>2.0858006230529602</v>
      </c>
    </row>
    <row r="64" spans="1:21" x14ac:dyDescent="0.25">
      <c r="A64" s="2" t="s">
        <v>21</v>
      </c>
      <c r="B64" s="2">
        <v>215</v>
      </c>
      <c r="C64" s="2">
        <v>0.2341</v>
      </c>
      <c r="D64" s="2">
        <v>0.23680000000000001</v>
      </c>
      <c r="E64" s="2">
        <f t="shared" si="9"/>
        <v>2.7000000000000079E-3</v>
      </c>
      <c r="F64" s="14">
        <f t="shared" si="10"/>
        <v>12.558139534883757</v>
      </c>
      <c r="G64" s="2">
        <v>75.337999999999994</v>
      </c>
      <c r="H64" s="30"/>
      <c r="I64" s="31"/>
      <c r="J64" s="32">
        <v>2.5049999999999999</v>
      </c>
      <c r="K64" s="2">
        <v>1.8800000000000001E-2</v>
      </c>
      <c r="L64" s="2"/>
      <c r="M64" s="2"/>
      <c r="N64" s="39">
        <v>470</v>
      </c>
      <c r="O64" s="13">
        <v>45151.885416666664</v>
      </c>
      <c r="P64" s="249">
        <v>4.4973644859812998</v>
      </c>
      <c r="Q64" s="249">
        <v>2.0887850467289701</v>
      </c>
      <c r="R64" s="249">
        <v>8.0220000000000002</v>
      </c>
      <c r="S64" s="249">
        <v>7.6760000000000002</v>
      </c>
      <c r="T64" s="249">
        <v>4.4973644859812998</v>
      </c>
      <c r="U64" s="249">
        <v>2.0887850467289701</v>
      </c>
    </row>
    <row r="65" spans="1:21" x14ac:dyDescent="0.25">
      <c r="A65" s="2" t="s">
        <v>22</v>
      </c>
      <c r="B65" s="2">
        <v>250</v>
      </c>
      <c r="C65" s="2">
        <v>0.22919999999999999</v>
      </c>
      <c r="D65" s="2">
        <v>0.23369999999999999</v>
      </c>
      <c r="E65" s="2">
        <f t="shared" si="9"/>
        <v>4.500000000000004E-3</v>
      </c>
      <c r="F65" s="14">
        <f t="shared" si="10"/>
        <v>18.000000000000014</v>
      </c>
      <c r="G65" s="2">
        <v>59.165999999999997</v>
      </c>
      <c r="H65" s="30"/>
      <c r="I65" s="31"/>
      <c r="J65" s="32">
        <v>2.508</v>
      </c>
      <c r="K65" s="2">
        <v>6.4299999999999996E-2</v>
      </c>
      <c r="L65" s="2"/>
      <c r="M65" s="2"/>
      <c r="N65" s="39">
        <v>471</v>
      </c>
      <c r="O65" s="13">
        <v>45151.895833333336</v>
      </c>
      <c r="P65" s="249">
        <v>4.4958691588784996</v>
      </c>
      <c r="Q65" s="249">
        <v>2.0917694704049801</v>
      </c>
      <c r="R65" s="249">
        <v>7.8779999999999903</v>
      </c>
      <c r="S65" s="249">
        <v>7.63</v>
      </c>
      <c r="T65" s="249">
        <v>4.4958691588784996</v>
      </c>
      <c r="U65" s="249">
        <v>2.0917694704049801</v>
      </c>
    </row>
    <row r="66" spans="1:21" x14ac:dyDescent="0.25">
      <c r="A66" s="2" t="s">
        <v>23</v>
      </c>
      <c r="B66" s="2">
        <v>250</v>
      </c>
      <c r="C66" s="2">
        <v>0.23760000000000001</v>
      </c>
      <c r="D66" s="2">
        <v>0.24260000000000001</v>
      </c>
      <c r="E66" s="2">
        <f t="shared" si="9"/>
        <v>5.0000000000000044E-3</v>
      </c>
      <c r="F66" s="14">
        <f t="shared" si="10"/>
        <v>20.000000000000018</v>
      </c>
      <c r="G66" s="2">
        <v>50.774000000000001</v>
      </c>
      <c r="H66" s="30">
        <v>0.81061645169894003</v>
      </c>
      <c r="I66" s="31">
        <f t="shared" si="6"/>
        <v>3.2424658067957601</v>
      </c>
      <c r="J66" s="32">
        <v>2.4820000000000002</v>
      </c>
      <c r="K66" s="2">
        <v>3.4000000000000002E-2</v>
      </c>
      <c r="L66" s="2"/>
      <c r="M66" s="2"/>
      <c r="N66" s="39">
        <v>472</v>
      </c>
      <c r="O66" s="13">
        <v>45151.90625</v>
      </c>
      <c r="P66" s="249">
        <v>4.4943738317757003</v>
      </c>
      <c r="Q66" s="249">
        <v>2.09475389408099</v>
      </c>
      <c r="R66" s="249">
        <v>7.3079999999999998</v>
      </c>
      <c r="S66" s="249">
        <v>7.62</v>
      </c>
      <c r="T66" s="249">
        <v>4.4943738317757003</v>
      </c>
      <c r="U66" s="249">
        <v>2.09475389408099</v>
      </c>
    </row>
    <row r="67" spans="1:21" ht="15.75" thickBot="1" x14ac:dyDescent="0.3">
      <c r="A67" s="114" t="s">
        <v>65</v>
      </c>
      <c r="B67" s="114">
        <v>120</v>
      </c>
      <c r="C67" s="114">
        <v>0.2329</v>
      </c>
      <c r="D67" s="114">
        <v>0.2349</v>
      </c>
      <c r="E67" s="114">
        <f t="shared" si="9"/>
        <v>2.0000000000000018E-3</v>
      </c>
      <c r="F67" s="115">
        <f t="shared" si="10"/>
        <v>16.666666666666682</v>
      </c>
      <c r="G67" s="115"/>
      <c r="H67" s="116"/>
      <c r="I67" s="117"/>
      <c r="J67" s="118">
        <v>3.1379999999999999</v>
      </c>
      <c r="K67" s="114"/>
      <c r="L67" s="114"/>
      <c r="M67" s="114"/>
      <c r="N67" s="119">
        <v>473</v>
      </c>
      <c r="O67" s="66">
        <v>45151.916666666664</v>
      </c>
      <c r="P67" s="249">
        <v>4.4928785046728903</v>
      </c>
      <c r="Q67" s="249">
        <v>2.0977383177570101</v>
      </c>
      <c r="R67" s="249">
        <v>6.6479999999999899</v>
      </c>
      <c r="S67" s="249">
        <v>7.56</v>
      </c>
      <c r="T67" s="249">
        <v>4.4928785046728903</v>
      </c>
      <c r="U67" s="249">
        <v>2.0977383177570101</v>
      </c>
    </row>
    <row r="68" spans="1:21" x14ac:dyDescent="0.25">
      <c r="A68" s="124" t="s">
        <v>38</v>
      </c>
      <c r="B68" s="124">
        <v>190</v>
      </c>
      <c r="C68" s="124">
        <v>0.23569999999999999</v>
      </c>
      <c r="D68" s="124">
        <v>0.2505</v>
      </c>
      <c r="E68" s="124">
        <f t="shared" ref="E68:E75" si="11">D68-C68</f>
        <v>1.4800000000000008E-2</v>
      </c>
      <c r="F68" s="125">
        <f t="shared" ref="F68:F75" si="12">E68/B68*1000*1000</f>
        <v>77.894736842105289</v>
      </c>
      <c r="G68" s="124">
        <v>232.05199999999999</v>
      </c>
      <c r="H68" s="126">
        <v>2.4072173760262299</v>
      </c>
      <c r="I68" s="127">
        <f t="shared" si="6"/>
        <v>12.669565136980157</v>
      </c>
      <c r="J68" s="128">
        <v>3.1040000000000001</v>
      </c>
      <c r="K68" s="124">
        <v>5.8700000000000002E-2</v>
      </c>
      <c r="L68" s="124"/>
      <c r="M68" s="124"/>
      <c r="N68" s="129">
        <v>476</v>
      </c>
      <c r="O68" s="76">
        <v>45166.513888888891</v>
      </c>
      <c r="P68" s="249">
        <v>24.83</v>
      </c>
      <c r="Q68" s="249">
        <v>6.556</v>
      </c>
      <c r="R68" s="249">
        <v>24.83</v>
      </c>
      <c r="S68" s="249">
        <v>6.556</v>
      </c>
      <c r="T68" s="249">
        <v>2.37361839564683</v>
      </c>
      <c r="U68" s="249">
        <v>6.8488730911005797</v>
      </c>
    </row>
    <row r="69" spans="1:21" x14ac:dyDescent="0.25">
      <c r="A69" s="8" t="s">
        <v>39</v>
      </c>
      <c r="B69" s="8">
        <v>200</v>
      </c>
      <c r="C69" s="8">
        <v>0.23250000000000001</v>
      </c>
      <c r="D69" s="8">
        <v>0.24110000000000001</v>
      </c>
      <c r="E69" s="8">
        <f t="shared" si="11"/>
        <v>8.5999999999999965E-3</v>
      </c>
      <c r="F69" s="15">
        <f t="shared" si="12"/>
        <v>42.999999999999986</v>
      </c>
      <c r="G69" s="8">
        <v>143.89599999999999</v>
      </c>
      <c r="H69" s="33">
        <v>1.25426288924901</v>
      </c>
      <c r="I69" s="34">
        <f t="shared" si="6"/>
        <v>6.2713144462450501</v>
      </c>
      <c r="J69" s="35">
        <v>3.3050000000000002</v>
      </c>
      <c r="K69" s="8">
        <v>0.12139999999999999</v>
      </c>
      <c r="L69" s="8"/>
      <c r="M69" s="8"/>
      <c r="N69" s="40">
        <v>477</v>
      </c>
      <c r="O69" s="13">
        <v>45166.524305555555</v>
      </c>
      <c r="P69" s="249">
        <v>24.844000000000001</v>
      </c>
      <c r="Q69" s="249">
        <v>8.5739999999999998</v>
      </c>
      <c r="R69" s="249">
        <v>24.844000000000001</v>
      </c>
      <c r="S69" s="249">
        <v>8.5739999999999998</v>
      </c>
      <c r="T69" s="249">
        <v>2.3735762682113299</v>
      </c>
      <c r="U69" s="249">
        <v>6.8489805160610802</v>
      </c>
    </row>
    <row r="70" spans="1:21" x14ac:dyDescent="0.25">
      <c r="A70" s="8" t="s">
        <v>40</v>
      </c>
      <c r="B70" s="8">
        <v>200</v>
      </c>
      <c r="C70" s="8">
        <v>0.2399</v>
      </c>
      <c r="D70" s="8">
        <v>0.24709999999999999</v>
      </c>
      <c r="E70" s="8">
        <f t="shared" si="11"/>
        <v>7.1999999999999842E-3</v>
      </c>
      <c r="F70" s="15">
        <f t="shared" si="12"/>
        <v>35.999999999999922</v>
      </c>
      <c r="G70" s="8">
        <v>104.006</v>
      </c>
      <c r="H70" s="33">
        <v>1.13454858480537</v>
      </c>
      <c r="I70" s="34">
        <f t="shared" si="6"/>
        <v>5.6727429240268501</v>
      </c>
      <c r="J70" s="35">
        <v>3.3359999999999999</v>
      </c>
      <c r="K70" s="8">
        <v>2.3699999999999999E-2</v>
      </c>
      <c r="L70" s="8"/>
      <c r="M70" s="8"/>
      <c r="N70" s="40">
        <v>478</v>
      </c>
      <c r="O70" s="13">
        <v>45166.534722222219</v>
      </c>
      <c r="P70" s="249">
        <v>16.478000000000002</v>
      </c>
      <c r="Q70" s="249">
        <v>9.4719999999999995</v>
      </c>
      <c r="R70" s="249">
        <v>16.478000000000002</v>
      </c>
      <c r="S70" s="249">
        <v>9.4719999999999995</v>
      </c>
      <c r="T70" s="249">
        <v>2.3735341407758401</v>
      </c>
      <c r="U70" s="249">
        <v>6.8490879410215904</v>
      </c>
    </row>
    <row r="71" spans="1:21" x14ac:dyDescent="0.25">
      <c r="A71" s="8" t="s">
        <v>41</v>
      </c>
      <c r="B71" s="8">
        <v>215</v>
      </c>
      <c r="C71" s="8">
        <v>0.2288</v>
      </c>
      <c r="D71" s="8">
        <v>0.23499999999999999</v>
      </c>
      <c r="E71" s="8">
        <f t="shared" si="11"/>
        <v>6.1999999999999833E-3</v>
      </c>
      <c r="F71" s="15">
        <f t="shared" si="12"/>
        <v>28.837209302325505</v>
      </c>
      <c r="G71" s="8">
        <v>88.144000000000005</v>
      </c>
      <c r="H71" s="33">
        <v>0.99956471075489506</v>
      </c>
      <c r="I71" s="34">
        <f t="shared" si="6"/>
        <v>4.6491381895576511</v>
      </c>
      <c r="J71" s="35">
        <v>3.1989999999999998</v>
      </c>
      <c r="K71" s="8">
        <v>9.7699999999999995E-2</v>
      </c>
      <c r="L71" s="8"/>
      <c r="M71" s="8"/>
      <c r="N71" s="40">
        <v>479</v>
      </c>
      <c r="O71" s="13">
        <v>45166.545138888891</v>
      </c>
      <c r="P71" s="249">
        <v>13.218</v>
      </c>
      <c r="Q71" s="249">
        <v>9.4939999999999998</v>
      </c>
      <c r="R71" s="249">
        <v>13.218</v>
      </c>
      <c r="S71" s="249">
        <v>9.4939999999999998</v>
      </c>
      <c r="T71" s="249">
        <v>2.3734920133403499</v>
      </c>
      <c r="U71" s="249">
        <v>6.8491953659820899</v>
      </c>
    </row>
    <row r="72" spans="1:21" x14ac:dyDescent="0.25">
      <c r="A72" s="8" t="s">
        <v>42</v>
      </c>
      <c r="B72" s="8">
        <v>220</v>
      </c>
      <c r="C72" s="8">
        <v>0.23330000000000001</v>
      </c>
      <c r="D72" s="8">
        <v>0.23980000000000001</v>
      </c>
      <c r="E72" s="8">
        <f t="shared" si="11"/>
        <v>6.5000000000000058E-3</v>
      </c>
      <c r="F72" s="15">
        <f t="shared" si="12"/>
        <v>29.545454545454572</v>
      </c>
      <c r="G72" s="8">
        <v>92.256</v>
      </c>
      <c r="H72" s="33">
        <v>1.1932436975735501</v>
      </c>
      <c r="I72" s="34">
        <f t="shared" si="6"/>
        <v>5.4238349889706816</v>
      </c>
      <c r="J72" s="35">
        <v>3.226</v>
      </c>
      <c r="K72" s="8">
        <v>0.17730000000000001</v>
      </c>
      <c r="L72" s="8"/>
      <c r="M72" s="8"/>
      <c r="N72" s="40">
        <v>480</v>
      </c>
      <c r="O72" s="13">
        <v>45166.555555555555</v>
      </c>
      <c r="P72" s="249">
        <v>11.843999999999999</v>
      </c>
      <c r="Q72" s="249">
        <v>9.2100000000000009</v>
      </c>
      <c r="R72" s="249">
        <v>11.843999999999999</v>
      </c>
      <c r="S72" s="249">
        <v>9.2100000000000009</v>
      </c>
      <c r="T72" s="249">
        <v>2.3734498859048601</v>
      </c>
      <c r="U72" s="249">
        <v>6.8493027909426001</v>
      </c>
    </row>
    <row r="73" spans="1:21" x14ac:dyDescent="0.25">
      <c r="A73" s="8" t="s">
        <v>43</v>
      </c>
      <c r="B73" s="8">
        <v>190</v>
      </c>
      <c r="C73" s="8">
        <v>0.2316</v>
      </c>
      <c r="D73" s="8">
        <v>0.23669999999999999</v>
      </c>
      <c r="E73" s="8">
        <f t="shared" si="11"/>
        <v>5.0999999999999934E-3</v>
      </c>
      <c r="F73" s="15">
        <f t="shared" si="12"/>
        <v>26.842105263157862</v>
      </c>
      <c r="G73" s="8">
        <v>82.494</v>
      </c>
      <c r="H73" s="33">
        <v>0.85419170023644253</v>
      </c>
      <c r="I73" s="34">
        <f t="shared" si="6"/>
        <v>4.495745790718118</v>
      </c>
      <c r="J73" s="35">
        <v>3.206</v>
      </c>
      <c r="K73" s="8"/>
      <c r="L73" s="8"/>
      <c r="M73" s="8"/>
      <c r="N73" s="40">
        <v>481</v>
      </c>
      <c r="O73" s="13">
        <v>45166.586805555555</v>
      </c>
      <c r="P73" s="249">
        <v>11.214</v>
      </c>
      <c r="Q73" s="249">
        <v>8.93</v>
      </c>
      <c r="R73" s="249">
        <v>11.214</v>
      </c>
      <c r="S73" s="249">
        <v>8.93</v>
      </c>
      <c r="T73" s="249">
        <v>2.37332350359838</v>
      </c>
      <c r="U73" s="249">
        <v>6.8496250658241102</v>
      </c>
    </row>
    <row r="74" spans="1:21" x14ac:dyDescent="0.25">
      <c r="A74" s="8" t="s">
        <v>44</v>
      </c>
      <c r="B74" s="8">
        <v>200</v>
      </c>
      <c r="C74" s="8">
        <v>0.22189999999999999</v>
      </c>
      <c r="D74" s="8">
        <v>0.22670000000000001</v>
      </c>
      <c r="E74" s="8">
        <f t="shared" si="11"/>
        <v>4.8000000000000265E-3</v>
      </c>
      <c r="F74" s="15">
        <f t="shared" si="12"/>
        <v>24.000000000000131</v>
      </c>
      <c r="G74" s="8">
        <v>69.394999999999996</v>
      </c>
      <c r="H74" s="33">
        <v>0</v>
      </c>
      <c r="I74" s="34"/>
      <c r="J74" s="35">
        <v>3.262</v>
      </c>
      <c r="K74" s="8">
        <v>6.9000000000000006E-2</v>
      </c>
      <c r="L74" s="8"/>
      <c r="M74" s="8"/>
      <c r="N74" s="40">
        <v>482</v>
      </c>
      <c r="O74" s="13">
        <v>45166.607638888891</v>
      </c>
      <c r="P74" s="249">
        <v>11.263999999999999</v>
      </c>
      <c r="Q74" s="249">
        <v>8.7859999999999996</v>
      </c>
      <c r="R74" s="249">
        <v>11.263999999999999</v>
      </c>
      <c r="S74" s="249">
        <v>8.7859999999999996</v>
      </c>
      <c r="T74" s="249">
        <v>2.3732392487273999</v>
      </c>
      <c r="U74" s="249">
        <v>6.8498399157451297</v>
      </c>
    </row>
    <row r="75" spans="1:21" ht="15.75" thickBot="1" x14ac:dyDescent="0.3">
      <c r="A75" s="130" t="s">
        <v>66</v>
      </c>
      <c r="B75" s="130">
        <v>140</v>
      </c>
      <c r="C75" s="130">
        <v>0.2235</v>
      </c>
      <c r="D75" s="130">
        <v>0.2268</v>
      </c>
      <c r="E75" s="130">
        <f t="shared" si="11"/>
        <v>3.2999999999999974E-3</v>
      </c>
      <c r="F75" s="131">
        <f t="shared" si="12"/>
        <v>23.571428571428555</v>
      </c>
      <c r="G75" s="130">
        <v>0</v>
      </c>
      <c r="H75" s="132">
        <v>0</v>
      </c>
      <c r="I75" s="133"/>
      <c r="J75" s="134">
        <v>4.2779999999999996</v>
      </c>
      <c r="K75" s="130"/>
      <c r="L75" s="130"/>
      <c r="M75" s="130"/>
      <c r="N75" s="135">
        <v>483</v>
      </c>
      <c r="O75" s="66">
        <v>45166.638888888891</v>
      </c>
      <c r="P75" s="249">
        <v>8.8166666666666593</v>
      </c>
      <c r="Q75" s="249">
        <v>9.3473333333333297</v>
      </c>
      <c r="R75" s="249">
        <v>8.8166666666666593</v>
      </c>
      <c r="S75" s="249">
        <v>9.3473333333333297</v>
      </c>
      <c r="T75" s="249">
        <v>2.3731128664209198</v>
      </c>
      <c r="U75" s="249">
        <v>6.8501621906266399</v>
      </c>
    </row>
    <row r="76" spans="1:21" x14ac:dyDescent="0.25">
      <c r="A76" s="136" t="s">
        <v>45</v>
      </c>
      <c r="B76" s="136">
        <v>250</v>
      </c>
      <c r="C76" s="136">
        <v>0.23899999999999999</v>
      </c>
      <c r="D76" s="136">
        <v>0.24840000000000001</v>
      </c>
      <c r="E76" s="136">
        <f t="shared" ref="E76:E87" si="13">D76-C76</f>
        <v>9.4000000000000195E-3</v>
      </c>
      <c r="F76" s="137">
        <f t="shared" ref="F76:F87" si="14">E76/B76*1000*1000</f>
        <v>37.60000000000008</v>
      </c>
      <c r="G76" s="84">
        <v>63.87</v>
      </c>
      <c r="H76" s="86">
        <v>1.3348544727944125</v>
      </c>
      <c r="I76" s="87">
        <f t="shared" si="6"/>
        <v>5.33941789117765</v>
      </c>
      <c r="J76" s="138">
        <v>5.4009999999999998</v>
      </c>
      <c r="K76" s="136"/>
      <c r="L76" s="136"/>
      <c r="M76" s="136"/>
      <c r="N76" s="139">
        <v>484</v>
      </c>
      <c r="O76" s="76">
        <v>45183.744444444441</v>
      </c>
      <c r="P76" s="249">
        <v>13.0708</v>
      </c>
      <c r="Q76" s="249">
        <v>8.1267999999999994</v>
      </c>
      <c r="R76" s="249">
        <v>1.97369195402298</v>
      </c>
      <c r="S76" s="249">
        <v>5.5644417329796596</v>
      </c>
      <c r="T76" s="249">
        <v>13.0708</v>
      </c>
      <c r="U76" s="249">
        <v>8.1267999999999994</v>
      </c>
    </row>
    <row r="77" spans="1:21" x14ac:dyDescent="0.25">
      <c r="A77" s="9" t="s">
        <v>46</v>
      </c>
      <c r="B77" s="9">
        <v>260</v>
      </c>
      <c r="C77" s="9">
        <v>0.2356</v>
      </c>
      <c r="D77" s="9">
        <v>0.24379999999999999</v>
      </c>
      <c r="E77" s="9">
        <f t="shared" si="13"/>
        <v>8.1999999999999851E-3</v>
      </c>
      <c r="F77" s="16">
        <f t="shared" si="14"/>
        <v>31.53846153846148</v>
      </c>
      <c r="G77" s="6">
        <v>75.400000000000006</v>
      </c>
      <c r="H77" s="17">
        <v>1.1993748002938676</v>
      </c>
      <c r="I77" s="22">
        <f t="shared" si="6"/>
        <v>4.6129800011302597</v>
      </c>
      <c r="J77" s="36">
        <v>4.8639999999999999</v>
      </c>
      <c r="K77" s="9"/>
      <c r="L77" s="9"/>
      <c r="M77" s="9"/>
      <c r="N77" s="41">
        <v>485</v>
      </c>
      <c r="O77" s="13">
        <v>45183.754861111112</v>
      </c>
      <c r="P77" s="249">
        <v>13.643599999999999</v>
      </c>
      <c r="Q77" s="249">
        <v>7.7088000000000001</v>
      </c>
      <c r="R77" s="249">
        <v>1.97258850574712</v>
      </c>
      <c r="S77" s="249">
        <v>5.5649563218390803</v>
      </c>
      <c r="T77" s="249">
        <v>13.643599999999999</v>
      </c>
      <c r="U77" s="249">
        <v>7.7088000000000001</v>
      </c>
    </row>
    <row r="78" spans="1:21" x14ac:dyDescent="0.25">
      <c r="A78" s="9" t="s">
        <v>47</v>
      </c>
      <c r="B78" s="9">
        <v>260</v>
      </c>
      <c r="C78" s="9">
        <v>0.23300000000000001</v>
      </c>
      <c r="D78" s="9">
        <v>0.24030000000000001</v>
      </c>
      <c r="E78" s="9">
        <f t="shared" si="13"/>
        <v>7.3000000000000009E-3</v>
      </c>
      <c r="F78" s="16">
        <f t="shared" si="14"/>
        <v>28.076923076923084</v>
      </c>
      <c r="G78" s="6">
        <v>70.75</v>
      </c>
      <c r="H78" s="17">
        <v>1.1397797508432075</v>
      </c>
      <c r="I78" s="22">
        <f t="shared" ref="I78:I87" si="15">H78/B78*1000</f>
        <v>4.3837682724738745</v>
      </c>
      <c r="J78" s="36">
        <v>4.6319999999999997</v>
      </c>
      <c r="K78" s="9"/>
      <c r="L78" s="9"/>
      <c r="M78" s="9"/>
      <c r="N78" s="41">
        <v>486</v>
      </c>
      <c r="O78" s="13">
        <v>45183.765277777777</v>
      </c>
      <c r="P78" s="249">
        <v>12.4716</v>
      </c>
      <c r="Q78" s="249">
        <v>7.7016</v>
      </c>
      <c r="R78" s="249">
        <v>1.9714850574712599</v>
      </c>
      <c r="S78" s="249">
        <v>5.5654709106984903</v>
      </c>
      <c r="T78" s="249">
        <v>12.4716</v>
      </c>
      <c r="U78" s="249">
        <v>7.7016</v>
      </c>
    </row>
    <row r="79" spans="1:21" x14ac:dyDescent="0.25">
      <c r="A79" s="9" t="s">
        <v>48</v>
      </c>
      <c r="B79" s="9">
        <v>250</v>
      </c>
      <c r="C79" s="9">
        <v>0.2351</v>
      </c>
      <c r="D79" s="9">
        <v>0.24099999999999999</v>
      </c>
      <c r="E79" s="9">
        <f t="shared" si="13"/>
        <v>5.8999999999999886E-3</v>
      </c>
      <c r="F79" s="16">
        <f t="shared" si="14"/>
        <v>23.599999999999955</v>
      </c>
      <c r="G79" s="6">
        <v>82.6</v>
      </c>
      <c r="H79" s="17">
        <v>1.0275484426400625</v>
      </c>
      <c r="I79" s="22">
        <f t="shared" si="15"/>
        <v>4.11019377056025</v>
      </c>
      <c r="J79" s="36">
        <v>4.1559999999999997</v>
      </c>
      <c r="K79" s="9"/>
      <c r="L79" s="9"/>
      <c r="M79" s="9"/>
      <c r="N79" s="41">
        <v>487</v>
      </c>
      <c r="O79" s="13">
        <v>45183.775694444441</v>
      </c>
      <c r="P79" s="249">
        <v>11.198399999999999</v>
      </c>
      <c r="Q79" s="249">
        <v>8.0440000000000005</v>
      </c>
      <c r="R79" s="249">
        <v>1.9703816091954001</v>
      </c>
      <c r="S79" s="249">
        <v>5.5659854995579101</v>
      </c>
      <c r="T79" s="249">
        <v>11.198399999999999</v>
      </c>
      <c r="U79" s="249">
        <v>8.0440000000000005</v>
      </c>
    </row>
    <row r="80" spans="1:21" x14ac:dyDescent="0.25">
      <c r="A80" s="9" t="s">
        <v>49</v>
      </c>
      <c r="B80" s="9">
        <v>255</v>
      </c>
      <c r="C80" s="9">
        <v>0.23710000000000001</v>
      </c>
      <c r="D80" s="9">
        <v>0.24249999999999999</v>
      </c>
      <c r="E80" s="9">
        <f t="shared" si="13"/>
        <v>5.3999999999999881E-3</v>
      </c>
      <c r="F80" s="16">
        <f t="shared" si="14"/>
        <v>21.176470588235247</v>
      </c>
      <c r="G80" s="6">
        <v>54.12</v>
      </c>
      <c r="H80" s="17">
        <v>0</v>
      </c>
      <c r="I80" s="22"/>
      <c r="J80" s="36">
        <v>3.2890000000000001</v>
      </c>
      <c r="K80" s="9"/>
      <c r="L80" s="9"/>
      <c r="M80" s="9"/>
      <c r="N80" s="41">
        <v>488</v>
      </c>
      <c r="O80" s="13">
        <v>45183.786111111112</v>
      </c>
      <c r="P80" s="249">
        <v>9.9955999999999996</v>
      </c>
      <c r="Q80" s="249">
        <v>8.6972000000000005</v>
      </c>
      <c r="R80" s="249">
        <v>1.96927816091954</v>
      </c>
      <c r="S80" s="249">
        <v>5.5665000884173299</v>
      </c>
      <c r="T80" s="249">
        <v>9.9955999999999996</v>
      </c>
      <c r="U80" s="249">
        <v>8.6972000000000005</v>
      </c>
    </row>
    <row r="81" spans="1:21" ht="15.75" thickBot="1" x14ac:dyDescent="0.3">
      <c r="A81" s="140" t="s">
        <v>50</v>
      </c>
      <c r="B81" s="140">
        <v>255</v>
      </c>
      <c r="C81" s="140">
        <v>0.23580000000000001</v>
      </c>
      <c r="D81" s="140">
        <v>0.2417</v>
      </c>
      <c r="E81" s="140">
        <f t="shared" si="13"/>
        <v>5.8999999999999886E-3</v>
      </c>
      <c r="F81" s="141">
        <f t="shared" si="14"/>
        <v>23.137254901960741</v>
      </c>
      <c r="G81" s="141"/>
      <c r="H81" s="92">
        <v>0.95984970198324493</v>
      </c>
      <c r="I81" s="93">
        <f t="shared" si="15"/>
        <v>3.7641164783656667</v>
      </c>
      <c r="J81" s="142">
        <v>8.7289999999999992</v>
      </c>
      <c r="K81" s="140"/>
      <c r="L81" s="140"/>
      <c r="M81" s="140"/>
      <c r="N81" s="143">
        <v>489</v>
      </c>
      <c r="O81" s="66">
        <v>45183.79791666667</v>
      </c>
      <c r="P81" s="249">
        <v>8.8631999999999902</v>
      </c>
      <c r="Q81" s="249">
        <v>9.6288</v>
      </c>
      <c r="R81" s="249">
        <v>1.9680275862068899</v>
      </c>
      <c r="S81" s="249">
        <v>5.5670832891246604</v>
      </c>
      <c r="T81" s="249">
        <v>8.8631999999999902</v>
      </c>
      <c r="U81" s="249">
        <v>9.6288</v>
      </c>
    </row>
    <row r="82" spans="1:21" x14ac:dyDescent="0.25">
      <c r="A82" s="120" t="s">
        <v>51</v>
      </c>
      <c r="B82" s="120">
        <v>260</v>
      </c>
      <c r="C82" s="120">
        <v>0.23469999999999999</v>
      </c>
      <c r="D82" s="120">
        <v>0.2427</v>
      </c>
      <c r="E82" s="120">
        <f t="shared" si="13"/>
        <v>8.0000000000000071E-3</v>
      </c>
      <c r="F82" s="121">
        <f t="shared" si="14"/>
        <v>30.769230769230795</v>
      </c>
      <c r="G82" s="67">
        <v>95.962999999999994</v>
      </c>
      <c r="H82" s="68">
        <v>1.3355551810699124</v>
      </c>
      <c r="I82" s="69">
        <f t="shared" si="15"/>
        <v>5.1367506964227401</v>
      </c>
      <c r="J82" s="122">
        <v>8.7050000000000001</v>
      </c>
      <c r="K82" s="120"/>
      <c r="L82" s="120"/>
      <c r="M82" s="120"/>
      <c r="N82" s="123">
        <v>490</v>
      </c>
      <c r="O82" s="60">
        <v>45183.739583333336</v>
      </c>
      <c r="P82" s="249">
        <v>11.986000000000001</v>
      </c>
      <c r="Q82" s="249">
        <v>8.1620000000000008</v>
      </c>
      <c r="R82" s="249">
        <v>1.9742068965517201</v>
      </c>
      <c r="S82" s="249">
        <v>5.5642015915119298</v>
      </c>
      <c r="T82" s="249">
        <v>11.986000000000001</v>
      </c>
      <c r="U82" s="249">
        <v>8.1620000000000008</v>
      </c>
    </row>
    <row r="83" spans="1:21" x14ac:dyDescent="0.25">
      <c r="A83" s="9" t="s">
        <v>52</v>
      </c>
      <c r="B83" s="9">
        <v>265</v>
      </c>
      <c r="C83" s="9">
        <v>0.24060000000000001</v>
      </c>
      <c r="D83" s="9">
        <v>0.24859999999999999</v>
      </c>
      <c r="E83" s="9">
        <f t="shared" si="13"/>
        <v>7.9999999999999793E-3</v>
      </c>
      <c r="F83" s="16">
        <f t="shared" si="14"/>
        <v>30.188679245282938</v>
      </c>
      <c r="G83" s="6">
        <v>80.180000000000007</v>
      </c>
      <c r="H83" s="17">
        <v>1.1113195373306999</v>
      </c>
      <c r="I83" s="22">
        <f t="shared" si="15"/>
        <v>4.1936586314366027</v>
      </c>
      <c r="J83" s="36">
        <v>3.1509999999999998</v>
      </c>
      <c r="K83" s="9"/>
      <c r="L83" s="9"/>
      <c r="M83" s="9"/>
      <c r="N83" s="41">
        <v>491</v>
      </c>
      <c r="O83" s="13">
        <v>45183.75</v>
      </c>
      <c r="P83" s="249">
        <v>13.777999999999899</v>
      </c>
      <c r="Q83" s="249">
        <v>7.8979999999999997</v>
      </c>
      <c r="R83" s="249">
        <v>1.97310344827586</v>
      </c>
      <c r="S83" s="249">
        <v>5.5647161803713496</v>
      </c>
      <c r="T83" s="249">
        <v>13.777999999999899</v>
      </c>
      <c r="U83" s="249">
        <v>7.8979999999999997</v>
      </c>
    </row>
    <row r="84" spans="1:21" x14ac:dyDescent="0.25">
      <c r="A84" s="9" t="s">
        <v>53</v>
      </c>
      <c r="B84" s="9">
        <v>240</v>
      </c>
      <c r="C84" s="9">
        <v>0.2384</v>
      </c>
      <c r="D84" s="9">
        <v>0.24540000000000001</v>
      </c>
      <c r="E84" s="9">
        <f t="shared" si="13"/>
        <v>7.0000000000000062E-3</v>
      </c>
      <c r="F84" s="16">
        <f t="shared" si="14"/>
        <v>29.166666666666696</v>
      </c>
      <c r="G84" s="6">
        <v>70.510000000000005</v>
      </c>
      <c r="H84" s="17">
        <v>1.0044204297234951</v>
      </c>
      <c r="I84" s="22">
        <f t="shared" si="15"/>
        <v>4.1850851238478963</v>
      </c>
      <c r="J84" s="36">
        <v>2.3119999999999998</v>
      </c>
      <c r="K84" s="9"/>
      <c r="L84" s="9"/>
      <c r="M84" s="9"/>
      <c r="N84" s="41">
        <v>492</v>
      </c>
      <c r="O84" s="13">
        <v>45183.760416666664</v>
      </c>
      <c r="P84" s="249">
        <v>13.098000000000001</v>
      </c>
      <c r="Q84" s="249">
        <v>7.6559999999999997</v>
      </c>
      <c r="R84" s="249">
        <v>1.972</v>
      </c>
      <c r="S84" s="249">
        <v>5.5652307692307597</v>
      </c>
      <c r="T84" s="249">
        <v>13.098000000000001</v>
      </c>
      <c r="U84" s="249">
        <v>7.6559999999999997</v>
      </c>
    </row>
    <row r="85" spans="1:21" x14ac:dyDescent="0.25">
      <c r="A85" s="9" t="s">
        <v>54</v>
      </c>
      <c r="B85" s="9">
        <v>240</v>
      </c>
      <c r="C85" s="9">
        <v>0.23369999999999999</v>
      </c>
      <c r="D85" s="9">
        <v>0.23860000000000001</v>
      </c>
      <c r="E85" s="9">
        <f t="shared" si="13"/>
        <v>4.9000000000000155E-3</v>
      </c>
      <c r="F85" s="16">
        <f>E85/B85*1000*1000</f>
        <v>20.416666666666732</v>
      </c>
      <c r="G85" s="6">
        <v>64.436999999999998</v>
      </c>
      <c r="H85" s="17">
        <v>0.71189129550605745</v>
      </c>
      <c r="I85" s="22">
        <f t="shared" si="15"/>
        <v>2.9662137312752392</v>
      </c>
      <c r="J85" s="36">
        <v>0.74299999999999999</v>
      </c>
      <c r="K85" s="9"/>
      <c r="L85" s="9"/>
      <c r="M85" s="9"/>
      <c r="N85" s="41">
        <v>493</v>
      </c>
      <c r="O85" s="13">
        <v>45183.78125</v>
      </c>
      <c r="P85" s="249">
        <v>10.52</v>
      </c>
      <c r="Q85" s="249">
        <v>8.2680000000000007</v>
      </c>
      <c r="R85" s="249">
        <v>1.9697931034482701</v>
      </c>
      <c r="S85" s="249">
        <v>5.5662599469496001</v>
      </c>
      <c r="T85" s="249">
        <v>10.52</v>
      </c>
      <c r="U85" s="249">
        <v>8.2680000000000007</v>
      </c>
    </row>
    <row r="86" spans="1:21" x14ac:dyDescent="0.25">
      <c r="A86" s="9" t="s">
        <v>55</v>
      </c>
      <c r="B86" s="9">
        <v>250</v>
      </c>
      <c r="C86" s="9">
        <v>0.2354</v>
      </c>
      <c r="D86" s="9">
        <v>0.2399</v>
      </c>
      <c r="E86" s="9">
        <f t="shared" si="13"/>
        <v>4.500000000000004E-3</v>
      </c>
      <c r="F86" s="16">
        <f t="shared" si="14"/>
        <v>18.000000000000014</v>
      </c>
      <c r="G86" s="6">
        <v>46.07</v>
      </c>
      <c r="H86" s="17">
        <v>0</v>
      </c>
      <c r="I86" s="22"/>
      <c r="J86" s="36"/>
      <c r="K86" s="9"/>
      <c r="L86" s="9"/>
      <c r="M86" s="9"/>
      <c r="N86" s="41">
        <v>494</v>
      </c>
      <c r="O86" s="13">
        <v>45183.802083333336</v>
      </c>
      <c r="P86" s="249">
        <v>8.5039999999999996</v>
      </c>
      <c r="Q86" s="249">
        <v>9.8059999999999992</v>
      </c>
      <c r="R86" s="249">
        <v>1.9675862068965499</v>
      </c>
      <c r="S86" s="249">
        <v>5.56728912466843</v>
      </c>
      <c r="T86" s="249">
        <v>8.5039999999999996</v>
      </c>
      <c r="U86" s="249">
        <v>9.8059999999999992</v>
      </c>
    </row>
    <row r="87" spans="1:21" x14ac:dyDescent="0.25">
      <c r="A87" s="9" t="s">
        <v>68</v>
      </c>
      <c r="B87" s="9">
        <v>100</v>
      </c>
      <c r="C87" s="9">
        <v>0.23680000000000001</v>
      </c>
      <c r="D87" s="9">
        <v>0.2387</v>
      </c>
      <c r="E87" s="9">
        <f t="shared" si="13"/>
        <v>1.899999999999985E-3</v>
      </c>
      <c r="F87" s="16">
        <f t="shared" si="14"/>
        <v>18.999999999999851</v>
      </c>
      <c r="G87" s="6">
        <v>39.299999999999997</v>
      </c>
      <c r="H87" s="17">
        <v>0.47449365167919122</v>
      </c>
      <c r="I87" s="22">
        <f t="shared" si="15"/>
        <v>4.7449365167919124</v>
      </c>
      <c r="J87" s="36">
        <v>0</v>
      </c>
      <c r="K87" s="9"/>
      <c r="L87" s="9"/>
      <c r="M87" s="9"/>
      <c r="N87" s="41">
        <v>495</v>
      </c>
      <c r="O87" s="13">
        <v>45183.833333333336</v>
      </c>
      <c r="P87" s="249">
        <v>6.4839999999999902</v>
      </c>
      <c r="Q87" s="249">
        <v>11.23</v>
      </c>
      <c r="R87" s="249">
        <v>1.96427586206896</v>
      </c>
      <c r="S87" s="249">
        <v>5.5688328912466796</v>
      </c>
      <c r="T87" s="249">
        <v>6.4839999999999902</v>
      </c>
      <c r="U87" s="249">
        <v>11.23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6A85-9129-45FB-97F4-6550137620EC}">
  <dimension ref="A1:X38"/>
  <sheetViews>
    <sheetView zoomScale="70" zoomScaleNormal="70" workbookViewId="0">
      <selection activeCell="F2" sqref="F2"/>
    </sheetView>
  </sheetViews>
  <sheetFormatPr defaultRowHeight="15" x14ac:dyDescent="0.25"/>
  <cols>
    <col min="1" max="1" width="16.5703125" customWidth="1"/>
    <col min="2" max="2" width="20" customWidth="1"/>
    <col min="3" max="3" width="14.85546875" customWidth="1"/>
    <col min="4" max="4" width="14.42578125" customWidth="1"/>
    <col min="5" max="5" width="18.42578125" customWidth="1"/>
    <col min="6" max="6" width="19" customWidth="1"/>
    <col min="7" max="7" width="18.7109375" customWidth="1"/>
    <col min="8" max="8" width="12" customWidth="1"/>
    <col min="9" max="9" width="13.140625" customWidth="1"/>
    <col min="10" max="10" width="13" customWidth="1"/>
    <col min="11" max="11" width="11.42578125" customWidth="1"/>
    <col min="12" max="12" width="10.28515625" customWidth="1"/>
    <col min="13" max="13" width="12" customWidth="1"/>
    <col min="14" max="14" width="16" customWidth="1"/>
    <col min="15" max="15" width="14.85546875" customWidth="1"/>
    <col min="16" max="16" width="16.5703125" customWidth="1"/>
  </cols>
  <sheetData>
    <row r="1" spans="1:24" ht="45" x14ac:dyDescent="0.25">
      <c r="A1" s="144" t="s">
        <v>120</v>
      </c>
      <c r="B1" s="145" t="s">
        <v>0</v>
      </c>
      <c r="C1" s="146" t="s">
        <v>2</v>
      </c>
      <c r="D1" s="146" t="s">
        <v>3</v>
      </c>
      <c r="E1" s="146" t="s">
        <v>71</v>
      </c>
      <c r="F1" s="146" t="s">
        <v>4</v>
      </c>
      <c r="G1" s="146" t="s">
        <v>97</v>
      </c>
      <c r="H1" s="146" t="s">
        <v>72</v>
      </c>
      <c r="I1" s="146" t="s">
        <v>70</v>
      </c>
      <c r="J1" s="146" t="s">
        <v>69</v>
      </c>
      <c r="K1" s="145" t="s">
        <v>117</v>
      </c>
      <c r="L1" s="146" t="s">
        <v>118</v>
      </c>
      <c r="M1" s="146" t="s">
        <v>119</v>
      </c>
      <c r="N1" s="226" t="s">
        <v>61</v>
      </c>
      <c r="O1" s="146" t="s">
        <v>67</v>
      </c>
      <c r="P1" s="227" t="s">
        <v>171</v>
      </c>
    </row>
    <row r="2" spans="1:24" x14ac:dyDescent="0.25">
      <c r="A2" s="2" t="s">
        <v>129</v>
      </c>
      <c r="B2" s="2">
        <v>287.25</v>
      </c>
      <c r="C2" s="2">
        <v>0.2442</v>
      </c>
      <c r="D2" s="2">
        <v>0.24560000000000001</v>
      </c>
      <c r="E2" s="2">
        <f t="shared" ref="E2:E38" si="0">D2-C2</f>
        <v>1.4000000000000123E-3</v>
      </c>
      <c r="F2" s="147">
        <f>('Grab Samples'!E2*1000)/('Grab Samples'!B2/1000)</f>
        <v>4.8738033072237155</v>
      </c>
      <c r="G2" s="2">
        <v>0</v>
      </c>
      <c r="H2" s="148">
        <v>1.046437323968445</v>
      </c>
      <c r="I2" s="149">
        <f>H2/('Grab Samples'!B2/1000)</f>
        <v>3.6429497788283549</v>
      </c>
      <c r="J2" s="2"/>
      <c r="K2" s="2"/>
      <c r="L2" s="150">
        <v>0.03</v>
      </c>
      <c r="M2" s="150">
        <v>3.6999999999999998E-2</v>
      </c>
      <c r="N2" s="2" t="s">
        <v>121</v>
      </c>
      <c r="O2" s="228">
        <v>44394</v>
      </c>
      <c r="P2" s="222" t="s">
        <v>166</v>
      </c>
    </row>
    <row r="3" spans="1:24" x14ac:dyDescent="0.25">
      <c r="A3" s="2" t="s">
        <v>130</v>
      </c>
      <c r="B3" s="2">
        <v>159.59</v>
      </c>
      <c r="C3" s="2">
        <v>0.2402</v>
      </c>
      <c r="D3" s="2">
        <v>0.24030000000000001</v>
      </c>
      <c r="E3" s="2">
        <f t="shared" si="0"/>
        <v>1.0000000000001674E-4</v>
      </c>
      <c r="F3" s="147">
        <f>('Grab Samples'!E3*1000)/('Grab Samples'!B3/1000)</f>
        <v>0.62660567704753889</v>
      </c>
      <c r="G3" s="2">
        <v>0</v>
      </c>
      <c r="H3" s="148">
        <v>0.39719240842078224</v>
      </c>
      <c r="I3" s="149">
        <f>H3/('Grab Samples'!B3/1000)</f>
        <v>2.4888301799660519</v>
      </c>
      <c r="J3" s="2"/>
      <c r="K3" s="2"/>
      <c r="L3" s="150">
        <v>2.8000000000000001E-2</v>
      </c>
      <c r="M3" s="150">
        <v>3.6999999999999998E-2</v>
      </c>
      <c r="N3" s="2" t="s">
        <v>122</v>
      </c>
      <c r="O3" s="151">
        <v>44394</v>
      </c>
      <c r="P3" s="221" t="s">
        <v>169</v>
      </c>
    </row>
    <row r="4" spans="1:24" x14ac:dyDescent="0.25">
      <c r="A4" s="2" t="s">
        <v>131</v>
      </c>
      <c r="B4" s="2">
        <v>134.51</v>
      </c>
      <c r="C4" s="2">
        <v>0.2412</v>
      </c>
      <c r="D4" s="2">
        <v>0.24179999999999999</v>
      </c>
      <c r="E4" s="2">
        <f t="shared" si="0"/>
        <v>5.9999999999998943E-4</v>
      </c>
      <c r="F4" s="147">
        <f>('Grab Samples'!E4*1000)/('Grab Samples'!B4/1000)</f>
        <v>4.4606348970335992</v>
      </c>
      <c r="G4" s="2">
        <v>0</v>
      </c>
      <c r="H4" s="148">
        <v>0.33234237884337697</v>
      </c>
      <c r="I4" s="149">
        <f>H4/('Grab Samples'!B4/1000)</f>
        <v>2.4707633547199239</v>
      </c>
      <c r="J4" s="2"/>
      <c r="K4" s="2"/>
      <c r="L4" s="150">
        <v>2.1999999999999999E-2</v>
      </c>
      <c r="M4" s="150">
        <v>2.5999999999999999E-2</v>
      </c>
      <c r="N4" s="2" t="s">
        <v>123</v>
      </c>
      <c r="O4" s="151">
        <v>44396</v>
      </c>
      <c r="P4" s="219" t="s">
        <v>167</v>
      </c>
    </row>
    <row r="5" spans="1:24" x14ac:dyDescent="0.25">
      <c r="A5" s="2" t="s">
        <v>132</v>
      </c>
      <c r="B5" s="2">
        <v>117.22999999999999</v>
      </c>
      <c r="C5" s="2">
        <v>0.2407</v>
      </c>
      <c r="D5" s="2">
        <v>0.24160000000000001</v>
      </c>
      <c r="E5" s="2">
        <f t="shared" si="0"/>
        <v>9.000000000000119E-4</v>
      </c>
      <c r="F5" s="147">
        <f>('Grab Samples'!E5*1000)/('Grab Samples'!B5/1000)</f>
        <v>7.6772157297621089</v>
      </c>
      <c r="G5" s="2">
        <v>0</v>
      </c>
      <c r="H5" s="148">
        <v>0.33481118985762565</v>
      </c>
      <c r="I5" s="149">
        <f>H5/('Grab Samples'!B5/1000)</f>
        <v>2.8560197036392192</v>
      </c>
      <c r="J5" s="2"/>
      <c r="K5" s="2"/>
      <c r="L5" s="150">
        <v>2.5000000000000001E-2</v>
      </c>
      <c r="M5" s="150">
        <v>2.5000000000000001E-2</v>
      </c>
      <c r="N5" s="2" t="s">
        <v>124</v>
      </c>
      <c r="O5" s="151">
        <v>44396</v>
      </c>
      <c r="P5" s="201" t="s">
        <v>170</v>
      </c>
    </row>
    <row r="6" spans="1:24" x14ac:dyDescent="0.25">
      <c r="A6" s="2" t="s">
        <v>133</v>
      </c>
      <c r="B6" s="2">
        <v>333.45</v>
      </c>
      <c r="C6" s="2">
        <v>0.24099999999999999</v>
      </c>
      <c r="D6" s="2">
        <v>0.24249999999999999</v>
      </c>
      <c r="E6" s="2">
        <f t="shared" si="0"/>
        <v>1.5000000000000013E-3</v>
      </c>
      <c r="F6" s="147">
        <f>('Grab Samples'!E6*1000)/('Grab Samples'!B6/1000)</f>
        <v>4.4984255510571343</v>
      </c>
      <c r="G6" s="2">
        <v>0</v>
      </c>
      <c r="H6" s="148">
        <v>0.49779418859739377</v>
      </c>
      <c r="I6" s="149">
        <f>H6/('Grab Samples'!B6/1000)</f>
        <v>1.4928600647695121</v>
      </c>
      <c r="J6" s="2"/>
      <c r="K6" s="2"/>
      <c r="L6" s="150">
        <v>2.4E-2</v>
      </c>
      <c r="M6" s="150">
        <v>2.1999999999999999E-2</v>
      </c>
      <c r="N6" s="2" t="s">
        <v>125</v>
      </c>
      <c r="O6" s="151">
        <v>44413</v>
      </c>
      <c r="P6" s="225" t="s">
        <v>168</v>
      </c>
    </row>
    <row r="7" spans="1:24" x14ac:dyDescent="0.25">
      <c r="A7" s="2" t="s">
        <v>135</v>
      </c>
      <c r="B7" s="2">
        <v>318</v>
      </c>
      <c r="C7" s="2">
        <v>0.24160000000000001</v>
      </c>
      <c r="D7" s="2">
        <v>0.24329999999999999</v>
      </c>
      <c r="E7" s="2">
        <f t="shared" si="0"/>
        <v>1.6999999999999793E-3</v>
      </c>
      <c r="F7" s="147">
        <f>('Grab Samples'!E7*1000)/('Grab Samples'!B7/1000)</f>
        <v>5.345911949685469</v>
      </c>
      <c r="G7" s="2">
        <v>0</v>
      </c>
      <c r="H7" s="148">
        <v>0.47710769568542255</v>
      </c>
      <c r="I7" s="149">
        <f>H7/('Grab Samples'!B7/1000)</f>
        <v>1.5003386656774294</v>
      </c>
      <c r="J7" s="2"/>
      <c r="K7" s="2"/>
      <c r="L7" s="150">
        <v>2.4E-2</v>
      </c>
      <c r="M7" s="150">
        <v>2.3E-2</v>
      </c>
      <c r="N7" s="2" t="s">
        <v>126</v>
      </c>
      <c r="O7" s="151">
        <v>44413</v>
      </c>
    </row>
    <row r="8" spans="1:24" x14ac:dyDescent="0.25">
      <c r="A8" s="2" t="s">
        <v>136</v>
      </c>
      <c r="B8" s="2">
        <v>293.42</v>
      </c>
      <c r="C8" s="2">
        <v>0.24</v>
      </c>
      <c r="D8" s="2">
        <v>0.24360000000000001</v>
      </c>
      <c r="E8" s="2">
        <f t="shared" si="0"/>
        <v>3.6000000000000199E-3</v>
      </c>
      <c r="F8" s="147">
        <f>('Grab Samples'!E8*1000)/('Grab Samples'!B8/1000)</f>
        <v>12.269102310681003</v>
      </c>
      <c r="G8" s="2">
        <v>0</v>
      </c>
      <c r="H8" s="148">
        <v>0.75074101119692438</v>
      </c>
      <c r="I8" s="149">
        <f>H8/('Grab Samples'!B8/1000)</f>
        <v>2.5585884097775349</v>
      </c>
      <c r="J8" s="2"/>
      <c r="K8" s="2"/>
      <c r="L8" s="150">
        <v>2.1999999999999999E-2</v>
      </c>
      <c r="M8" s="150">
        <v>2.4E-2</v>
      </c>
      <c r="N8" s="2" t="s">
        <v>127</v>
      </c>
      <c r="O8" s="151">
        <v>44421</v>
      </c>
    </row>
    <row r="9" spans="1:24" ht="15.75" thickBot="1" x14ac:dyDescent="0.3">
      <c r="A9" s="114" t="s">
        <v>134</v>
      </c>
      <c r="B9" s="114">
        <v>341.46</v>
      </c>
      <c r="C9" s="114">
        <v>0.2407</v>
      </c>
      <c r="D9" s="114">
        <v>0.2424</v>
      </c>
      <c r="E9" s="114">
        <f t="shared" si="0"/>
        <v>1.7000000000000071E-3</v>
      </c>
      <c r="F9" s="152">
        <f>('Grab Samples'!E9*1000)/('Grab Samples'!B9/1000)</f>
        <v>4.9786212147835975</v>
      </c>
      <c r="G9" s="114">
        <v>0</v>
      </c>
      <c r="H9" s="153">
        <v>0.58988878338277129</v>
      </c>
      <c r="I9" s="154">
        <f>H9/('Grab Samples'!B9/1000)</f>
        <v>1.72754871253667</v>
      </c>
      <c r="J9" s="114"/>
      <c r="K9" s="114"/>
      <c r="L9" s="155">
        <v>2.1000000000000001E-2</v>
      </c>
      <c r="M9" s="155">
        <v>2.1999999999999999E-2</v>
      </c>
      <c r="N9" s="114" t="s">
        <v>128</v>
      </c>
      <c r="O9" s="156">
        <v>44421</v>
      </c>
      <c r="Q9" t="s">
        <v>178</v>
      </c>
    </row>
    <row r="10" spans="1:24" ht="15.75" x14ac:dyDescent="0.25">
      <c r="A10" s="157" t="s">
        <v>137</v>
      </c>
      <c r="B10" s="158">
        <v>119.13</v>
      </c>
      <c r="C10" s="157">
        <v>0.23960000000000001</v>
      </c>
      <c r="D10" s="157">
        <v>0.2404</v>
      </c>
      <c r="E10" s="157">
        <f t="shared" si="0"/>
        <v>7.9999999999999516E-4</v>
      </c>
      <c r="F10" s="159">
        <f>('Grab Samples'!E10*1000)/('Grab Samples'!B10/1000)</f>
        <v>6.7153529757407471</v>
      </c>
      <c r="G10" s="157">
        <v>0</v>
      </c>
      <c r="H10" s="157"/>
      <c r="I10" s="160"/>
      <c r="J10" s="161">
        <v>1.482</v>
      </c>
      <c r="K10" s="157"/>
      <c r="L10" s="157"/>
      <c r="M10" s="157"/>
      <c r="N10" s="162">
        <v>121</v>
      </c>
      <c r="O10" s="163">
        <v>44632</v>
      </c>
      <c r="R10" t="s">
        <v>172</v>
      </c>
      <c r="S10" t="s">
        <v>173</v>
      </c>
      <c r="T10" t="s">
        <v>174</v>
      </c>
      <c r="U10" t="s">
        <v>175</v>
      </c>
      <c r="V10" t="s">
        <v>117</v>
      </c>
      <c r="W10" t="s">
        <v>176</v>
      </c>
      <c r="X10" t="s">
        <v>177</v>
      </c>
    </row>
    <row r="11" spans="1:24" ht="15.75" x14ac:dyDescent="0.25">
      <c r="A11" s="1" t="s">
        <v>138</v>
      </c>
      <c r="B11" s="1">
        <v>121.65</v>
      </c>
      <c r="C11" s="1">
        <v>0.23630000000000001</v>
      </c>
      <c r="D11" s="1">
        <v>0.23730000000000001</v>
      </c>
      <c r="E11" s="1">
        <f t="shared" si="0"/>
        <v>1.0000000000000009E-3</v>
      </c>
      <c r="F11" s="164">
        <f>('Grab Samples'!E11*1000)/('Grab Samples'!B11/1000)</f>
        <v>8.2203041512536039</v>
      </c>
      <c r="G11" s="1">
        <v>0</v>
      </c>
      <c r="H11" s="1"/>
      <c r="I11" s="165"/>
      <c r="J11" s="166">
        <v>1.538</v>
      </c>
      <c r="K11" s="1"/>
      <c r="L11" s="1"/>
      <c r="M11" s="1"/>
      <c r="N11" s="167">
        <v>120</v>
      </c>
      <c r="O11" s="168">
        <v>44632</v>
      </c>
      <c r="Q11" s="219" t="s">
        <v>5</v>
      </c>
      <c r="R11">
        <v>0</v>
      </c>
      <c r="S11" s="229">
        <f>AVERAGE(F2:F5)</f>
        <v>4.409564902766741</v>
      </c>
      <c r="T11" s="229">
        <f>AVERAGE(L2:L5)</f>
        <v>2.6249999999999996E-2</v>
      </c>
      <c r="U11" s="229">
        <f>AVERAGE(M2:M5)</f>
        <v>3.125E-2</v>
      </c>
      <c r="V11">
        <v>0</v>
      </c>
      <c r="W11" s="230">
        <f>AVERAGE(I2:I5)</f>
        <v>2.8646407542883878</v>
      </c>
      <c r="X11" s="229">
        <f>AVERAGE(J10:J13)</f>
        <v>1.754</v>
      </c>
    </row>
    <row r="12" spans="1:24" ht="15.75" x14ac:dyDescent="0.25">
      <c r="A12" s="1" t="s">
        <v>139</v>
      </c>
      <c r="B12" s="1">
        <v>119.19</v>
      </c>
      <c r="C12" s="1">
        <v>0.2397</v>
      </c>
      <c r="D12" s="1">
        <v>0.2409</v>
      </c>
      <c r="E12" s="1">
        <f t="shared" si="0"/>
        <v>1.2000000000000066E-3</v>
      </c>
      <c r="F12" s="164">
        <f>('Grab Samples'!E12*1000)/('Grab Samples'!B12/1000)</f>
        <v>10.067958721369298</v>
      </c>
      <c r="G12" s="1">
        <v>0</v>
      </c>
      <c r="H12" s="1"/>
      <c r="I12" s="165"/>
      <c r="J12" s="1">
        <v>2.238</v>
      </c>
      <c r="K12" s="1"/>
      <c r="L12" s="1"/>
      <c r="M12" s="1"/>
      <c r="N12" s="167">
        <v>129</v>
      </c>
      <c r="O12" s="168">
        <v>44638</v>
      </c>
      <c r="Q12" s="220" t="s">
        <v>6</v>
      </c>
      <c r="R12">
        <v>0</v>
      </c>
      <c r="S12" s="229">
        <f>AVERAGE(F14:F15)</f>
        <v>2.9274423582748486</v>
      </c>
      <c r="T12" s="229">
        <f>AVERAGE(L14:L15)</f>
        <v>1.9785000000000011E-3</v>
      </c>
      <c r="U12" s="229">
        <f>AVERAGE(M6:M9)</f>
        <v>2.2749999999999999E-2</v>
      </c>
      <c r="V12">
        <v>0</v>
      </c>
      <c r="W12" s="230">
        <f>AVERAGE(I6:I9)</f>
        <v>1.8198339631902867</v>
      </c>
      <c r="X12" s="229">
        <f>AVERAGE(J14:J15)</f>
        <v>2.8035000000000001</v>
      </c>
    </row>
    <row r="13" spans="1:24" ht="16.5" thickBot="1" x14ac:dyDescent="0.3">
      <c r="A13" s="102" t="s">
        <v>140</v>
      </c>
      <c r="B13" s="102">
        <v>120.77</v>
      </c>
      <c r="C13" s="102">
        <v>0.23830000000000001</v>
      </c>
      <c r="D13" s="102">
        <v>0.23899999999999999</v>
      </c>
      <c r="E13" s="102">
        <f t="shared" si="0"/>
        <v>6.9999999999997842E-4</v>
      </c>
      <c r="F13" s="169">
        <f>('Grab Samples'!E13*1000)/('Grab Samples'!B13/1000)</f>
        <v>5.7961414258506121</v>
      </c>
      <c r="G13" s="102">
        <v>0</v>
      </c>
      <c r="H13" s="102"/>
      <c r="I13" s="170"/>
      <c r="J13" s="171">
        <v>1.758</v>
      </c>
      <c r="K13" s="102"/>
      <c r="L13" s="103"/>
      <c r="M13" s="102"/>
      <c r="N13" s="172">
        <v>124</v>
      </c>
      <c r="O13" s="173">
        <v>44638</v>
      </c>
      <c r="Q13" s="201" t="s">
        <v>56</v>
      </c>
      <c r="R13">
        <v>0</v>
      </c>
      <c r="S13" s="229">
        <f>AVERAGE(F14:F15)</f>
        <v>2.9274423582748486</v>
      </c>
      <c r="T13" s="229">
        <f>AVERAGE(L14:L15)</f>
        <v>1.9785000000000011E-3</v>
      </c>
      <c r="U13" s="229">
        <f>AVERAGE(M6:M9)</f>
        <v>2.2749999999999999E-2</v>
      </c>
      <c r="V13">
        <v>0</v>
      </c>
      <c r="W13" s="230">
        <f>'Summer '!I21</f>
        <v>1.5244913860512195</v>
      </c>
      <c r="X13" s="229">
        <f>AVERAGE(J14:J15)</f>
        <v>2.8035000000000001</v>
      </c>
    </row>
    <row r="14" spans="1:24" ht="15.75" x14ac:dyDescent="0.25">
      <c r="A14" s="174" t="s">
        <v>141</v>
      </c>
      <c r="B14" s="174">
        <v>119.31</v>
      </c>
      <c r="C14" s="174">
        <v>0.2397</v>
      </c>
      <c r="D14" s="174">
        <v>0.24030000000000001</v>
      </c>
      <c r="E14" s="174">
        <f t="shared" si="0"/>
        <v>6.0000000000001719E-4</v>
      </c>
      <c r="F14" s="175">
        <f>('Grab Samples'!E14*1000)/('Grab Samples'!B14/1000)</f>
        <v>5.0289162685442728</v>
      </c>
      <c r="G14" s="174">
        <v>0</v>
      </c>
      <c r="H14" s="174"/>
      <c r="I14" s="176"/>
      <c r="J14" s="177">
        <v>3.294</v>
      </c>
      <c r="K14" s="174"/>
      <c r="L14" s="178">
        <v>2.2415999999999998E-3</v>
      </c>
      <c r="M14" s="174"/>
      <c r="N14" s="179">
        <v>126</v>
      </c>
      <c r="O14" s="180">
        <v>44754</v>
      </c>
      <c r="Q14" s="221" t="s">
        <v>58</v>
      </c>
      <c r="R14">
        <v>0</v>
      </c>
      <c r="S14" s="230">
        <f>F36</f>
        <v>13.333333333333346</v>
      </c>
      <c r="T14" s="229"/>
      <c r="U14" s="229"/>
      <c r="V14">
        <v>0</v>
      </c>
      <c r="W14" s="230">
        <f>I36</f>
        <v>8.767983246000001E-2</v>
      </c>
      <c r="X14" s="229">
        <f>AVERAGE(J14:J15)</f>
        <v>2.8035000000000001</v>
      </c>
    </row>
    <row r="15" spans="1:24" ht="15.75" x14ac:dyDescent="0.25">
      <c r="A15" s="4" t="s">
        <v>142</v>
      </c>
      <c r="B15" s="4">
        <v>121.07</v>
      </c>
      <c r="C15" s="4">
        <v>0.24099999999999999</v>
      </c>
      <c r="D15" s="4">
        <v>0.24110000000000001</v>
      </c>
      <c r="E15" s="4">
        <f t="shared" si="0"/>
        <v>1.0000000000001674E-4</v>
      </c>
      <c r="F15" s="181">
        <f>('Grab Samples'!E15*1000)/('Grab Samples'!B15/1000)</f>
        <v>0.82596844800542446</v>
      </c>
      <c r="G15" s="4">
        <v>0</v>
      </c>
      <c r="H15" s="4"/>
      <c r="I15" s="182"/>
      <c r="J15" s="183">
        <v>2.3130000000000002</v>
      </c>
      <c r="K15" s="4"/>
      <c r="L15" s="10">
        <v>1.7154000000000023E-3</v>
      </c>
      <c r="M15" s="4"/>
      <c r="N15" s="184">
        <v>123</v>
      </c>
      <c r="O15" s="185">
        <v>44754</v>
      </c>
      <c r="Q15" s="222" t="s">
        <v>57</v>
      </c>
      <c r="R15">
        <v>0</v>
      </c>
      <c r="S15" s="230">
        <f>F36</f>
        <v>13.333333333333346</v>
      </c>
      <c r="T15" s="229"/>
      <c r="U15" s="229"/>
      <c r="V15">
        <v>0</v>
      </c>
      <c r="W15" s="230">
        <f>I36</f>
        <v>8.767983246000001E-2</v>
      </c>
      <c r="X15" s="229">
        <f>AVERAGE(J18:J19)</f>
        <v>3.4509999999999996</v>
      </c>
    </row>
    <row r="16" spans="1:24" ht="15.75" x14ac:dyDescent="0.25">
      <c r="A16" s="4" t="s">
        <v>143</v>
      </c>
      <c r="B16" s="4">
        <v>120.11</v>
      </c>
      <c r="C16" s="4">
        <v>0.23680000000000001</v>
      </c>
      <c r="D16" s="4">
        <v>0.23749999999999999</v>
      </c>
      <c r="E16" s="4">
        <f t="shared" si="0"/>
        <v>6.9999999999997842E-4</v>
      </c>
      <c r="F16" s="181">
        <f>('Grab Samples'!E16*1000)/('Grab Samples'!B16/1000)</f>
        <v>5.8279910082422646</v>
      </c>
      <c r="G16" s="4">
        <v>0</v>
      </c>
      <c r="H16" s="4"/>
      <c r="I16" s="182"/>
      <c r="J16" s="4">
        <v>3.6389999999999998</v>
      </c>
      <c r="K16" s="4"/>
      <c r="L16" s="10">
        <v>2.2415999999999998E-3</v>
      </c>
      <c r="M16" s="4"/>
      <c r="N16" s="184">
        <v>127</v>
      </c>
      <c r="O16" s="185">
        <v>44784</v>
      </c>
      <c r="Q16" s="223" t="s">
        <v>59</v>
      </c>
      <c r="R16">
        <v>0</v>
      </c>
      <c r="S16" s="230">
        <f>AVERAGE(F37:F38)</f>
        <v>5.52380952380949</v>
      </c>
      <c r="T16" s="229"/>
      <c r="U16" s="229"/>
      <c r="V16">
        <v>0</v>
      </c>
      <c r="W16" s="230">
        <f>I36</f>
        <v>8.767983246000001E-2</v>
      </c>
      <c r="X16" s="229">
        <f>AVERAGE(J37:J38)</f>
        <v>1.1215000000000002</v>
      </c>
    </row>
    <row r="17" spans="1:24" ht="15.75" x14ac:dyDescent="0.25">
      <c r="A17" s="4" t="s">
        <v>144</v>
      </c>
      <c r="B17" s="4">
        <v>121.37</v>
      </c>
      <c r="C17" s="4">
        <v>0.2329</v>
      </c>
      <c r="D17" s="4">
        <v>0.2331</v>
      </c>
      <c r="E17" s="4">
        <f t="shared" si="0"/>
        <v>2.0000000000000573E-4</v>
      </c>
      <c r="F17" s="181">
        <f>('Grab Samples'!E17*1000)/('Grab Samples'!B17/1000)</f>
        <v>1.6478536705940983</v>
      </c>
      <c r="G17" s="4">
        <v>0</v>
      </c>
      <c r="H17" s="4"/>
      <c r="I17" s="182"/>
      <c r="J17" s="183">
        <v>3.1560000000000001</v>
      </c>
      <c r="K17" s="4"/>
      <c r="L17" s="10">
        <v>1.0137999999999987E-3</v>
      </c>
      <c r="M17" s="4"/>
      <c r="N17" s="184">
        <v>122</v>
      </c>
      <c r="O17" s="185">
        <v>44784</v>
      </c>
      <c r="Q17" s="224" t="s">
        <v>60</v>
      </c>
      <c r="R17">
        <v>0</v>
      </c>
      <c r="S17" s="230">
        <f>AVERAGE(F37:F38)</f>
        <v>5.52380952380949</v>
      </c>
      <c r="T17" s="229"/>
      <c r="U17" s="229"/>
      <c r="V17">
        <v>0</v>
      </c>
      <c r="W17" s="230">
        <f>I36</f>
        <v>8.767983246000001E-2</v>
      </c>
      <c r="X17" s="229">
        <f>AVERAGE(J37:J38)</f>
        <v>1.1215000000000002</v>
      </c>
    </row>
    <row r="18" spans="1:24" ht="15.75" x14ac:dyDescent="0.25">
      <c r="A18" s="4" t="s">
        <v>145</v>
      </c>
      <c r="B18" s="4">
        <v>107.41</v>
      </c>
      <c r="C18" s="4">
        <v>0.23749999999999999</v>
      </c>
      <c r="D18" s="4">
        <v>0.23749999999999999</v>
      </c>
      <c r="E18" s="4">
        <f t="shared" si="0"/>
        <v>0</v>
      </c>
      <c r="F18" s="181">
        <f>('Grab Samples'!E18*1000)/('Grab Samples'!B18/1000)</f>
        <v>0</v>
      </c>
      <c r="G18" s="4">
        <v>0</v>
      </c>
      <c r="H18" s="4"/>
      <c r="I18" s="182"/>
      <c r="J18" s="4">
        <v>3.6909999999999998</v>
      </c>
      <c r="K18" s="4"/>
      <c r="L18" s="4"/>
      <c r="M18" s="4"/>
      <c r="N18" s="184">
        <v>128</v>
      </c>
      <c r="O18" s="185">
        <v>44797</v>
      </c>
    </row>
    <row r="19" spans="1:24" ht="16.5" thickBot="1" x14ac:dyDescent="0.3">
      <c r="A19" s="61" t="s">
        <v>146</v>
      </c>
      <c r="B19" s="61">
        <v>104.74</v>
      </c>
      <c r="C19" s="61">
        <v>0.23330000000000001</v>
      </c>
      <c r="D19" s="61">
        <v>0.2334</v>
      </c>
      <c r="E19" s="61">
        <f t="shared" si="0"/>
        <v>9.9999999999988987E-5</v>
      </c>
      <c r="F19" s="186">
        <f>('Grab Samples'!E19*1000)/('Grab Samples'!B19/1000)</f>
        <v>0.9547450830627171</v>
      </c>
      <c r="G19" s="61">
        <v>0</v>
      </c>
      <c r="H19" s="61"/>
      <c r="I19" s="187"/>
      <c r="J19" s="188">
        <v>3.2109999999999999</v>
      </c>
      <c r="K19" s="61"/>
      <c r="L19" s="62"/>
      <c r="M19" s="61"/>
      <c r="N19" s="189">
        <v>125</v>
      </c>
      <c r="O19" s="190">
        <v>44797</v>
      </c>
    </row>
    <row r="20" spans="1:24" ht="15.75" x14ac:dyDescent="0.25">
      <c r="A20" s="191" t="s">
        <v>147</v>
      </c>
      <c r="B20" s="6">
        <v>119.19</v>
      </c>
      <c r="C20" s="6">
        <v>0.23039999999999999</v>
      </c>
      <c r="D20" s="6">
        <v>0.23300000000000001</v>
      </c>
      <c r="E20" s="6">
        <f t="shared" si="0"/>
        <v>2.600000000000019E-3</v>
      </c>
      <c r="F20" s="192">
        <f>('Grab Samples'!E20*1000)/('Grab Samples'!B20/1000)</f>
        <v>21.813910562966853</v>
      </c>
      <c r="G20" s="6">
        <v>0</v>
      </c>
      <c r="H20" s="6"/>
      <c r="I20" s="193"/>
      <c r="J20" s="6">
        <v>2.319</v>
      </c>
      <c r="K20" s="6"/>
      <c r="L20" s="6"/>
      <c r="M20" s="6"/>
      <c r="N20" s="194">
        <v>136</v>
      </c>
      <c r="O20" s="195">
        <v>45003</v>
      </c>
    </row>
    <row r="21" spans="1:24" ht="15.75" x14ac:dyDescent="0.25">
      <c r="A21" s="191" t="s">
        <v>148</v>
      </c>
      <c r="B21" s="6">
        <v>200</v>
      </c>
      <c r="C21" s="6">
        <v>0.223</v>
      </c>
      <c r="D21" s="6">
        <v>0.2288</v>
      </c>
      <c r="E21" s="6">
        <f t="shared" si="0"/>
        <v>5.7999999999999996E-3</v>
      </c>
      <c r="F21" s="192">
        <f>('Grab Samples'!E21*1000)/('Grab Samples'!B21/1000)</f>
        <v>28.999999999999996</v>
      </c>
      <c r="G21" s="6">
        <v>0</v>
      </c>
      <c r="H21" s="6"/>
      <c r="I21" s="193"/>
      <c r="J21" s="6">
        <v>2.254</v>
      </c>
      <c r="K21" s="6"/>
      <c r="L21" s="6"/>
      <c r="M21" s="6"/>
      <c r="N21" s="194">
        <v>137</v>
      </c>
      <c r="O21" s="195">
        <v>45003</v>
      </c>
    </row>
    <row r="22" spans="1:24" ht="15.75" x14ac:dyDescent="0.25">
      <c r="A22" s="196" t="s">
        <v>149</v>
      </c>
      <c r="B22" s="67">
        <v>120.77</v>
      </c>
      <c r="C22" s="67">
        <v>0.23499999999999999</v>
      </c>
      <c r="D22" s="67">
        <v>0.23599999999999999</v>
      </c>
      <c r="E22" s="67">
        <f t="shared" si="0"/>
        <v>1.0000000000000009E-3</v>
      </c>
      <c r="F22" s="197">
        <f>('Grab Samples'!E22*1000)/('Grab Samples'!B22/1000)</f>
        <v>8.2802020369297082</v>
      </c>
      <c r="G22" s="67">
        <v>0</v>
      </c>
      <c r="H22" s="67"/>
      <c r="I22" s="198"/>
      <c r="J22" s="67">
        <v>2.4380000000000002</v>
      </c>
      <c r="K22" s="67"/>
      <c r="L22" s="67"/>
      <c r="M22" s="67"/>
      <c r="N22" s="199">
        <v>134</v>
      </c>
      <c r="O22" s="200">
        <v>45003</v>
      </c>
    </row>
    <row r="23" spans="1:24" ht="15.75" x14ac:dyDescent="0.25">
      <c r="A23" s="191" t="s">
        <v>150</v>
      </c>
      <c r="B23" s="6">
        <v>190</v>
      </c>
      <c r="C23" s="6">
        <v>0.23300000000000001</v>
      </c>
      <c r="D23" s="6">
        <v>0.23380000000000001</v>
      </c>
      <c r="E23" s="6">
        <f t="shared" si="0"/>
        <v>7.9999999999999516E-4</v>
      </c>
      <c r="F23" s="192">
        <f>('Grab Samples'!E23*1000)/('Grab Samples'!B23/1000)</f>
        <v>4.2105263157894486</v>
      </c>
      <c r="G23" s="6">
        <v>0</v>
      </c>
      <c r="H23" s="6"/>
      <c r="I23" s="193"/>
      <c r="J23" s="6">
        <v>2.302</v>
      </c>
      <c r="K23" s="6"/>
      <c r="L23" s="6"/>
      <c r="M23" s="6"/>
      <c r="N23" s="194">
        <v>135</v>
      </c>
      <c r="O23" s="195">
        <v>45003</v>
      </c>
    </row>
    <row r="24" spans="1:24" ht="15.75" x14ac:dyDescent="0.25">
      <c r="A24" s="191" t="s">
        <v>151</v>
      </c>
      <c r="B24" s="6">
        <v>210</v>
      </c>
      <c r="C24" s="6">
        <v>0.23499999999999999</v>
      </c>
      <c r="D24" s="6">
        <v>0.2404</v>
      </c>
      <c r="E24" s="6">
        <f t="shared" si="0"/>
        <v>5.4000000000000159E-3</v>
      </c>
      <c r="F24" s="192">
        <f>('Grab Samples'!E24*1000)/('Grab Samples'!B24/1000)</f>
        <v>25.714285714285793</v>
      </c>
      <c r="G24" s="6">
        <v>0</v>
      </c>
      <c r="H24" s="6"/>
      <c r="I24" s="193"/>
      <c r="J24" s="6">
        <v>2.1970000000000001</v>
      </c>
      <c r="K24" s="6"/>
      <c r="L24" s="6"/>
      <c r="M24" s="6"/>
      <c r="N24" s="194">
        <v>140</v>
      </c>
      <c r="O24" s="195">
        <v>45004</v>
      </c>
    </row>
    <row r="25" spans="1:24" ht="15.75" x14ac:dyDescent="0.25">
      <c r="A25" s="191" t="s">
        <v>152</v>
      </c>
      <c r="B25" s="6">
        <v>200</v>
      </c>
      <c r="C25" s="6">
        <v>0.23300000000000001</v>
      </c>
      <c r="D25" s="6">
        <v>0.23519999999999999</v>
      </c>
      <c r="E25" s="6">
        <f t="shared" si="0"/>
        <v>2.1999999999999797E-3</v>
      </c>
      <c r="F25" s="192">
        <f>('Grab Samples'!E25*1000)/('Grab Samples'!B25/1000)</f>
        <v>10.999999999999899</v>
      </c>
      <c r="G25" s="6">
        <v>0</v>
      </c>
      <c r="H25" s="6"/>
      <c r="I25" s="193"/>
      <c r="J25" s="6">
        <v>2.2629999999999999</v>
      </c>
      <c r="K25" s="6"/>
      <c r="L25" s="6"/>
      <c r="M25" s="6"/>
      <c r="N25" s="194">
        <v>141</v>
      </c>
      <c r="O25" s="195">
        <v>45004</v>
      </c>
    </row>
    <row r="26" spans="1:24" ht="15.75" x14ac:dyDescent="0.25">
      <c r="A26" s="191" t="s">
        <v>153</v>
      </c>
      <c r="B26" s="6">
        <v>200</v>
      </c>
      <c r="C26" s="6">
        <v>0.23499999999999999</v>
      </c>
      <c r="D26" s="6">
        <v>0.23649999999999999</v>
      </c>
      <c r="E26" s="6">
        <f t="shared" si="0"/>
        <v>1.5000000000000013E-3</v>
      </c>
      <c r="F26" s="192">
        <f>('Grab Samples'!E26*1000)/('Grab Samples'!B26/1000)</f>
        <v>7.5000000000000062</v>
      </c>
      <c r="G26" s="6">
        <v>0</v>
      </c>
      <c r="H26" s="6"/>
      <c r="I26" s="193"/>
      <c r="J26" s="6">
        <v>2.2879999999999998</v>
      </c>
      <c r="K26" s="6"/>
      <c r="L26" s="6"/>
      <c r="M26" s="6"/>
      <c r="N26" s="194">
        <v>138</v>
      </c>
      <c r="O26" s="195">
        <v>45004</v>
      </c>
    </row>
    <row r="27" spans="1:24" ht="15.75" x14ac:dyDescent="0.25">
      <c r="A27" s="191" t="s">
        <v>154</v>
      </c>
      <c r="B27" s="6">
        <v>190</v>
      </c>
      <c r="C27" s="6">
        <v>0.23</v>
      </c>
      <c r="D27" s="6">
        <v>0.2319</v>
      </c>
      <c r="E27" s="6">
        <f t="shared" si="0"/>
        <v>1.899999999999985E-3</v>
      </c>
      <c r="F27" s="192">
        <f>('Grab Samples'!E27*1000)/('Grab Samples'!B27/1000)</f>
        <v>9.9999999999999218</v>
      </c>
      <c r="G27" s="6">
        <v>0</v>
      </c>
      <c r="H27" s="6"/>
      <c r="I27" s="193"/>
      <c r="J27" s="6">
        <v>2.1789999999999998</v>
      </c>
      <c r="K27" s="6"/>
      <c r="L27" s="6"/>
      <c r="M27" s="6"/>
      <c r="N27" s="194">
        <v>139</v>
      </c>
      <c r="O27" s="195">
        <v>45004</v>
      </c>
    </row>
    <row r="28" spans="1:24" ht="15.75" x14ac:dyDescent="0.25">
      <c r="A28" s="191" t="s">
        <v>155</v>
      </c>
      <c r="B28" s="6">
        <v>200</v>
      </c>
      <c r="C28" s="6">
        <v>0.23499999999999999</v>
      </c>
      <c r="D28" s="6">
        <v>0.2424</v>
      </c>
      <c r="E28" s="6">
        <f t="shared" si="0"/>
        <v>7.4000000000000177E-3</v>
      </c>
      <c r="F28" s="192">
        <f>('Grab Samples'!E28*1000)/('Grab Samples'!B28/1000)</f>
        <v>37.000000000000085</v>
      </c>
      <c r="G28" s="201"/>
      <c r="H28" s="6"/>
      <c r="I28" s="193"/>
      <c r="J28" s="6">
        <v>2.1349999999999998</v>
      </c>
      <c r="K28" s="6"/>
      <c r="L28" s="6"/>
      <c r="M28" s="6"/>
      <c r="N28" s="194">
        <v>144</v>
      </c>
      <c r="O28" s="195">
        <v>45007</v>
      </c>
    </row>
    <row r="29" spans="1:24" ht="15.75" x14ac:dyDescent="0.25">
      <c r="A29" s="191" t="s">
        <v>156</v>
      </c>
      <c r="B29" s="6">
        <v>190</v>
      </c>
      <c r="C29" s="6">
        <v>0.23330000000000001</v>
      </c>
      <c r="D29" s="6">
        <v>0.23699999999999999</v>
      </c>
      <c r="E29" s="6">
        <f t="shared" si="0"/>
        <v>3.6999999999999811E-3</v>
      </c>
      <c r="F29" s="192">
        <f>('Grab Samples'!E29*1000)/('Grab Samples'!B29/1000)</f>
        <v>19.473684210526216</v>
      </c>
      <c r="G29" s="6"/>
      <c r="H29" s="6"/>
      <c r="I29" s="193"/>
      <c r="J29" s="6">
        <v>2.1480000000000001</v>
      </c>
      <c r="K29" s="6"/>
      <c r="L29" s="6"/>
      <c r="M29" s="6"/>
      <c r="N29" s="194">
        <v>143</v>
      </c>
      <c r="O29" s="195">
        <v>45007</v>
      </c>
    </row>
    <row r="30" spans="1:24" ht="15.75" x14ac:dyDescent="0.25">
      <c r="A30" s="191" t="s">
        <v>157</v>
      </c>
      <c r="B30" s="6">
        <v>200</v>
      </c>
      <c r="C30" s="6">
        <v>0.222</v>
      </c>
      <c r="D30" s="6">
        <v>0.22900000000000001</v>
      </c>
      <c r="E30" s="6">
        <f t="shared" si="0"/>
        <v>7.0000000000000062E-3</v>
      </c>
      <c r="F30" s="192">
        <f>('Grab Samples'!E30*1000)/('Grab Samples'!B30/1000)</f>
        <v>35.000000000000028</v>
      </c>
      <c r="G30" s="6"/>
      <c r="H30" s="6"/>
      <c r="I30" s="193"/>
      <c r="J30" s="6">
        <v>2.1960000000000002</v>
      </c>
      <c r="K30" s="6"/>
      <c r="L30" s="6"/>
      <c r="M30" s="6"/>
      <c r="N30" s="194">
        <v>142</v>
      </c>
      <c r="O30" s="195">
        <v>45007</v>
      </c>
    </row>
    <row r="31" spans="1:24" ht="15.75" x14ac:dyDescent="0.25">
      <c r="A31" s="191" t="s">
        <v>158</v>
      </c>
      <c r="B31" s="6">
        <v>200</v>
      </c>
      <c r="C31" s="6">
        <v>0.23599999999999999</v>
      </c>
      <c r="D31" s="6">
        <v>0.2366</v>
      </c>
      <c r="E31" s="6">
        <f t="shared" si="0"/>
        <v>6.0000000000001719E-4</v>
      </c>
      <c r="F31" s="192">
        <f>('Grab Samples'!E31*1000)/('Grab Samples'!B31/1000)</f>
        <v>3.0000000000000857</v>
      </c>
      <c r="G31" s="6"/>
      <c r="H31" s="6"/>
      <c r="I31" s="193"/>
      <c r="J31" s="6">
        <v>2.0670000000000002</v>
      </c>
      <c r="K31" s="6"/>
      <c r="L31" s="6"/>
      <c r="M31" s="6"/>
      <c r="N31" s="194">
        <v>145</v>
      </c>
      <c r="O31" s="195">
        <v>45007</v>
      </c>
    </row>
    <row r="32" spans="1:24" ht="15.75" x14ac:dyDescent="0.25">
      <c r="A32" s="191" t="s">
        <v>159</v>
      </c>
      <c r="B32" s="6">
        <v>150</v>
      </c>
      <c r="C32" s="6">
        <v>0.23499999999999999</v>
      </c>
      <c r="D32" s="6">
        <v>0.23669999999999999</v>
      </c>
      <c r="E32" s="6">
        <f t="shared" si="0"/>
        <v>1.7000000000000071E-3</v>
      </c>
      <c r="F32" s="192">
        <f>('Grab Samples'!E32*1000)/('Grab Samples'!B32/1000)</f>
        <v>11.33333333333338</v>
      </c>
      <c r="G32" s="9">
        <v>115.20499999999998</v>
      </c>
      <c r="H32" s="6"/>
      <c r="I32" s="193"/>
      <c r="J32" s="6">
        <v>4.3840000000000003</v>
      </c>
      <c r="K32" s="6"/>
      <c r="L32" s="6"/>
      <c r="M32" s="6"/>
      <c r="N32" s="194">
        <v>132</v>
      </c>
      <c r="O32" s="195">
        <v>45029</v>
      </c>
    </row>
    <row r="33" spans="1:15" ht="15.75" x14ac:dyDescent="0.25">
      <c r="A33" s="191" t="s">
        <v>160</v>
      </c>
      <c r="B33" s="6">
        <v>145</v>
      </c>
      <c r="C33" s="6">
        <v>0.22500000000000001</v>
      </c>
      <c r="D33" s="6">
        <v>0.22739999999999999</v>
      </c>
      <c r="E33" s="6">
        <f t="shared" si="0"/>
        <v>2.3999999999999855E-3</v>
      </c>
      <c r="F33" s="192">
        <f>('Grab Samples'!E33*1000)/('Grab Samples'!B33/1000)</f>
        <v>16.551724137930933</v>
      </c>
      <c r="G33" s="9">
        <v>106.28000000000002</v>
      </c>
      <c r="H33" s="6"/>
      <c r="I33" s="193"/>
      <c r="J33" s="6">
        <v>4.49</v>
      </c>
      <c r="K33" s="6"/>
      <c r="L33" s="6"/>
      <c r="M33" s="6"/>
      <c r="N33" s="194">
        <v>133</v>
      </c>
      <c r="O33" s="195">
        <v>45029</v>
      </c>
    </row>
    <row r="34" spans="1:15" ht="15.75" x14ac:dyDescent="0.25">
      <c r="A34" s="191" t="s">
        <v>161</v>
      </c>
      <c r="B34" s="6">
        <v>150</v>
      </c>
      <c r="C34" s="6">
        <v>0.23899999999999999</v>
      </c>
      <c r="D34" s="6">
        <v>0.24</v>
      </c>
      <c r="E34" s="6">
        <f t="shared" si="0"/>
        <v>1.0000000000000009E-3</v>
      </c>
      <c r="F34" s="192">
        <f>('Grab Samples'!E34*1000)/('Grab Samples'!B34/1000)</f>
        <v>6.6666666666666732</v>
      </c>
      <c r="G34" s="9">
        <v>118.6825</v>
      </c>
      <c r="H34" s="6"/>
      <c r="I34" s="193"/>
      <c r="J34" s="6">
        <v>4.4930000000000003</v>
      </c>
      <c r="K34" s="6"/>
      <c r="L34" s="6"/>
      <c r="M34" s="6"/>
      <c r="N34" s="194">
        <v>131</v>
      </c>
      <c r="O34" s="195">
        <v>45029</v>
      </c>
    </row>
    <row r="35" spans="1:15" ht="16.5" thickBot="1" x14ac:dyDescent="0.3">
      <c r="A35" s="202" t="s">
        <v>162</v>
      </c>
      <c r="B35" s="90">
        <v>200</v>
      </c>
      <c r="C35" s="90">
        <v>0.23400000000000001</v>
      </c>
      <c r="D35" s="90">
        <v>0.23530000000000001</v>
      </c>
      <c r="E35" s="90">
        <f t="shared" si="0"/>
        <v>1.2999999999999956E-3</v>
      </c>
      <c r="F35" s="203">
        <f>('Grab Samples'!E35*1000)/('Grab Samples'!B35/1000)</f>
        <v>6.4999999999999778</v>
      </c>
      <c r="G35" s="140">
        <v>73.134999999999991</v>
      </c>
      <c r="H35" s="90"/>
      <c r="I35" s="204"/>
      <c r="J35" s="90">
        <v>4.4409999999999998</v>
      </c>
      <c r="K35" s="90"/>
      <c r="L35" s="90"/>
      <c r="M35" s="90"/>
      <c r="N35" s="205">
        <v>130</v>
      </c>
      <c r="O35" s="206">
        <v>45029</v>
      </c>
    </row>
    <row r="36" spans="1:15" ht="15.75" x14ac:dyDescent="0.25">
      <c r="A36" s="207" t="s">
        <v>163</v>
      </c>
      <c r="B36" s="208">
        <v>150</v>
      </c>
      <c r="C36" s="215">
        <v>0.23319999999999999</v>
      </c>
      <c r="D36" s="215">
        <v>0.23519999999999999</v>
      </c>
      <c r="E36" s="208">
        <f t="shared" si="0"/>
        <v>2.0000000000000018E-3</v>
      </c>
      <c r="F36" s="209">
        <f>('Grab Samples'!E36*1000)/('Grab Samples'!B36/1000)</f>
        <v>13.333333333333346</v>
      </c>
      <c r="G36" s="208">
        <v>0</v>
      </c>
      <c r="H36" s="210">
        <v>1.3151974869000001E-2</v>
      </c>
      <c r="I36" s="211">
        <f>H36/('Grab Samples'!B36/1000)</f>
        <v>8.767983246000001E-2</v>
      </c>
      <c r="J36" s="208"/>
      <c r="K36" s="208"/>
      <c r="L36" s="208"/>
      <c r="M36" s="208"/>
      <c r="N36" s="212">
        <v>436</v>
      </c>
      <c r="O36" s="213">
        <v>45127</v>
      </c>
    </row>
    <row r="37" spans="1:15" ht="15.75" x14ac:dyDescent="0.25">
      <c r="A37" s="214" t="s">
        <v>165</v>
      </c>
      <c r="B37" s="215">
        <v>140</v>
      </c>
      <c r="C37" s="215">
        <v>0.2331</v>
      </c>
      <c r="D37" s="215">
        <v>0.2339</v>
      </c>
      <c r="E37" s="215">
        <f t="shared" si="0"/>
        <v>7.9999999999999516E-4</v>
      </c>
      <c r="F37" s="216">
        <f>('Grab Samples'!E37*1000)/('Grab Samples'!B37/1000)</f>
        <v>5.7142857142856789</v>
      </c>
      <c r="G37" s="215">
        <v>0</v>
      </c>
      <c r="H37" s="215"/>
      <c r="I37" s="215"/>
      <c r="J37" s="215">
        <v>1.127</v>
      </c>
      <c r="K37" s="215"/>
      <c r="L37" s="215"/>
      <c r="M37" s="215"/>
      <c r="N37" s="217">
        <v>475</v>
      </c>
      <c r="O37" s="218">
        <v>45154</v>
      </c>
    </row>
    <row r="38" spans="1:15" ht="15.75" x14ac:dyDescent="0.25">
      <c r="A38" s="214" t="s">
        <v>164</v>
      </c>
      <c r="B38" s="215">
        <v>150</v>
      </c>
      <c r="C38" s="215">
        <v>0.24030000000000001</v>
      </c>
      <c r="D38" s="215">
        <v>0.24110000000000001</v>
      </c>
      <c r="E38" s="215">
        <f t="shared" si="0"/>
        <v>7.9999999999999516E-4</v>
      </c>
      <c r="F38" s="216">
        <f>('Grab Samples'!E38*1000)/('Grab Samples'!B38/1000)</f>
        <v>5.3333333333333011</v>
      </c>
      <c r="G38" s="215">
        <v>0</v>
      </c>
      <c r="H38" s="215"/>
      <c r="I38" s="215"/>
      <c r="J38" s="215">
        <v>1.1160000000000001</v>
      </c>
      <c r="K38" s="215"/>
      <c r="L38" s="215"/>
      <c r="M38" s="215"/>
      <c r="N38" s="217">
        <v>474</v>
      </c>
      <c r="O38" s="218">
        <v>45153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A755D-D802-46BE-88DA-9012C0D788DF}">
  <dimension ref="A1:P111"/>
  <sheetViews>
    <sheetView tabSelected="1" topLeftCell="B92" workbookViewId="0">
      <selection activeCell="G20" sqref="G20"/>
    </sheetView>
  </sheetViews>
  <sheetFormatPr defaultRowHeight="15" x14ac:dyDescent="0.25"/>
  <cols>
    <col min="1" max="1" width="18.28515625" style="5" customWidth="1"/>
    <col min="2" max="2" width="16.42578125" customWidth="1"/>
    <col min="3" max="3" width="19.7109375" customWidth="1"/>
    <col min="4" max="4" width="21" customWidth="1"/>
    <col min="5" max="5" width="23.5703125" customWidth="1"/>
    <col min="6" max="6" width="16.42578125" customWidth="1"/>
    <col min="7" max="7" width="19.140625" customWidth="1"/>
    <col min="8" max="8" width="12.42578125" customWidth="1"/>
    <col min="9" max="9" width="12" customWidth="1"/>
    <col min="10" max="10" width="11.85546875" customWidth="1"/>
    <col min="11" max="11" width="15.28515625" customWidth="1"/>
    <col min="12" max="12" width="22.7109375" customWidth="1"/>
    <col min="14" max="14" width="12" customWidth="1"/>
    <col min="15" max="15" width="11.85546875" customWidth="1"/>
    <col min="16" max="16" width="11" customWidth="1"/>
  </cols>
  <sheetData>
    <row r="1" spans="1:16" ht="32.25" customHeight="1" x14ac:dyDescent="0.25">
      <c r="A1" s="144" t="s">
        <v>1</v>
      </c>
      <c r="B1" s="145" t="s">
        <v>0</v>
      </c>
      <c r="C1" s="146" t="s">
        <v>2</v>
      </c>
      <c r="D1" s="146" t="s">
        <v>3</v>
      </c>
      <c r="E1" s="146" t="s">
        <v>71</v>
      </c>
      <c r="F1" s="146" t="s">
        <v>4</v>
      </c>
      <c r="G1" s="146" t="s">
        <v>97</v>
      </c>
      <c r="H1" s="146" t="s">
        <v>72</v>
      </c>
      <c r="I1" s="146" t="s">
        <v>70</v>
      </c>
      <c r="J1" s="146" t="s">
        <v>69</v>
      </c>
      <c r="K1" s="146" t="s">
        <v>61</v>
      </c>
      <c r="L1" s="146" t="s">
        <v>67</v>
      </c>
    </row>
    <row r="2" spans="1:16" x14ac:dyDescent="0.25">
      <c r="A2" s="1" t="s">
        <v>344</v>
      </c>
      <c r="B2" s="1">
        <v>347.28999999999996</v>
      </c>
      <c r="C2" s="1">
        <v>0.2397</v>
      </c>
      <c r="D2" s="1">
        <v>0.2409</v>
      </c>
      <c r="E2" s="1">
        <f>D2-C2</f>
        <v>1.2000000000000066E-3</v>
      </c>
      <c r="F2" s="164">
        <f>E2/B2*1000*1000</f>
        <v>3.4553255204584259</v>
      </c>
      <c r="G2" s="1">
        <v>0</v>
      </c>
      <c r="H2" s="253">
        <v>0.38268099641422432</v>
      </c>
      <c r="I2" s="12">
        <f>H2/B2*1000</f>
        <v>1.1019061775871013</v>
      </c>
      <c r="J2" s="252"/>
      <c r="K2" s="1" t="s">
        <v>360</v>
      </c>
      <c r="L2" s="268">
        <v>0.72638888888888886</v>
      </c>
      <c r="N2" s="263" t="s">
        <v>376</v>
      </c>
      <c r="O2" s="263"/>
      <c r="P2" s="263"/>
    </row>
    <row r="3" spans="1:16" x14ac:dyDescent="0.25">
      <c r="A3" s="1" t="s">
        <v>345</v>
      </c>
      <c r="B3" s="1">
        <v>421.38</v>
      </c>
      <c r="C3" s="1">
        <v>0.23849999999999999</v>
      </c>
      <c r="D3" s="1">
        <v>0.24679999999999999</v>
      </c>
      <c r="E3" s="1">
        <f t="shared" ref="E3:E66" si="0">D3-C3</f>
        <v>8.3000000000000018E-3</v>
      </c>
      <c r="F3" s="164">
        <f t="shared" ref="F3:F16" si="1">E3/B3*1000*1000</f>
        <v>19.697185438321707</v>
      </c>
      <c r="G3" s="1">
        <v>0</v>
      </c>
      <c r="H3" s="253">
        <v>0.313369731685532</v>
      </c>
      <c r="I3" s="12">
        <f t="shared" ref="I3:I17" si="2">H3/B3*1000</f>
        <v>0.74367490551410131</v>
      </c>
      <c r="J3" s="252"/>
      <c r="K3" s="1" t="s">
        <v>361</v>
      </c>
      <c r="L3" s="268">
        <v>0.72849999999999882</v>
      </c>
      <c r="N3" s="222" t="s">
        <v>471</v>
      </c>
      <c r="O3" s="5"/>
      <c r="P3" s="5"/>
    </row>
    <row r="4" spans="1:16" x14ac:dyDescent="0.25">
      <c r="A4" s="1" t="s">
        <v>346</v>
      </c>
      <c r="B4" s="1">
        <v>368.46</v>
      </c>
      <c r="C4" s="1">
        <v>0.24199999999999999</v>
      </c>
      <c r="D4" s="1">
        <v>0.26140000000000002</v>
      </c>
      <c r="E4" s="1">
        <f t="shared" si="0"/>
        <v>1.9400000000000028E-2</v>
      </c>
      <c r="F4" s="164">
        <f t="shared" si="1"/>
        <v>52.651576833306279</v>
      </c>
      <c r="G4" s="1">
        <v>37.18</v>
      </c>
      <c r="H4" s="253">
        <v>3.1352131787203663</v>
      </c>
      <c r="I4" s="12">
        <f t="shared" si="2"/>
        <v>8.5089648231025521</v>
      </c>
      <c r="J4" s="252"/>
      <c r="K4" s="1" t="s">
        <v>362</v>
      </c>
      <c r="L4" s="268">
        <v>0.73061111111110877</v>
      </c>
      <c r="N4" s="201" t="s">
        <v>472</v>
      </c>
      <c r="O4" s="5"/>
      <c r="P4" s="5"/>
    </row>
    <row r="5" spans="1:16" x14ac:dyDescent="0.25">
      <c r="A5" s="1" t="s">
        <v>347</v>
      </c>
      <c r="B5" s="1">
        <v>334.69</v>
      </c>
      <c r="C5" s="1">
        <v>0.2387</v>
      </c>
      <c r="D5" s="1">
        <v>0.26879999999999998</v>
      </c>
      <c r="E5" s="1">
        <f t="shared" si="0"/>
        <v>3.0099999999999988E-2</v>
      </c>
      <c r="F5" s="164">
        <f>E5/B5*1000*1000</f>
        <v>89.933968747198861</v>
      </c>
      <c r="G5" s="1">
        <v>52.18</v>
      </c>
      <c r="H5" s="253">
        <v>3.4862856316465263</v>
      </c>
      <c r="I5" s="12">
        <f t="shared" si="2"/>
        <v>10.416461895026821</v>
      </c>
      <c r="J5" s="252"/>
      <c r="K5" s="1" t="s">
        <v>363</v>
      </c>
      <c r="L5" s="268">
        <v>0.73272222222221872</v>
      </c>
      <c r="N5" s="219" t="s">
        <v>473</v>
      </c>
      <c r="O5" s="5"/>
      <c r="P5" s="5"/>
    </row>
    <row r="6" spans="1:16" x14ac:dyDescent="0.25">
      <c r="A6" s="1" t="s">
        <v>348</v>
      </c>
      <c r="B6" s="1">
        <v>397.98999999999995</v>
      </c>
      <c r="C6" s="1">
        <v>0.24179999999999999</v>
      </c>
      <c r="D6" s="1">
        <v>0.27110000000000001</v>
      </c>
      <c r="E6" s="1">
        <f t="shared" si="0"/>
        <v>2.930000000000002E-2</v>
      </c>
      <c r="F6" s="164">
        <f t="shared" si="1"/>
        <v>73.619940199502565</v>
      </c>
      <c r="G6" s="1">
        <v>80.87</v>
      </c>
      <c r="H6" s="253">
        <v>3.8748705648576802</v>
      </c>
      <c r="I6" s="12">
        <f t="shared" si="2"/>
        <v>9.7361003162332729</v>
      </c>
      <c r="J6" s="252"/>
      <c r="K6" s="1" t="s">
        <v>364</v>
      </c>
      <c r="L6" s="268">
        <v>0.73483333333332868</v>
      </c>
      <c r="N6" s="221" t="s">
        <v>474</v>
      </c>
      <c r="O6" s="5"/>
      <c r="P6" s="5"/>
    </row>
    <row r="7" spans="1:16" x14ac:dyDescent="0.25">
      <c r="A7" s="1" t="s">
        <v>349</v>
      </c>
      <c r="B7" s="1">
        <v>331.53999999999996</v>
      </c>
      <c r="C7" s="1">
        <v>0.2427</v>
      </c>
      <c r="D7" s="1">
        <v>0.32229999999999998</v>
      </c>
      <c r="E7" s="1">
        <f t="shared" si="0"/>
        <v>7.9599999999999976E-2</v>
      </c>
      <c r="F7" s="164">
        <f t="shared" si="1"/>
        <v>240.0916933100078</v>
      </c>
      <c r="G7" s="1">
        <v>220.02</v>
      </c>
      <c r="H7" s="253">
        <v>12.816921322556738</v>
      </c>
      <c r="I7" s="12">
        <f t="shared" si="2"/>
        <v>38.658748032082819</v>
      </c>
      <c r="J7" s="252"/>
      <c r="K7" s="1" t="s">
        <v>365</v>
      </c>
      <c r="L7" s="268">
        <v>0.73694444444443863</v>
      </c>
      <c r="N7" s="222" t="s">
        <v>475</v>
      </c>
      <c r="O7" s="5"/>
      <c r="P7" s="5"/>
    </row>
    <row r="8" spans="1:16" x14ac:dyDescent="0.25">
      <c r="A8" s="1" t="s">
        <v>350</v>
      </c>
      <c r="B8" s="1">
        <v>424.06000000000006</v>
      </c>
      <c r="C8" s="1">
        <v>0.24199999999999999</v>
      </c>
      <c r="D8" s="1">
        <v>0.2732</v>
      </c>
      <c r="E8" s="1">
        <f t="shared" si="0"/>
        <v>3.1200000000000006E-2</v>
      </c>
      <c r="F8" s="164">
        <f t="shared" si="1"/>
        <v>73.574494175352541</v>
      </c>
      <c r="G8" s="1">
        <v>41.39</v>
      </c>
      <c r="H8" s="253">
        <v>2.6905717389419799</v>
      </c>
      <c r="I8" s="12">
        <f t="shared" si="2"/>
        <v>6.3447902158703471</v>
      </c>
      <c r="J8" s="252"/>
      <c r="K8" s="1" t="s">
        <v>366</v>
      </c>
      <c r="L8" s="268">
        <v>0.73905555555554858</v>
      </c>
      <c r="N8" s="201" t="s">
        <v>476</v>
      </c>
      <c r="O8" s="5"/>
      <c r="P8" s="5"/>
    </row>
    <row r="9" spans="1:16" x14ac:dyDescent="0.25">
      <c r="A9" s="1" t="s">
        <v>351</v>
      </c>
      <c r="B9" s="1">
        <v>417.94000000000005</v>
      </c>
      <c r="C9" s="1">
        <v>0.2429</v>
      </c>
      <c r="D9" s="1">
        <v>0.25159999999999999</v>
      </c>
      <c r="E9" s="1">
        <f t="shared" si="0"/>
        <v>8.6999999999999855E-3</v>
      </c>
      <c r="F9" s="164">
        <f t="shared" si="1"/>
        <v>20.816385127051692</v>
      </c>
      <c r="G9" s="1">
        <v>0</v>
      </c>
      <c r="H9" s="253">
        <v>0.82731469580186878</v>
      </c>
      <c r="I9" s="12">
        <f t="shared" si="2"/>
        <v>1.9795058998944075</v>
      </c>
      <c r="J9" s="252"/>
      <c r="K9" s="1" t="s">
        <v>367</v>
      </c>
      <c r="L9" s="268">
        <v>0.74116666666665854</v>
      </c>
      <c r="N9" s="219" t="s">
        <v>478</v>
      </c>
      <c r="O9" s="5"/>
      <c r="P9" s="5"/>
    </row>
    <row r="10" spans="1:16" x14ac:dyDescent="0.25">
      <c r="A10" s="1" t="s">
        <v>352</v>
      </c>
      <c r="B10" s="1">
        <v>475.45999999999992</v>
      </c>
      <c r="C10" s="1">
        <v>0.2399</v>
      </c>
      <c r="D10" s="1">
        <v>0.24829999999999999</v>
      </c>
      <c r="E10" s="1">
        <f t="shared" si="0"/>
        <v>8.3999999999999908E-3</v>
      </c>
      <c r="F10" s="164">
        <f t="shared" si="1"/>
        <v>17.667101333445487</v>
      </c>
      <c r="G10" s="1">
        <v>0</v>
      </c>
      <c r="H10" s="253">
        <v>1.5306314181812617</v>
      </c>
      <c r="I10" s="12">
        <f t="shared" si="2"/>
        <v>3.219264329662352</v>
      </c>
      <c r="J10" s="252"/>
      <c r="K10" s="1" t="s">
        <v>368</v>
      </c>
      <c r="L10" s="268">
        <v>0.74327777777776849</v>
      </c>
      <c r="N10" s="221" t="s">
        <v>477</v>
      </c>
      <c r="O10" s="5"/>
      <c r="P10" s="5"/>
    </row>
    <row r="11" spans="1:16" x14ac:dyDescent="0.25">
      <c r="A11" s="1" t="s">
        <v>353</v>
      </c>
      <c r="B11" s="1">
        <v>369.59000000000003</v>
      </c>
      <c r="C11" s="1">
        <v>0.24299999999999999</v>
      </c>
      <c r="D11" s="1">
        <v>0.24890000000000001</v>
      </c>
      <c r="E11" s="1">
        <f t="shared" si="0"/>
        <v>5.9000000000000163E-3</v>
      </c>
      <c r="F11" s="164">
        <f t="shared" si="1"/>
        <v>15.963635379745167</v>
      </c>
      <c r="G11" s="1">
        <v>0</v>
      </c>
      <c r="H11" s="253">
        <v>1.1106837244569674</v>
      </c>
      <c r="I11" s="12">
        <f t="shared" si="2"/>
        <v>3.005177966008191</v>
      </c>
      <c r="J11" s="252"/>
      <c r="K11" s="1" t="s">
        <v>369</v>
      </c>
      <c r="L11" s="268">
        <v>0.74538888888887844</v>
      </c>
    </row>
    <row r="12" spans="1:16" x14ac:dyDescent="0.25">
      <c r="A12" s="1" t="s">
        <v>354</v>
      </c>
      <c r="B12" s="1">
        <v>254.70999999999998</v>
      </c>
      <c r="C12" s="1">
        <v>0.24210000000000001</v>
      </c>
      <c r="D12" s="1">
        <v>0.24390000000000001</v>
      </c>
      <c r="E12" s="1">
        <f t="shared" si="0"/>
        <v>1.799999999999996E-3</v>
      </c>
      <c r="F12" s="164">
        <f t="shared" si="1"/>
        <v>7.0668603509873824</v>
      </c>
      <c r="G12" s="1">
        <v>0</v>
      </c>
      <c r="H12" s="253">
        <v>0.39802114286580476</v>
      </c>
      <c r="I12" s="12">
        <f t="shared" si="2"/>
        <v>1.5626443518739146</v>
      </c>
      <c r="J12" s="252"/>
      <c r="K12" s="1" t="s">
        <v>370</v>
      </c>
      <c r="L12" s="268">
        <v>0.7474999999999884</v>
      </c>
    </row>
    <row r="13" spans="1:16" x14ac:dyDescent="0.25">
      <c r="A13" s="1" t="s">
        <v>355</v>
      </c>
      <c r="B13" s="1">
        <v>289.45999999999998</v>
      </c>
      <c r="C13" s="1">
        <v>0.23960000000000001</v>
      </c>
      <c r="D13" s="1">
        <v>0.2432</v>
      </c>
      <c r="E13" s="1">
        <f t="shared" si="0"/>
        <v>3.5999999999999921E-3</v>
      </c>
      <c r="F13" s="164">
        <f t="shared" si="1"/>
        <v>12.436951564983044</v>
      </c>
      <c r="G13" s="1">
        <v>0</v>
      </c>
      <c r="H13" s="253">
        <v>0.83265553196139408</v>
      </c>
      <c r="I13" s="12">
        <f t="shared" si="2"/>
        <v>2.8765823670330759</v>
      </c>
      <c r="J13" s="252"/>
      <c r="K13" s="1" t="s">
        <v>371</v>
      </c>
      <c r="L13" s="268">
        <v>0.74961111111109835</v>
      </c>
    </row>
    <row r="14" spans="1:16" x14ac:dyDescent="0.25">
      <c r="A14" s="1" t="s">
        <v>356</v>
      </c>
      <c r="B14" s="1">
        <v>345.87</v>
      </c>
      <c r="C14" s="1">
        <v>0.23680000000000001</v>
      </c>
      <c r="D14" s="1">
        <v>0.23960000000000001</v>
      </c>
      <c r="E14" s="1">
        <f t="shared" si="0"/>
        <v>2.7999999999999969E-3</v>
      </c>
      <c r="F14" s="164">
        <f t="shared" si="1"/>
        <v>8.095527221210272</v>
      </c>
      <c r="G14" s="1">
        <v>0</v>
      </c>
      <c r="H14" s="253">
        <v>0.76527716116168332</v>
      </c>
      <c r="I14" s="12">
        <f t="shared" si="2"/>
        <v>2.2126150321267626</v>
      </c>
      <c r="J14" s="252"/>
      <c r="K14" s="1" t="s">
        <v>372</v>
      </c>
      <c r="L14" s="268">
        <v>0.7517222222222083</v>
      </c>
    </row>
    <row r="15" spans="1:16" x14ac:dyDescent="0.25">
      <c r="A15" s="1" t="s">
        <v>357</v>
      </c>
      <c r="B15" s="1">
        <v>368.48</v>
      </c>
      <c r="C15" s="1">
        <v>0.2354</v>
      </c>
      <c r="D15" s="1">
        <v>0.2394</v>
      </c>
      <c r="E15" s="1">
        <f t="shared" si="0"/>
        <v>4.0000000000000036E-3</v>
      </c>
      <c r="F15" s="164">
        <f t="shared" si="1"/>
        <v>10.855405992184116</v>
      </c>
      <c r="G15" s="1">
        <v>0</v>
      </c>
      <c r="H15" s="253">
        <v>0.94608429262040739</v>
      </c>
      <c r="I15" s="12">
        <f t="shared" si="2"/>
        <v>2.5675322748057079</v>
      </c>
      <c r="J15" s="252"/>
      <c r="K15" s="1" t="s">
        <v>373</v>
      </c>
      <c r="L15" s="268">
        <v>0.75383333333331826</v>
      </c>
    </row>
    <row r="16" spans="1:16" x14ac:dyDescent="0.25">
      <c r="A16" s="1" t="s">
        <v>358</v>
      </c>
      <c r="B16" s="1">
        <v>344.90999999999997</v>
      </c>
      <c r="C16" s="1">
        <v>0.23910000000000001</v>
      </c>
      <c r="D16" s="1">
        <v>0.2412</v>
      </c>
      <c r="E16" s="1">
        <f t="shared" si="0"/>
        <v>2.0999999999999908E-3</v>
      </c>
      <c r="F16" s="164">
        <f t="shared" si="1"/>
        <v>6.0885448377837434</v>
      </c>
      <c r="G16" s="1">
        <v>0</v>
      </c>
      <c r="H16" s="253">
        <v>0.7695772781627146</v>
      </c>
      <c r="I16" s="12">
        <f>H16/B16*1000</f>
        <v>2.2312408401110861</v>
      </c>
      <c r="J16" s="252"/>
      <c r="K16" s="1" t="s">
        <v>374</v>
      </c>
      <c r="L16" s="268">
        <v>0.75594444444442821</v>
      </c>
    </row>
    <row r="17" spans="1:12" x14ac:dyDescent="0.25">
      <c r="A17" s="1" t="s">
        <v>359</v>
      </c>
      <c r="B17" s="1">
        <v>340.19</v>
      </c>
      <c r="C17" s="1">
        <v>0.24110000000000001</v>
      </c>
      <c r="D17" s="1">
        <v>0.245</v>
      </c>
      <c r="E17" s="1">
        <f t="shared" si="0"/>
        <v>3.8999999999999868E-3</v>
      </c>
      <c r="F17" s="164">
        <f>E17/B17*1000*1000</f>
        <v>11.464181780769531</v>
      </c>
      <c r="G17" s="1">
        <v>0</v>
      </c>
      <c r="H17" s="253">
        <v>0.94659764689089532</v>
      </c>
      <c r="I17" s="12">
        <f>H17/B17*1000</f>
        <v>2.7825557685143458</v>
      </c>
      <c r="J17" s="252"/>
      <c r="K17" s="1" t="s">
        <v>375</v>
      </c>
      <c r="L17" s="268">
        <v>0.75805555555553816</v>
      </c>
    </row>
    <row r="18" spans="1:12" ht="15.75" x14ac:dyDescent="0.25">
      <c r="A18" s="2" t="s">
        <v>377</v>
      </c>
      <c r="B18" s="2">
        <v>105.96</v>
      </c>
      <c r="C18" s="2">
        <v>0.23849999999999999</v>
      </c>
      <c r="D18" s="2">
        <v>0.25619999999999998</v>
      </c>
      <c r="E18" s="2">
        <f t="shared" si="0"/>
        <v>1.7699999999999994E-2</v>
      </c>
      <c r="F18" s="147">
        <f>E18/B18*1000*1000</f>
        <v>167.04416761041898</v>
      </c>
      <c r="G18" s="2">
        <v>97.69</v>
      </c>
      <c r="H18" s="14">
        <v>1.16286058489161</v>
      </c>
      <c r="I18" s="14">
        <f t="shared" ref="I18:I81" si="3">H18/B18*1000</f>
        <v>10.974524206225087</v>
      </c>
      <c r="J18" s="254">
        <v>2.64</v>
      </c>
      <c r="K18" s="255">
        <v>1</v>
      </c>
      <c r="L18" s="267">
        <v>0.49802083333333336</v>
      </c>
    </row>
    <row r="19" spans="1:12" ht="15.75" x14ac:dyDescent="0.25">
      <c r="A19" s="2" t="s">
        <v>378</v>
      </c>
      <c r="B19" s="2">
        <v>115.11</v>
      </c>
      <c r="C19" s="2">
        <v>0.2422</v>
      </c>
      <c r="D19" s="2">
        <v>0.25890000000000002</v>
      </c>
      <c r="E19" s="2">
        <f t="shared" si="0"/>
        <v>1.670000000000002E-2</v>
      </c>
      <c r="F19" s="147">
        <f t="shared" ref="F19:F81" si="4">E19/B19*1000*1000</f>
        <v>145.07862045000454</v>
      </c>
      <c r="G19" s="2">
        <v>347.61</v>
      </c>
      <c r="H19" s="14">
        <v>1.4193635179030728</v>
      </c>
      <c r="I19" s="14">
        <f t="shared" si="3"/>
        <v>12.330497071523524</v>
      </c>
      <c r="J19" s="254">
        <v>2.3839999999999999</v>
      </c>
      <c r="K19" s="255">
        <v>2</v>
      </c>
      <c r="L19" s="267">
        <v>0.49815972222222221</v>
      </c>
    </row>
    <row r="20" spans="1:12" ht="15.75" x14ac:dyDescent="0.25">
      <c r="A20" s="2" t="s">
        <v>379</v>
      </c>
      <c r="B20" s="2">
        <v>119.52</v>
      </c>
      <c r="C20" s="2">
        <v>0.24060000000000001</v>
      </c>
      <c r="D20" s="2">
        <v>0.24970000000000001</v>
      </c>
      <c r="E20" s="2">
        <f>D20-C20</f>
        <v>9.099999999999997E-3</v>
      </c>
      <c r="F20" s="147">
        <f t="shared" si="4"/>
        <v>76.137884872824614</v>
      </c>
      <c r="G20" s="2">
        <v>191.85</v>
      </c>
      <c r="H20" s="14"/>
      <c r="I20" s="14"/>
      <c r="J20" s="254">
        <v>2.2839999999999998</v>
      </c>
      <c r="K20" s="255">
        <v>3</v>
      </c>
      <c r="L20" s="267">
        <v>0.49828703703703708</v>
      </c>
    </row>
    <row r="21" spans="1:12" ht="15.75" x14ac:dyDescent="0.25">
      <c r="A21" s="2" t="s">
        <v>380</v>
      </c>
      <c r="B21" s="2">
        <v>118.83</v>
      </c>
      <c r="C21" s="2">
        <v>0.24049999999999999</v>
      </c>
      <c r="D21" s="2">
        <v>0.2462</v>
      </c>
      <c r="E21" s="2">
        <f t="shared" si="0"/>
        <v>5.7000000000000106E-3</v>
      </c>
      <c r="F21" s="147">
        <f t="shared" si="4"/>
        <v>47.967684928048556</v>
      </c>
      <c r="G21" s="2">
        <v>176.97</v>
      </c>
      <c r="H21" s="14">
        <v>0.59024632893028472</v>
      </c>
      <c r="I21" s="14">
        <f t="shared" si="3"/>
        <v>4.9671491115903788</v>
      </c>
      <c r="J21" s="254">
        <v>2.423</v>
      </c>
      <c r="K21" s="255">
        <v>4</v>
      </c>
      <c r="L21" s="267">
        <v>0.49840277777777775</v>
      </c>
    </row>
    <row r="22" spans="1:12" ht="15.75" x14ac:dyDescent="0.25">
      <c r="A22" s="2" t="s">
        <v>381</v>
      </c>
      <c r="B22" s="2">
        <v>120.31</v>
      </c>
      <c r="C22" s="2">
        <v>0.23930000000000001</v>
      </c>
      <c r="D22" s="2">
        <v>0.24740000000000001</v>
      </c>
      <c r="E22" s="2">
        <f t="shared" si="0"/>
        <v>8.0999999999999961E-3</v>
      </c>
      <c r="F22" s="147">
        <f t="shared" si="4"/>
        <v>67.326074308037519</v>
      </c>
      <c r="G22" s="2">
        <v>127.27</v>
      </c>
      <c r="H22" s="14">
        <v>1.069598429588535</v>
      </c>
      <c r="I22" s="14">
        <f t="shared" si="3"/>
        <v>8.8903535000293825</v>
      </c>
      <c r="J22" s="254">
        <v>2.488</v>
      </c>
      <c r="K22" s="255">
        <v>5</v>
      </c>
      <c r="L22" s="267">
        <v>0.49853009259259262</v>
      </c>
    </row>
    <row r="23" spans="1:12" ht="15.75" x14ac:dyDescent="0.25">
      <c r="A23" s="2" t="s">
        <v>382</v>
      </c>
      <c r="B23" s="2">
        <v>120.78</v>
      </c>
      <c r="C23" s="2">
        <v>0.2394</v>
      </c>
      <c r="D23" s="2">
        <v>0.24679999999999999</v>
      </c>
      <c r="E23" s="2">
        <f t="shared" si="0"/>
        <v>7.3999999999999899E-3</v>
      </c>
      <c r="F23" s="147">
        <f t="shared" si="4"/>
        <v>61.268421924159554</v>
      </c>
      <c r="G23" s="2">
        <v>83.04</v>
      </c>
      <c r="H23" s="14"/>
      <c r="I23" s="14"/>
      <c r="J23" s="254">
        <v>2.4729999999999999</v>
      </c>
      <c r="K23" s="255">
        <v>6</v>
      </c>
      <c r="L23" s="267">
        <v>0.49865740740740744</v>
      </c>
    </row>
    <row r="24" spans="1:12" ht="15.75" x14ac:dyDescent="0.25">
      <c r="A24" s="2" t="s">
        <v>383</v>
      </c>
      <c r="B24" s="2">
        <v>120.15</v>
      </c>
      <c r="C24" s="2">
        <v>0.24160000000000001</v>
      </c>
      <c r="D24" s="2">
        <v>0.2465</v>
      </c>
      <c r="E24" s="2">
        <f t="shared" si="0"/>
        <v>4.8999999999999877E-3</v>
      </c>
      <c r="F24" s="147">
        <f t="shared" si="4"/>
        <v>40.782355389096857</v>
      </c>
      <c r="G24" s="2">
        <v>68.69</v>
      </c>
      <c r="H24" s="14"/>
      <c r="I24" s="14"/>
      <c r="J24" s="254">
        <v>2.3140000000000001</v>
      </c>
      <c r="K24" s="255">
        <v>7</v>
      </c>
      <c r="L24" s="267">
        <v>0.49877314814814816</v>
      </c>
    </row>
    <row r="25" spans="1:12" ht="15.75" x14ac:dyDescent="0.25">
      <c r="A25" s="2" t="s">
        <v>384</v>
      </c>
      <c r="B25" s="2">
        <v>122.26</v>
      </c>
      <c r="C25" s="2">
        <v>0.24149999999999999</v>
      </c>
      <c r="D25" s="2">
        <v>0.24679999999999999</v>
      </c>
      <c r="E25" s="2">
        <f t="shared" si="0"/>
        <v>5.2999999999999992E-3</v>
      </c>
      <c r="F25" s="147">
        <f t="shared" si="4"/>
        <v>43.350237199411083</v>
      </c>
      <c r="G25" s="2">
        <v>62.04</v>
      </c>
      <c r="H25" s="14"/>
      <c r="I25" s="14"/>
      <c r="J25" s="254">
        <v>2.4020000000000001</v>
      </c>
      <c r="K25" s="255">
        <v>8</v>
      </c>
      <c r="L25" s="267">
        <v>0.49890046296296298</v>
      </c>
    </row>
    <row r="26" spans="1:12" ht="15.75" x14ac:dyDescent="0.25">
      <c r="A26" s="2" t="s">
        <v>385</v>
      </c>
      <c r="B26" s="2">
        <v>120.51</v>
      </c>
      <c r="C26" s="2">
        <v>0.2387</v>
      </c>
      <c r="D26" s="2">
        <v>0.2432</v>
      </c>
      <c r="E26" s="2">
        <f t="shared" si="0"/>
        <v>4.500000000000004E-3</v>
      </c>
      <c r="F26" s="147">
        <f t="shared" si="4"/>
        <v>37.341299477221838</v>
      </c>
      <c r="G26" s="2">
        <v>61.07</v>
      </c>
      <c r="H26" s="14"/>
      <c r="I26" s="14"/>
      <c r="J26" s="254">
        <v>2.278</v>
      </c>
      <c r="K26" s="255">
        <v>9</v>
      </c>
      <c r="L26" s="267">
        <v>0.4990046296296296</v>
      </c>
    </row>
    <row r="27" spans="1:12" ht="15.75" x14ac:dyDescent="0.25">
      <c r="A27" s="2" t="s">
        <v>386</v>
      </c>
      <c r="B27" s="2">
        <v>121.55</v>
      </c>
      <c r="C27" s="2">
        <v>0.2397</v>
      </c>
      <c r="D27" s="2">
        <v>0.2424</v>
      </c>
      <c r="E27" s="2">
        <f t="shared" si="0"/>
        <v>2.7000000000000079E-3</v>
      </c>
      <c r="F27" s="147">
        <f t="shared" si="4"/>
        <v>22.213081036610511</v>
      </c>
      <c r="G27" s="2">
        <v>48.37</v>
      </c>
      <c r="H27" s="14"/>
      <c r="I27" s="14"/>
      <c r="J27" s="254">
        <v>2.2730000000000001</v>
      </c>
      <c r="K27" s="255">
        <v>10</v>
      </c>
      <c r="L27" s="267">
        <v>0.49912037037037038</v>
      </c>
    </row>
    <row r="28" spans="1:12" ht="15.75" x14ac:dyDescent="0.25">
      <c r="A28" s="2" t="s">
        <v>387</v>
      </c>
      <c r="B28" s="2">
        <v>120.93</v>
      </c>
      <c r="C28" s="2">
        <v>0.24179999999999999</v>
      </c>
      <c r="D28" s="2">
        <v>0.24429999999999999</v>
      </c>
      <c r="E28" s="2">
        <f t="shared" si="0"/>
        <v>2.5000000000000022E-3</v>
      </c>
      <c r="F28" s="147">
        <f t="shared" si="4"/>
        <v>20.673116679070553</v>
      </c>
      <c r="G28" s="2">
        <v>29.69</v>
      </c>
      <c r="H28" s="14"/>
      <c r="I28" s="14"/>
      <c r="J28" s="254">
        <v>2.3010000000000002</v>
      </c>
      <c r="K28" s="255">
        <v>11</v>
      </c>
      <c r="L28" s="267">
        <v>0.49923611111111116</v>
      </c>
    </row>
    <row r="29" spans="1:12" ht="15.75" x14ac:dyDescent="0.25">
      <c r="A29" s="2" t="s">
        <v>388</v>
      </c>
      <c r="B29" s="2">
        <v>119.54</v>
      </c>
      <c r="C29" s="2">
        <v>0.23039999999999999</v>
      </c>
      <c r="D29" s="2">
        <v>0.2319</v>
      </c>
      <c r="E29" s="2">
        <f t="shared" si="0"/>
        <v>1.5000000000000013E-3</v>
      </c>
      <c r="F29" s="147">
        <f t="shared" si="4"/>
        <v>12.548101054040499</v>
      </c>
      <c r="G29" s="2">
        <v>28.69</v>
      </c>
      <c r="H29" s="266">
        <v>0.38750065033160025</v>
      </c>
      <c r="I29" s="14">
        <f t="shared" si="3"/>
        <v>3.2415982125782183</v>
      </c>
      <c r="J29" s="254">
        <v>2.3130000000000002</v>
      </c>
      <c r="K29" s="255">
        <v>12</v>
      </c>
      <c r="L29" s="267">
        <v>0.49935185185185182</v>
      </c>
    </row>
    <row r="30" spans="1:12" ht="15.75" x14ac:dyDescent="0.25">
      <c r="A30" s="2" t="s">
        <v>389</v>
      </c>
      <c r="B30" s="2">
        <v>121.19</v>
      </c>
      <c r="C30" s="2">
        <v>0.2356</v>
      </c>
      <c r="D30" s="2">
        <v>0.2369</v>
      </c>
      <c r="E30" s="2">
        <f t="shared" si="0"/>
        <v>1.2999999999999956E-3</v>
      </c>
      <c r="F30" s="147">
        <f t="shared" si="4"/>
        <v>10.726957669774698</v>
      </c>
      <c r="G30" s="2">
        <v>22.43</v>
      </c>
      <c r="H30" s="14"/>
      <c r="I30" s="14"/>
      <c r="J30" s="254">
        <v>2.3079999999999998</v>
      </c>
      <c r="K30" s="255">
        <v>13</v>
      </c>
      <c r="L30" s="267">
        <v>0.49945601851851856</v>
      </c>
    </row>
    <row r="31" spans="1:12" ht="15.75" x14ac:dyDescent="0.25">
      <c r="A31" s="2" t="s">
        <v>390</v>
      </c>
      <c r="B31" s="2">
        <v>121.5</v>
      </c>
      <c r="C31" s="2">
        <v>0.23749999999999999</v>
      </c>
      <c r="D31" s="2">
        <v>0.23830000000000001</v>
      </c>
      <c r="E31" s="2">
        <f t="shared" si="0"/>
        <v>8.0000000000002292E-4</v>
      </c>
      <c r="F31" s="147">
        <f t="shared" si="4"/>
        <v>6.584362139917884</v>
      </c>
      <c r="G31" s="2">
        <v>0</v>
      </c>
      <c r="H31" s="14"/>
      <c r="I31" s="14"/>
      <c r="J31" s="254">
        <v>2.214</v>
      </c>
      <c r="K31" s="255">
        <v>14</v>
      </c>
      <c r="L31" s="267">
        <v>0.49958333333333332</v>
      </c>
    </row>
    <row r="32" spans="1:12" ht="15.75" x14ac:dyDescent="0.25">
      <c r="A32" s="6" t="s">
        <v>391</v>
      </c>
      <c r="B32" s="6">
        <v>122.7</v>
      </c>
      <c r="C32" s="6">
        <v>0.23180000000000001</v>
      </c>
      <c r="D32" s="6">
        <v>0.2346</v>
      </c>
      <c r="E32" s="6">
        <f t="shared" si="0"/>
        <v>2.7999999999999969E-3</v>
      </c>
      <c r="F32" s="192">
        <f t="shared" si="4"/>
        <v>22.819885900570469</v>
      </c>
      <c r="G32" s="6">
        <v>31.7</v>
      </c>
      <c r="H32" s="264">
        <v>0.40833207437825553</v>
      </c>
      <c r="I32" s="7">
        <f t="shared" si="3"/>
        <v>3.3278897667339491</v>
      </c>
      <c r="J32" s="256">
        <v>2.718</v>
      </c>
      <c r="K32" s="194">
        <v>15</v>
      </c>
      <c r="L32" s="269">
        <v>7.8923611111111111E-2</v>
      </c>
    </row>
    <row r="33" spans="1:12" ht="15.75" x14ac:dyDescent="0.25">
      <c r="A33" s="6" t="s">
        <v>392</v>
      </c>
      <c r="B33" s="6">
        <v>121.56</v>
      </c>
      <c r="C33" s="6">
        <v>0.2399</v>
      </c>
      <c r="D33" s="6">
        <v>0.248</v>
      </c>
      <c r="E33" s="6">
        <f t="shared" si="0"/>
        <v>8.0999999999999961E-3</v>
      </c>
      <c r="F33" s="192">
        <f t="shared" si="4"/>
        <v>66.633761105626817</v>
      </c>
      <c r="G33" s="6">
        <v>93.36</v>
      </c>
      <c r="H33" s="264">
        <v>0.80993612318169206</v>
      </c>
      <c r="I33" s="7">
        <f t="shared" si="3"/>
        <v>6.6628506349267198</v>
      </c>
      <c r="J33" s="256">
        <v>2.6819999999999999</v>
      </c>
      <c r="K33" s="194">
        <v>16</v>
      </c>
      <c r="L33" s="269">
        <v>7.9050925925925927E-2</v>
      </c>
    </row>
    <row r="34" spans="1:12" ht="15.75" x14ac:dyDescent="0.25">
      <c r="A34" s="6" t="s">
        <v>393</v>
      </c>
      <c r="B34" s="6">
        <v>122.43</v>
      </c>
      <c r="C34" s="6">
        <v>0.23810000000000001</v>
      </c>
      <c r="D34" s="6">
        <v>0.25800000000000001</v>
      </c>
      <c r="E34" s="6">
        <f t="shared" si="0"/>
        <v>1.9900000000000001E-2</v>
      </c>
      <c r="F34" s="192">
        <f t="shared" si="4"/>
        <v>162.54186065506821</v>
      </c>
      <c r="G34" s="6">
        <v>229.76</v>
      </c>
      <c r="H34" s="264">
        <v>1.474205448106104</v>
      </c>
      <c r="I34" s="7">
        <f t="shared" si="3"/>
        <v>12.041210880553001</v>
      </c>
      <c r="J34" s="256">
        <v>2.6440000000000001</v>
      </c>
      <c r="K34" s="194">
        <v>17</v>
      </c>
      <c r="L34" s="269">
        <v>7.9166666666666663E-2</v>
      </c>
    </row>
    <row r="35" spans="1:12" ht="15.75" x14ac:dyDescent="0.25">
      <c r="A35" s="6" t="s">
        <v>394</v>
      </c>
      <c r="B35" s="6">
        <v>122.82</v>
      </c>
      <c r="C35" s="6">
        <v>0.23599999999999999</v>
      </c>
      <c r="D35" s="6">
        <v>0.247</v>
      </c>
      <c r="E35" s="6">
        <f t="shared" si="0"/>
        <v>1.100000000000001E-2</v>
      </c>
      <c r="F35" s="192">
        <f t="shared" si="4"/>
        <v>89.561960592737421</v>
      </c>
      <c r="G35" s="6">
        <v>127.13</v>
      </c>
      <c r="H35" s="7"/>
      <c r="I35" s="7"/>
      <c r="J35" s="256">
        <v>2.7519999999999998</v>
      </c>
      <c r="K35" s="194">
        <v>18</v>
      </c>
      <c r="L35" s="269">
        <v>7.9282407407407399E-2</v>
      </c>
    </row>
    <row r="36" spans="1:12" ht="15.75" x14ac:dyDescent="0.25">
      <c r="A36" s="6" t="s">
        <v>395</v>
      </c>
      <c r="B36" s="6">
        <v>121.09</v>
      </c>
      <c r="C36" s="6">
        <v>0.2417</v>
      </c>
      <c r="D36" s="6">
        <v>0.25230000000000002</v>
      </c>
      <c r="E36" s="6">
        <f t="shared" si="0"/>
        <v>1.0600000000000026E-2</v>
      </c>
      <c r="F36" s="192">
        <f t="shared" si="4"/>
        <v>87.538194731191894</v>
      </c>
      <c r="G36" s="6">
        <v>187.73</v>
      </c>
      <c r="H36" s="264">
        <v>0.97576711126086391</v>
      </c>
      <c r="I36" s="7">
        <f t="shared" si="3"/>
        <v>8.058197301683574</v>
      </c>
      <c r="J36" s="256">
        <v>2.8079999999999998</v>
      </c>
      <c r="K36" s="194">
        <v>19</v>
      </c>
      <c r="L36" s="269">
        <v>7.9398148148148148E-2</v>
      </c>
    </row>
    <row r="37" spans="1:12" ht="15.75" x14ac:dyDescent="0.25">
      <c r="A37" s="6" t="s">
        <v>396</v>
      </c>
      <c r="B37" s="6">
        <v>120.25</v>
      </c>
      <c r="C37" s="6">
        <v>0.23150000000000001</v>
      </c>
      <c r="D37" s="6">
        <v>0.23960000000000001</v>
      </c>
      <c r="E37" s="6">
        <f t="shared" si="0"/>
        <v>8.0999999999999961E-3</v>
      </c>
      <c r="F37" s="192">
        <f t="shared" si="4"/>
        <v>67.359667359667327</v>
      </c>
      <c r="G37" s="6">
        <v>112.47</v>
      </c>
      <c r="H37" s="7"/>
      <c r="I37" s="7"/>
      <c r="J37" s="256">
        <v>3.0089999999999999</v>
      </c>
      <c r="K37" s="194">
        <v>20</v>
      </c>
      <c r="L37" s="269">
        <v>7.9513888888888884E-2</v>
      </c>
    </row>
    <row r="38" spans="1:12" ht="15.75" x14ac:dyDescent="0.25">
      <c r="A38" s="6" t="s">
        <v>397</v>
      </c>
      <c r="B38" s="6">
        <v>121.68</v>
      </c>
      <c r="C38" s="6">
        <v>0.2359</v>
      </c>
      <c r="D38" s="6">
        <v>0.24340000000000001</v>
      </c>
      <c r="E38" s="6">
        <f t="shared" si="0"/>
        <v>7.5000000000000067E-3</v>
      </c>
      <c r="F38" s="192">
        <f t="shared" si="4"/>
        <v>61.637080867850159</v>
      </c>
      <c r="G38" s="6">
        <v>84.69</v>
      </c>
      <c r="H38" s="7"/>
      <c r="I38" s="7"/>
      <c r="J38" s="256">
        <v>2.7839999999999998</v>
      </c>
      <c r="K38" s="194">
        <v>21</v>
      </c>
      <c r="L38" s="269">
        <v>7.962962962962962E-2</v>
      </c>
    </row>
    <row r="39" spans="1:12" ht="15.75" x14ac:dyDescent="0.25">
      <c r="A39" s="6" t="s">
        <v>398</v>
      </c>
      <c r="B39" s="6">
        <v>122.23</v>
      </c>
      <c r="C39" s="6">
        <v>0.23649999999999999</v>
      </c>
      <c r="D39" s="6">
        <v>0.24110000000000001</v>
      </c>
      <c r="E39" s="6">
        <f t="shared" si="0"/>
        <v>4.6000000000000207E-3</v>
      </c>
      <c r="F39" s="192">
        <f t="shared" si="4"/>
        <v>37.633968747443511</v>
      </c>
      <c r="G39" s="6">
        <v>97.42</v>
      </c>
      <c r="H39" s="264">
        <v>0.61806168943374584</v>
      </c>
      <c r="I39" s="7">
        <f t="shared" si="3"/>
        <v>5.0565465878568743</v>
      </c>
      <c r="J39" s="256">
        <v>2.7559999999999998</v>
      </c>
      <c r="K39" s="194">
        <v>22</v>
      </c>
      <c r="L39" s="269">
        <v>7.9745370370370369E-2</v>
      </c>
    </row>
    <row r="40" spans="1:12" ht="15.75" x14ac:dyDescent="0.25">
      <c r="A40" s="6" t="s">
        <v>399</v>
      </c>
      <c r="B40" s="6">
        <v>120.76</v>
      </c>
      <c r="C40" s="6">
        <v>0.2407</v>
      </c>
      <c r="D40" s="6">
        <v>0.2467</v>
      </c>
      <c r="E40" s="6">
        <f t="shared" si="0"/>
        <v>6.0000000000000053E-3</v>
      </c>
      <c r="F40" s="192">
        <f t="shared" si="4"/>
        <v>49.685326266975864</v>
      </c>
      <c r="G40" s="6">
        <v>78.81</v>
      </c>
      <c r="H40" s="17">
        <v>0.45121104975961124</v>
      </c>
      <c r="I40" s="7">
        <f t="shared" si="3"/>
        <v>3.7364280370951577</v>
      </c>
      <c r="J40" s="256">
        <v>2.8039999999999998</v>
      </c>
      <c r="K40" s="194">
        <v>23</v>
      </c>
      <c r="L40" s="269">
        <v>7.9861111111111105E-2</v>
      </c>
    </row>
    <row r="41" spans="1:12" ht="15.75" x14ac:dyDescent="0.25">
      <c r="A41" s="6" t="s">
        <v>400</v>
      </c>
      <c r="B41" s="6">
        <v>121.31</v>
      </c>
      <c r="C41" s="6">
        <v>0.2402</v>
      </c>
      <c r="D41" s="6">
        <v>0.24390000000000001</v>
      </c>
      <c r="E41" s="6">
        <f t="shared" si="0"/>
        <v>3.7000000000000088E-3</v>
      </c>
      <c r="F41" s="192">
        <f t="shared" si="4"/>
        <v>30.50037095045758</v>
      </c>
      <c r="G41" s="6">
        <v>72.819999999999993</v>
      </c>
      <c r="H41" s="7"/>
      <c r="I41" s="7"/>
      <c r="J41" s="256">
        <v>2.8039999999999998</v>
      </c>
      <c r="K41" s="194">
        <v>24</v>
      </c>
      <c r="L41" s="269">
        <v>7.9976851851851841E-2</v>
      </c>
    </row>
    <row r="42" spans="1:12" ht="15.75" x14ac:dyDescent="0.25">
      <c r="A42" s="6" t="s">
        <v>401</v>
      </c>
      <c r="B42" s="6">
        <v>121.47</v>
      </c>
      <c r="C42" s="6">
        <v>0.2334</v>
      </c>
      <c r="D42" s="6">
        <v>0.23680000000000001</v>
      </c>
      <c r="E42" s="6">
        <f t="shared" si="0"/>
        <v>3.4000000000000141E-3</v>
      </c>
      <c r="F42" s="192">
        <f t="shared" si="4"/>
        <v>27.990450316950803</v>
      </c>
      <c r="G42" s="6">
        <v>55.81</v>
      </c>
      <c r="H42" s="7"/>
      <c r="I42" s="7"/>
      <c r="J42" s="256">
        <v>2.8639999999999999</v>
      </c>
      <c r="K42" s="194">
        <v>25</v>
      </c>
      <c r="L42" s="269">
        <v>8.009259259259259E-2</v>
      </c>
    </row>
    <row r="43" spans="1:12" ht="15.75" x14ac:dyDescent="0.25">
      <c r="A43" s="6" t="s">
        <v>402</v>
      </c>
      <c r="B43" s="6">
        <v>120.68</v>
      </c>
      <c r="C43" s="6">
        <v>0.2374</v>
      </c>
      <c r="D43" s="6">
        <v>0.2394</v>
      </c>
      <c r="E43" s="6">
        <f t="shared" si="0"/>
        <v>2.0000000000000018E-3</v>
      </c>
      <c r="F43" s="192">
        <f t="shared" si="4"/>
        <v>16.572754391779927</v>
      </c>
      <c r="G43" s="6">
        <v>45.61</v>
      </c>
      <c r="H43" s="17">
        <v>0.33445789582873969</v>
      </c>
      <c r="I43" s="7">
        <f t="shared" si="3"/>
        <v>2.7714442809806075</v>
      </c>
      <c r="J43" s="256">
        <v>2.76</v>
      </c>
      <c r="K43" s="194">
        <v>26</v>
      </c>
      <c r="L43" s="269">
        <v>8.020833333333334E-2</v>
      </c>
    </row>
    <row r="44" spans="1:12" ht="15.75" x14ac:dyDescent="0.25">
      <c r="A44" s="6" t="s">
        <v>403</v>
      </c>
      <c r="B44" s="6">
        <v>119.77</v>
      </c>
      <c r="C44" s="6">
        <v>0.2356</v>
      </c>
      <c r="D44" s="6">
        <v>0.23780000000000001</v>
      </c>
      <c r="E44" s="6">
        <f t="shared" si="0"/>
        <v>2.2000000000000075E-3</v>
      </c>
      <c r="F44" s="192">
        <f t="shared" si="4"/>
        <v>18.36853970109383</v>
      </c>
      <c r="G44" s="6">
        <v>47.12</v>
      </c>
      <c r="H44" s="7"/>
      <c r="I44" s="7"/>
      <c r="J44" s="256">
        <v>2.7690000000000001</v>
      </c>
      <c r="K44" s="194">
        <v>27</v>
      </c>
      <c r="L44" s="269">
        <v>8.0324074074074062E-2</v>
      </c>
    </row>
    <row r="45" spans="1:12" ht="15.75" x14ac:dyDescent="0.25">
      <c r="A45" s="6" t="s">
        <v>404</v>
      </c>
      <c r="B45" s="6">
        <v>123.87</v>
      </c>
      <c r="C45" s="6">
        <v>0.2414</v>
      </c>
      <c r="D45" s="6">
        <v>0.2422</v>
      </c>
      <c r="E45" s="6">
        <f t="shared" si="0"/>
        <v>7.9999999999999516E-4</v>
      </c>
      <c r="F45" s="192">
        <f t="shared" si="4"/>
        <v>6.4583837894566489</v>
      </c>
      <c r="G45" s="6">
        <v>34.58</v>
      </c>
      <c r="H45" s="7"/>
      <c r="I45" s="7"/>
      <c r="J45" s="256">
        <v>2.7410000000000001</v>
      </c>
      <c r="K45" s="194">
        <v>28</v>
      </c>
      <c r="L45" s="269">
        <v>8.0439814814814811E-2</v>
      </c>
    </row>
    <row r="46" spans="1:12" ht="15.75" x14ac:dyDescent="0.25">
      <c r="A46" s="6" t="s">
        <v>405</v>
      </c>
      <c r="B46" s="6">
        <v>123.22</v>
      </c>
      <c r="C46" s="6">
        <v>0.23619999999999999</v>
      </c>
      <c r="D46" s="6">
        <v>0.23760000000000001</v>
      </c>
      <c r="E46" s="6">
        <f t="shared" si="0"/>
        <v>1.4000000000000123E-3</v>
      </c>
      <c r="F46" s="192">
        <f t="shared" si="4"/>
        <v>11.361791916896708</v>
      </c>
      <c r="G46" s="6">
        <v>34.630000000000003</v>
      </c>
      <c r="H46" s="7"/>
      <c r="I46" s="7"/>
      <c r="J46" s="256">
        <v>2.7519999999999998</v>
      </c>
      <c r="K46" s="194">
        <v>29</v>
      </c>
      <c r="L46" s="269">
        <v>8.0555555555555561E-2</v>
      </c>
    </row>
    <row r="47" spans="1:12" ht="15.75" x14ac:dyDescent="0.25">
      <c r="A47" s="6" t="s">
        <v>406</v>
      </c>
      <c r="B47" s="6">
        <v>121.72</v>
      </c>
      <c r="C47" s="6">
        <v>0.2379</v>
      </c>
      <c r="D47" s="6">
        <v>0.23930000000000001</v>
      </c>
      <c r="E47" s="6">
        <f t="shared" si="0"/>
        <v>1.4000000000000123E-3</v>
      </c>
      <c r="F47" s="192">
        <f t="shared" si="4"/>
        <v>11.501807426881468</v>
      </c>
      <c r="G47" s="6">
        <v>36.229999999999997</v>
      </c>
      <c r="H47" s="7"/>
      <c r="I47" s="7"/>
      <c r="J47" s="256">
        <v>2.7389999999999999</v>
      </c>
      <c r="K47" s="194">
        <v>30</v>
      </c>
      <c r="L47" s="269">
        <v>8.0671296296296297E-2</v>
      </c>
    </row>
    <row r="48" spans="1:12" ht="15.75" x14ac:dyDescent="0.25">
      <c r="A48" s="257" t="s">
        <v>407</v>
      </c>
      <c r="B48" s="174">
        <v>120.76</v>
      </c>
      <c r="C48" s="174">
        <v>0.22750000000000001</v>
      </c>
      <c r="D48" s="174">
        <v>0.23380000000000001</v>
      </c>
      <c r="E48" s="174">
        <f t="shared" si="0"/>
        <v>6.3E-3</v>
      </c>
      <c r="F48" s="175">
        <f t="shared" si="4"/>
        <v>52.169592580324611</v>
      </c>
      <c r="G48" s="4">
        <v>64.61</v>
      </c>
      <c r="H48" s="259">
        <v>0.5549197958090818</v>
      </c>
      <c r="I48" s="10">
        <f t="shared" si="3"/>
        <v>4.595228517796305</v>
      </c>
      <c r="J48" s="183">
        <v>2.8980000000000001</v>
      </c>
      <c r="K48" s="184">
        <v>31</v>
      </c>
      <c r="L48" s="270">
        <v>0.10474537037037036</v>
      </c>
    </row>
    <row r="49" spans="1:12" ht="15.75" x14ac:dyDescent="0.25">
      <c r="A49" s="258" t="s">
        <v>408</v>
      </c>
      <c r="B49" s="4">
        <v>119.65</v>
      </c>
      <c r="C49" s="4">
        <v>0.2402</v>
      </c>
      <c r="D49" s="4">
        <v>0.2611</v>
      </c>
      <c r="E49" s="4">
        <f t="shared" si="0"/>
        <v>2.0900000000000002E-2</v>
      </c>
      <c r="F49" s="181">
        <f t="shared" si="4"/>
        <v>174.67613873798578</v>
      </c>
      <c r="G49" s="4">
        <v>275.95999999999998</v>
      </c>
      <c r="H49" s="259">
        <v>1.3077917679488211</v>
      </c>
      <c r="I49" s="10">
        <f t="shared" si="3"/>
        <v>10.930144320508324</v>
      </c>
      <c r="J49" s="183">
        <v>2.7160000000000002</v>
      </c>
      <c r="K49" s="184">
        <v>32</v>
      </c>
      <c r="L49" s="270">
        <v>0.10486111111111111</v>
      </c>
    </row>
    <row r="50" spans="1:12" ht="15.75" x14ac:dyDescent="0.25">
      <c r="A50" s="258" t="s">
        <v>409</v>
      </c>
      <c r="B50" s="4">
        <v>118.96</v>
      </c>
      <c r="C50" s="4">
        <v>0.23899999999999999</v>
      </c>
      <c r="D50" s="4">
        <v>0.24829999999999999</v>
      </c>
      <c r="E50" s="4">
        <f t="shared" si="0"/>
        <v>9.3000000000000027E-3</v>
      </c>
      <c r="F50" s="181">
        <f t="shared" si="4"/>
        <v>78.177538668460016</v>
      </c>
      <c r="G50" s="4">
        <v>159.29</v>
      </c>
      <c r="H50" s="10"/>
      <c r="I50" s="10"/>
      <c r="J50" s="183">
        <v>2.7010000000000001</v>
      </c>
      <c r="K50" s="184">
        <v>33</v>
      </c>
      <c r="L50" s="270">
        <v>0.10497685185185185</v>
      </c>
    </row>
    <row r="51" spans="1:12" ht="15.75" x14ac:dyDescent="0.25">
      <c r="A51" s="258" t="s">
        <v>410</v>
      </c>
      <c r="B51" s="4">
        <v>73.569999999999993</v>
      </c>
      <c r="C51" s="4">
        <v>0.23480000000000001</v>
      </c>
      <c r="D51" s="4">
        <v>0.24030000000000001</v>
      </c>
      <c r="E51" s="4">
        <f t="shared" si="0"/>
        <v>5.5000000000000049E-3</v>
      </c>
      <c r="F51" s="181">
        <f t="shared" si="4"/>
        <v>74.758733179285102</v>
      </c>
      <c r="G51" s="4">
        <v>121.26</v>
      </c>
      <c r="H51" s="10">
        <v>0.66058478213085325</v>
      </c>
      <c r="I51" s="10">
        <f t="shared" si="3"/>
        <v>8.9789966308393812</v>
      </c>
      <c r="J51" s="183">
        <v>2.7810000000000001</v>
      </c>
      <c r="K51" s="184">
        <v>34</v>
      </c>
      <c r="L51" s="270">
        <v>0.10509259259259258</v>
      </c>
    </row>
    <row r="52" spans="1:12" ht="15.75" x14ac:dyDescent="0.25">
      <c r="A52" s="258" t="s">
        <v>411</v>
      </c>
      <c r="B52" s="4">
        <v>122.7</v>
      </c>
      <c r="C52" s="4">
        <v>0.2379</v>
      </c>
      <c r="D52" s="4">
        <v>0.24440000000000001</v>
      </c>
      <c r="E52" s="4">
        <f t="shared" si="0"/>
        <v>6.5000000000000058E-3</v>
      </c>
      <c r="F52" s="181">
        <f t="shared" si="4"/>
        <v>52.974735126324418</v>
      </c>
      <c r="G52" s="4">
        <v>90.81</v>
      </c>
      <c r="H52" s="10"/>
      <c r="I52" s="10"/>
      <c r="J52" s="183">
        <v>2.831</v>
      </c>
      <c r="K52" s="184">
        <v>35</v>
      </c>
      <c r="L52" s="270">
        <v>0.10520833333333333</v>
      </c>
    </row>
    <row r="53" spans="1:12" ht="15.75" x14ac:dyDescent="0.25">
      <c r="A53" s="258" t="s">
        <v>412</v>
      </c>
      <c r="B53" s="4">
        <v>121.94</v>
      </c>
      <c r="C53" s="4">
        <v>0.24149999999999999</v>
      </c>
      <c r="D53" s="4">
        <v>0.24640000000000001</v>
      </c>
      <c r="E53" s="4">
        <f t="shared" si="0"/>
        <v>4.9000000000000155E-3</v>
      </c>
      <c r="F53" s="181">
        <f t="shared" si="4"/>
        <v>40.183696900114938</v>
      </c>
      <c r="G53" s="4">
        <v>71.319999999999993</v>
      </c>
      <c r="H53" s="10"/>
      <c r="I53" s="10"/>
      <c r="J53" s="183">
        <v>2.7629999999999999</v>
      </c>
      <c r="K53" s="184">
        <v>36</v>
      </c>
      <c r="L53" s="270">
        <v>0.10532407407407407</v>
      </c>
    </row>
    <row r="54" spans="1:12" ht="15.75" x14ac:dyDescent="0.25">
      <c r="A54" s="258" t="s">
        <v>413</v>
      </c>
      <c r="B54" s="4">
        <v>119.82</v>
      </c>
      <c r="C54" s="4">
        <v>0.23580000000000001</v>
      </c>
      <c r="D54" s="4">
        <v>0.24099999999999999</v>
      </c>
      <c r="E54" s="4">
        <f t="shared" si="0"/>
        <v>5.1999999999999824E-3</v>
      </c>
      <c r="F54" s="181">
        <f t="shared" si="4"/>
        <v>43.398430979802896</v>
      </c>
      <c r="G54" s="4">
        <v>77.03</v>
      </c>
      <c r="H54" s="10">
        <v>0.55110306598027126</v>
      </c>
      <c r="I54" s="10">
        <f t="shared" si="3"/>
        <v>4.599424686865893</v>
      </c>
      <c r="J54" s="183">
        <v>2.8140000000000001</v>
      </c>
      <c r="K54" s="184">
        <v>37</v>
      </c>
      <c r="L54" s="270">
        <v>0.10543981481481481</v>
      </c>
    </row>
    <row r="55" spans="1:12" ht="15.75" x14ac:dyDescent="0.25">
      <c r="A55" s="258" t="s">
        <v>414</v>
      </c>
      <c r="B55" s="4">
        <v>121.55</v>
      </c>
      <c r="C55" s="4">
        <v>0.23780000000000001</v>
      </c>
      <c r="D55" s="4">
        <v>0.2472</v>
      </c>
      <c r="E55" s="4">
        <f t="shared" si="0"/>
        <v>9.3999999999999917E-3</v>
      </c>
      <c r="F55" s="181">
        <f t="shared" si="4"/>
        <v>77.334430275606678</v>
      </c>
      <c r="G55" s="4">
        <v>143.56</v>
      </c>
      <c r="H55" s="10"/>
      <c r="I55" s="10"/>
      <c r="J55" s="183">
        <v>2.7469999999999999</v>
      </c>
      <c r="K55" s="184">
        <v>38</v>
      </c>
      <c r="L55" s="270">
        <v>0.10555555555555556</v>
      </c>
    </row>
    <row r="56" spans="1:12" ht="15.75" x14ac:dyDescent="0.25">
      <c r="A56" s="258" t="s">
        <v>415</v>
      </c>
      <c r="B56" s="4">
        <v>121.17</v>
      </c>
      <c r="C56" s="4">
        <v>0.2399</v>
      </c>
      <c r="D56" s="4">
        <v>0.247</v>
      </c>
      <c r="E56" s="4">
        <f t="shared" si="0"/>
        <v>7.0999999999999952E-3</v>
      </c>
      <c r="F56" s="181">
        <f t="shared" si="4"/>
        <v>58.595361888256129</v>
      </c>
      <c r="G56" s="4">
        <v>97.7</v>
      </c>
      <c r="H56" s="10"/>
      <c r="I56" s="10"/>
      <c r="J56" s="183">
        <v>2.7410000000000001</v>
      </c>
      <c r="K56" s="184">
        <v>39</v>
      </c>
      <c r="L56" s="270">
        <v>0.10567129629629629</v>
      </c>
    </row>
    <row r="57" spans="1:12" ht="15.75" x14ac:dyDescent="0.25">
      <c r="A57" s="258" t="s">
        <v>416</v>
      </c>
      <c r="B57" s="4">
        <v>121.7</v>
      </c>
      <c r="C57" s="4">
        <v>0.23400000000000001</v>
      </c>
      <c r="D57" s="4">
        <v>0.2369</v>
      </c>
      <c r="E57" s="4">
        <f t="shared" si="0"/>
        <v>2.8999999999999859E-3</v>
      </c>
      <c r="F57" s="181">
        <f t="shared" si="4"/>
        <v>23.829087921117384</v>
      </c>
      <c r="G57" s="4">
        <v>55.95</v>
      </c>
      <c r="H57" s="10"/>
      <c r="I57" s="10"/>
      <c r="J57" s="183">
        <v>2.7749999999999999</v>
      </c>
      <c r="K57" s="184">
        <v>40</v>
      </c>
      <c r="L57" s="270">
        <v>0.10578703703703703</v>
      </c>
    </row>
    <row r="58" spans="1:12" ht="15.75" x14ac:dyDescent="0.25">
      <c r="A58" s="258" t="s">
        <v>417</v>
      </c>
      <c r="B58" s="4">
        <v>122.03</v>
      </c>
      <c r="C58" s="4">
        <v>0.2407</v>
      </c>
      <c r="D58" s="4">
        <v>0.24390000000000001</v>
      </c>
      <c r="E58" s="4">
        <f t="shared" si="0"/>
        <v>3.2000000000000084E-3</v>
      </c>
      <c r="F58" s="181">
        <f t="shared" si="4"/>
        <v>26.223059903302538</v>
      </c>
      <c r="G58" s="4">
        <v>41.32</v>
      </c>
      <c r="H58" s="10"/>
      <c r="I58" s="10"/>
      <c r="J58" s="183">
        <v>2.7330000000000001</v>
      </c>
      <c r="K58" s="184">
        <v>41</v>
      </c>
      <c r="L58" s="270">
        <v>0.10590277777777778</v>
      </c>
    </row>
    <row r="59" spans="1:12" ht="15.75" x14ac:dyDescent="0.25">
      <c r="A59" s="258" t="s">
        <v>418</v>
      </c>
      <c r="B59" s="4">
        <v>118.43</v>
      </c>
      <c r="C59" s="4">
        <v>0.2361</v>
      </c>
      <c r="D59" s="4">
        <v>0.2382</v>
      </c>
      <c r="E59" s="4">
        <f t="shared" si="0"/>
        <v>2.0999999999999908E-3</v>
      </c>
      <c r="F59" s="181">
        <f t="shared" si="4"/>
        <v>17.731993582707005</v>
      </c>
      <c r="G59" s="4">
        <v>38.15</v>
      </c>
      <c r="H59" s="10">
        <v>0.38589525070057579</v>
      </c>
      <c r="I59" s="10">
        <f t="shared" si="3"/>
        <v>3.2584248138189293</v>
      </c>
      <c r="J59" s="183">
        <v>2.7559999999999998</v>
      </c>
      <c r="K59" s="184">
        <v>42</v>
      </c>
      <c r="L59" s="270">
        <v>0.10601851851851851</v>
      </c>
    </row>
    <row r="60" spans="1:12" ht="15.75" x14ac:dyDescent="0.25">
      <c r="A60" s="258" t="s">
        <v>419</v>
      </c>
      <c r="B60" s="4">
        <v>121.55</v>
      </c>
      <c r="C60" s="4">
        <v>0.2404</v>
      </c>
      <c r="D60" s="4">
        <v>0.2427</v>
      </c>
      <c r="E60" s="4">
        <f t="shared" si="0"/>
        <v>2.2999999999999965E-3</v>
      </c>
      <c r="F60" s="181">
        <f t="shared" si="4"/>
        <v>18.922254216371837</v>
      </c>
      <c r="G60" s="4">
        <v>33.28</v>
      </c>
      <c r="H60" s="10"/>
      <c r="I60" s="10"/>
      <c r="J60" s="183">
        <v>2.7850000000000001</v>
      </c>
      <c r="K60" s="184">
        <v>43</v>
      </c>
      <c r="L60" s="270">
        <v>0.10613425925925928</v>
      </c>
    </row>
    <row r="61" spans="1:12" ht="15.75" x14ac:dyDescent="0.25">
      <c r="A61" s="260" t="s">
        <v>420</v>
      </c>
      <c r="B61" s="1">
        <v>123.31</v>
      </c>
      <c r="C61" s="1">
        <v>0.2397</v>
      </c>
      <c r="D61" s="1">
        <v>0.24840000000000001</v>
      </c>
      <c r="E61" s="1">
        <f t="shared" si="0"/>
        <v>8.7000000000000133E-3</v>
      </c>
      <c r="F61" s="164">
        <f t="shared" si="4"/>
        <v>70.55388857351403</v>
      </c>
      <c r="G61" s="1">
        <v>90.23</v>
      </c>
      <c r="H61" s="164">
        <v>1.0305382226612345</v>
      </c>
      <c r="I61" s="12">
        <f t="shared" si="3"/>
        <v>8.3572964290100931</v>
      </c>
      <c r="J61" s="166">
        <v>2.1829999999999998</v>
      </c>
      <c r="K61" s="167">
        <v>44</v>
      </c>
      <c r="L61" s="268">
        <v>0.4397685185185185</v>
      </c>
    </row>
    <row r="62" spans="1:12" ht="15.75" x14ac:dyDescent="0.25">
      <c r="A62" s="260" t="s">
        <v>421</v>
      </c>
      <c r="B62" s="1">
        <v>121.6</v>
      </c>
      <c r="C62" s="1">
        <v>0.23880000000000001</v>
      </c>
      <c r="D62" s="1">
        <v>0.27379999999999999</v>
      </c>
      <c r="E62" s="1">
        <f t="shared" si="0"/>
        <v>3.4999999999999976E-2</v>
      </c>
      <c r="F62" s="164">
        <f t="shared" si="4"/>
        <v>287.82894736842087</v>
      </c>
      <c r="G62" s="1">
        <v>526.33000000000004</v>
      </c>
      <c r="H62" s="164">
        <v>2.9986743538459577</v>
      </c>
      <c r="I62" s="12">
        <f t="shared" si="3"/>
        <v>24.660150936233205</v>
      </c>
      <c r="J62" s="166">
        <v>2.1179999999999999</v>
      </c>
      <c r="K62" s="167">
        <v>45</v>
      </c>
      <c r="L62" s="268">
        <v>0.44150462962962966</v>
      </c>
    </row>
    <row r="63" spans="1:12" ht="15.75" x14ac:dyDescent="0.25">
      <c r="A63" s="260" t="s">
        <v>422</v>
      </c>
      <c r="B63" s="1">
        <v>120.47</v>
      </c>
      <c r="C63" s="1">
        <v>0.23419999999999999</v>
      </c>
      <c r="D63" s="1">
        <v>0.25829999999999997</v>
      </c>
      <c r="E63" s="1">
        <f t="shared" si="0"/>
        <v>2.4099999999999983E-2</v>
      </c>
      <c r="F63" s="164">
        <f t="shared" si="4"/>
        <v>200.049804930688</v>
      </c>
      <c r="G63" s="1">
        <v>360.745</v>
      </c>
      <c r="H63" s="164">
        <v>2.0003640122307424</v>
      </c>
      <c r="I63" s="12">
        <f t="shared" si="3"/>
        <v>16.604665163366334</v>
      </c>
      <c r="J63" s="166">
        <v>2.073</v>
      </c>
      <c r="K63" s="167">
        <v>46</v>
      </c>
      <c r="L63" s="268">
        <v>0.44156250000000002</v>
      </c>
    </row>
    <row r="64" spans="1:12" ht="15.75" x14ac:dyDescent="0.25">
      <c r="A64" s="260" t="s">
        <v>423</v>
      </c>
      <c r="B64" s="1">
        <v>122.71</v>
      </c>
      <c r="C64" s="1">
        <v>0.2351</v>
      </c>
      <c r="D64" s="1">
        <v>0.24890000000000001</v>
      </c>
      <c r="E64" s="1">
        <f t="shared" si="0"/>
        <v>1.3800000000000007E-2</v>
      </c>
      <c r="F64" s="164">
        <f t="shared" si="4"/>
        <v>112.46027218645594</v>
      </c>
      <c r="G64" s="1">
        <v>168.16</v>
      </c>
      <c r="H64" s="164">
        <v>1.2712134654138045</v>
      </c>
      <c r="I64" s="12">
        <f t="shared" si="3"/>
        <v>10.359493646922049</v>
      </c>
      <c r="J64" s="166">
        <v>2.0289999999999999</v>
      </c>
      <c r="K64" s="167">
        <v>47</v>
      </c>
      <c r="L64" s="268">
        <v>0.44162037037037033</v>
      </c>
    </row>
    <row r="65" spans="1:12" ht="15.75" x14ac:dyDescent="0.25">
      <c r="A65" s="260" t="s">
        <v>424</v>
      </c>
      <c r="B65" s="1">
        <v>122.01</v>
      </c>
      <c r="C65" s="1">
        <v>0.23569999999999999</v>
      </c>
      <c r="D65" s="1">
        <v>0.24929999999999999</v>
      </c>
      <c r="E65" s="1">
        <f t="shared" si="0"/>
        <v>1.3600000000000001E-2</v>
      </c>
      <c r="F65" s="164">
        <f t="shared" si="4"/>
        <v>111.46627325629046</v>
      </c>
      <c r="G65" s="1">
        <v>165.58</v>
      </c>
      <c r="H65" s="164"/>
      <c r="I65" s="12"/>
      <c r="J65" s="166">
        <v>2.0779999999999998</v>
      </c>
      <c r="K65" s="167">
        <v>48</v>
      </c>
      <c r="L65" s="268">
        <v>0.44167824074074075</v>
      </c>
    </row>
    <row r="66" spans="1:12" ht="15.75" x14ac:dyDescent="0.25">
      <c r="A66" s="260" t="s">
        <v>425</v>
      </c>
      <c r="B66" s="1">
        <v>121.54</v>
      </c>
      <c r="C66" s="1">
        <v>0.2407</v>
      </c>
      <c r="D66" s="1">
        <v>0.25040000000000001</v>
      </c>
      <c r="E66" s="1">
        <f t="shared" si="0"/>
        <v>9.7000000000000142E-3</v>
      </c>
      <c r="F66" s="164">
        <f t="shared" si="4"/>
        <v>79.809116340299596</v>
      </c>
      <c r="G66" s="1">
        <v>161.72</v>
      </c>
      <c r="H66" s="164">
        <v>1.1283648603113214</v>
      </c>
      <c r="I66" s="12">
        <f t="shared" si="3"/>
        <v>9.283897155762066</v>
      </c>
      <c r="J66" s="166">
        <v>2.1640000000000001</v>
      </c>
      <c r="K66" s="167">
        <v>49</v>
      </c>
      <c r="L66" s="268">
        <v>0.4417476851851852</v>
      </c>
    </row>
    <row r="67" spans="1:12" ht="15.75" x14ac:dyDescent="0.25">
      <c r="A67" s="260" t="s">
        <v>426</v>
      </c>
      <c r="B67" s="1">
        <v>121.75</v>
      </c>
      <c r="C67" s="1">
        <v>0.23380000000000001</v>
      </c>
      <c r="D67" s="1">
        <v>0.24360000000000001</v>
      </c>
      <c r="E67" s="1">
        <f t="shared" ref="E67:E111" si="5">D67-C67</f>
        <v>9.8000000000000032E-3</v>
      </c>
      <c r="F67" s="164">
        <f t="shared" si="4"/>
        <v>80.492813141683797</v>
      </c>
      <c r="G67" s="1">
        <v>132.56</v>
      </c>
      <c r="H67" s="164"/>
      <c r="I67" s="12"/>
      <c r="J67" s="166">
        <v>2.1720000000000002</v>
      </c>
      <c r="K67" s="167">
        <v>50</v>
      </c>
      <c r="L67" s="268">
        <v>0.44184027777777773</v>
      </c>
    </row>
    <row r="68" spans="1:12" ht="15.75" x14ac:dyDescent="0.25">
      <c r="A68" s="260" t="s">
        <v>427</v>
      </c>
      <c r="B68" s="1">
        <v>120.91</v>
      </c>
      <c r="C68" s="1">
        <v>0.23699999999999999</v>
      </c>
      <c r="D68" s="1">
        <v>0.24540000000000001</v>
      </c>
      <c r="E68" s="1">
        <f t="shared" si="5"/>
        <v>8.4000000000000186E-3</v>
      </c>
      <c r="F68" s="164">
        <f t="shared" si="4"/>
        <v>69.473161855926037</v>
      </c>
      <c r="G68" s="1">
        <v>131.22999999999999</v>
      </c>
      <c r="H68" s="164"/>
      <c r="I68" s="12"/>
      <c r="J68" s="166">
        <v>2.3029999999999999</v>
      </c>
      <c r="K68" s="167">
        <v>51</v>
      </c>
      <c r="L68" s="268">
        <v>0.44195601851851851</v>
      </c>
    </row>
    <row r="69" spans="1:12" ht="15.75" x14ac:dyDescent="0.25">
      <c r="A69" s="260" t="s">
        <v>428</v>
      </c>
      <c r="B69" s="1">
        <v>122.16</v>
      </c>
      <c r="C69" s="1">
        <v>0.24179999999999999</v>
      </c>
      <c r="D69" s="1">
        <v>0.24840000000000001</v>
      </c>
      <c r="E69" s="1">
        <f t="shared" si="5"/>
        <v>6.6000000000000225E-3</v>
      </c>
      <c r="F69" s="164">
        <f t="shared" si="4"/>
        <v>54.027504911591542</v>
      </c>
      <c r="G69" s="1">
        <v>94.15</v>
      </c>
      <c r="H69" s="164"/>
      <c r="I69" s="12"/>
      <c r="J69" s="166">
        <v>2.2890000000000001</v>
      </c>
      <c r="K69" s="167">
        <v>52</v>
      </c>
      <c r="L69" s="268">
        <v>0.44208333333333333</v>
      </c>
    </row>
    <row r="70" spans="1:12" ht="15.75" x14ac:dyDescent="0.25">
      <c r="A70" s="260" t="s">
        <v>429</v>
      </c>
      <c r="B70" s="1">
        <v>122.43</v>
      </c>
      <c r="C70" s="1">
        <v>0.2361</v>
      </c>
      <c r="D70" s="1">
        <v>0.24149999999999999</v>
      </c>
      <c r="E70" s="1">
        <f t="shared" si="5"/>
        <v>5.3999999999999881E-3</v>
      </c>
      <c r="F70" s="164">
        <f t="shared" si="4"/>
        <v>44.106836559666647</v>
      </c>
      <c r="G70" s="1">
        <v>77.58</v>
      </c>
      <c r="H70" s="164">
        <v>0.64333027986728275</v>
      </c>
      <c r="I70" s="12">
        <f t="shared" si="3"/>
        <v>5.2546784274057234</v>
      </c>
      <c r="J70" s="166">
        <v>2.1890000000000001</v>
      </c>
      <c r="K70" s="167">
        <v>53</v>
      </c>
      <c r="L70" s="268">
        <v>0.4422106481481482</v>
      </c>
    </row>
    <row r="71" spans="1:12" ht="15.75" x14ac:dyDescent="0.25">
      <c r="A71" s="260" t="s">
        <v>430</v>
      </c>
      <c r="B71" s="1">
        <v>122.27</v>
      </c>
      <c r="C71" s="1">
        <v>0.2419</v>
      </c>
      <c r="D71" s="1">
        <v>0.246</v>
      </c>
      <c r="E71" s="1">
        <f t="shared" si="5"/>
        <v>4.0999999999999925E-3</v>
      </c>
      <c r="F71" s="164">
        <f t="shared" si="4"/>
        <v>33.532346446389077</v>
      </c>
      <c r="G71" s="1">
        <v>61.94</v>
      </c>
      <c r="H71" s="164"/>
      <c r="I71" s="12"/>
      <c r="J71" s="166">
        <v>2.2829999999999999</v>
      </c>
      <c r="K71" s="167">
        <v>54</v>
      </c>
      <c r="L71" s="268">
        <v>0.44232638888888887</v>
      </c>
    </row>
    <row r="72" spans="1:12" ht="15.75" x14ac:dyDescent="0.25">
      <c r="A72" s="260" t="s">
        <v>431</v>
      </c>
      <c r="B72" s="1">
        <v>120.98</v>
      </c>
      <c r="C72" s="1">
        <v>0.2399</v>
      </c>
      <c r="D72" s="1">
        <v>0.2427</v>
      </c>
      <c r="E72" s="1">
        <f t="shared" si="5"/>
        <v>2.7999999999999969E-3</v>
      </c>
      <c r="F72" s="164">
        <f t="shared" si="4"/>
        <v>23.144321375433929</v>
      </c>
      <c r="G72" s="1">
        <v>48.68</v>
      </c>
      <c r="H72" s="164"/>
      <c r="I72" s="12"/>
      <c r="J72" s="166">
        <v>2.202</v>
      </c>
      <c r="K72" s="167">
        <v>55</v>
      </c>
      <c r="L72" s="268">
        <v>0.44244212962962964</v>
      </c>
    </row>
    <row r="73" spans="1:12" ht="15.75" x14ac:dyDescent="0.25">
      <c r="A73" s="148" t="s">
        <v>432</v>
      </c>
      <c r="B73" s="2">
        <v>111.04</v>
      </c>
      <c r="C73" s="2">
        <v>0.2359</v>
      </c>
      <c r="D73" s="2">
        <v>0.24279999999999999</v>
      </c>
      <c r="E73" s="2">
        <f t="shared" si="5"/>
        <v>6.8999999999999895E-3</v>
      </c>
      <c r="F73" s="147">
        <f t="shared" si="4"/>
        <v>62.139769452449464</v>
      </c>
      <c r="G73" s="2">
        <v>90.43</v>
      </c>
      <c r="H73" s="147">
        <v>0.5903027678031495</v>
      </c>
      <c r="I73" s="14">
        <f t="shared" si="3"/>
        <v>5.3161272316566057</v>
      </c>
      <c r="J73" s="254">
        <v>2.6309999999999998</v>
      </c>
      <c r="K73" s="255">
        <v>56</v>
      </c>
      <c r="L73" s="267">
        <v>0.46828703703703706</v>
      </c>
    </row>
    <row r="74" spans="1:12" ht="15.75" x14ac:dyDescent="0.25">
      <c r="A74" s="148" t="s">
        <v>433</v>
      </c>
      <c r="B74" s="2">
        <v>122.87</v>
      </c>
      <c r="C74" s="2">
        <v>0.23130000000000001</v>
      </c>
      <c r="D74" s="2">
        <v>0.26119999999999999</v>
      </c>
      <c r="E74" s="2">
        <f t="shared" si="5"/>
        <v>2.9899999999999982E-2</v>
      </c>
      <c r="F74" s="147">
        <f t="shared" si="4"/>
        <v>243.34662651582957</v>
      </c>
      <c r="G74" s="2">
        <v>426.28</v>
      </c>
      <c r="H74" s="147">
        <v>2.5466168852787932</v>
      </c>
      <c r="I74" s="14">
        <f t="shared" si="3"/>
        <v>20.726107961901139</v>
      </c>
      <c r="J74" s="254">
        <v>2.581</v>
      </c>
      <c r="K74" s="255">
        <v>57</v>
      </c>
      <c r="L74" s="267">
        <v>0.47123842592592591</v>
      </c>
    </row>
    <row r="75" spans="1:12" ht="15.75" x14ac:dyDescent="0.25">
      <c r="A75" s="148" t="s">
        <v>434</v>
      </c>
      <c r="B75" s="2">
        <v>122.65</v>
      </c>
      <c r="C75" s="2">
        <v>0.24079999999999999</v>
      </c>
      <c r="D75" s="2">
        <v>0.25729999999999997</v>
      </c>
      <c r="E75" s="2">
        <f t="shared" si="5"/>
        <v>1.6499999999999987E-2</v>
      </c>
      <c r="F75" s="147">
        <f t="shared" si="4"/>
        <v>134.52914798206268</v>
      </c>
      <c r="G75" s="2">
        <v>258.72000000000003</v>
      </c>
      <c r="H75" s="147"/>
      <c r="I75" s="14"/>
      <c r="J75" s="254">
        <v>2.5630000000000002</v>
      </c>
      <c r="K75" s="255">
        <v>58</v>
      </c>
      <c r="L75" s="267">
        <v>0.47129629629629632</v>
      </c>
    </row>
    <row r="76" spans="1:12" ht="15.75" x14ac:dyDescent="0.25">
      <c r="A76" s="148" t="s">
        <v>435</v>
      </c>
      <c r="B76" s="2">
        <v>121.12</v>
      </c>
      <c r="C76" s="2">
        <v>0.24149999999999999</v>
      </c>
      <c r="D76" s="2">
        <v>0.25790000000000002</v>
      </c>
      <c r="E76" s="2">
        <f t="shared" si="5"/>
        <v>1.6400000000000026E-2</v>
      </c>
      <c r="F76" s="147">
        <f t="shared" si="4"/>
        <v>135.40290620871883</v>
      </c>
      <c r="G76" s="2">
        <v>227.15</v>
      </c>
      <c r="H76" s="147">
        <v>1.4132252795075484</v>
      </c>
      <c r="I76" s="14">
        <f t="shared" si="3"/>
        <v>11.667976217862849</v>
      </c>
      <c r="J76" s="254">
        <v>2.6619999999999999</v>
      </c>
      <c r="K76" s="255">
        <v>59</v>
      </c>
      <c r="L76" s="267">
        <v>0.47135416666666669</v>
      </c>
    </row>
    <row r="77" spans="1:12" ht="15.75" x14ac:dyDescent="0.25">
      <c r="A77" s="148" t="s">
        <v>436</v>
      </c>
      <c r="B77" s="2">
        <v>122.12</v>
      </c>
      <c r="C77" s="2">
        <v>0.23799999999999999</v>
      </c>
      <c r="D77" s="2">
        <v>0.25019999999999998</v>
      </c>
      <c r="E77" s="2">
        <f t="shared" si="5"/>
        <v>1.2199999999999989E-2</v>
      </c>
      <c r="F77" s="147">
        <f t="shared" si="4"/>
        <v>99.901735997379532</v>
      </c>
      <c r="G77" s="2">
        <v>176.59</v>
      </c>
      <c r="H77" s="147"/>
      <c r="I77" s="14"/>
      <c r="J77" s="254">
        <v>2.6960000000000002</v>
      </c>
      <c r="K77" s="255">
        <v>60</v>
      </c>
      <c r="L77" s="267">
        <v>0.47141203703703699</v>
      </c>
    </row>
    <row r="78" spans="1:12" ht="15.75" x14ac:dyDescent="0.25">
      <c r="A78" s="148" t="s">
        <v>437</v>
      </c>
      <c r="B78" s="2">
        <v>122.71</v>
      </c>
      <c r="C78" s="2">
        <v>0.2384</v>
      </c>
      <c r="D78" s="2">
        <v>0.2505</v>
      </c>
      <c r="E78" s="2">
        <f t="shared" si="5"/>
        <v>1.21E-2</v>
      </c>
      <c r="F78" s="147">
        <f t="shared" si="4"/>
        <v>98.606470540298261</v>
      </c>
      <c r="G78" s="2">
        <v>181.06</v>
      </c>
      <c r="H78" s="147">
        <v>0.81918649545773159</v>
      </c>
      <c r="I78" s="14">
        <f t="shared" si="3"/>
        <v>6.6757924819308254</v>
      </c>
      <c r="J78" s="254">
        <v>2.6989999999999998</v>
      </c>
      <c r="K78" s="255">
        <v>61</v>
      </c>
      <c r="L78" s="267">
        <v>0.47152777777777777</v>
      </c>
    </row>
    <row r="79" spans="1:12" ht="15.75" x14ac:dyDescent="0.25">
      <c r="A79" s="148" t="s">
        <v>438</v>
      </c>
      <c r="B79" s="2">
        <v>122.42</v>
      </c>
      <c r="C79" s="2">
        <v>0.2412</v>
      </c>
      <c r="D79" s="2">
        <v>0.25269999999999998</v>
      </c>
      <c r="E79" s="2">
        <f t="shared" si="5"/>
        <v>1.1499999999999982E-2</v>
      </c>
      <c r="F79" s="147">
        <f t="shared" si="4"/>
        <v>93.938898872733063</v>
      </c>
      <c r="G79" s="2">
        <v>157</v>
      </c>
      <c r="H79" s="147"/>
      <c r="I79" s="14"/>
      <c r="J79" s="254">
        <v>2.742</v>
      </c>
      <c r="K79" s="255">
        <v>62</v>
      </c>
      <c r="L79" s="267">
        <v>0.47164351851851855</v>
      </c>
    </row>
    <row r="80" spans="1:12" ht="15.75" x14ac:dyDescent="0.25">
      <c r="A80" s="148" t="s">
        <v>439</v>
      </c>
      <c r="B80" s="2">
        <v>122.74</v>
      </c>
      <c r="C80" s="2">
        <v>0.23880000000000001</v>
      </c>
      <c r="D80" s="2">
        <v>0.2457</v>
      </c>
      <c r="E80" s="2">
        <f t="shared" si="5"/>
        <v>6.8999999999999895E-3</v>
      </c>
      <c r="F80" s="147">
        <f t="shared" si="4"/>
        <v>56.216392374124084</v>
      </c>
      <c r="G80" s="2">
        <v>134.22999999999999</v>
      </c>
      <c r="H80" s="147"/>
      <c r="I80" s="14"/>
      <c r="J80" s="254">
        <v>2.7610000000000001</v>
      </c>
      <c r="K80" s="255">
        <v>63</v>
      </c>
      <c r="L80" s="267">
        <v>0.47175925925925927</v>
      </c>
    </row>
    <row r="81" spans="1:12" ht="15.75" x14ac:dyDescent="0.25">
      <c r="A81" s="148" t="s">
        <v>440</v>
      </c>
      <c r="B81" s="2">
        <v>121.45</v>
      </c>
      <c r="C81" s="2">
        <v>0.2336</v>
      </c>
      <c r="D81" s="2">
        <v>0.24049999999999999</v>
      </c>
      <c r="E81" s="2">
        <f t="shared" si="5"/>
        <v>6.8999999999999895E-3</v>
      </c>
      <c r="F81" s="147">
        <f t="shared" si="4"/>
        <v>56.813503499382371</v>
      </c>
      <c r="G81" s="2">
        <v>88.31</v>
      </c>
      <c r="H81" s="147"/>
      <c r="I81" s="14"/>
      <c r="J81" s="254">
        <v>2.8210000000000002</v>
      </c>
      <c r="K81" s="255">
        <v>64</v>
      </c>
      <c r="L81" s="267">
        <v>0.47187499999999999</v>
      </c>
    </row>
    <row r="82" spans="1:12" ht="15.75" x14ac:dyDescent="0.25">
      <c r="A82" s="148" t="s">
        <v>441</v>
      </c>
      <c r="B82" s="2">
        <v>121.58</v>
      </c>
      <c r="C82" s="2">
        <v>0.2417</v>
      </c>
      <c r="D82" s="2">
        <v>0.24759999999999999</v>
      </c>
      <c r="E82" s="2">
        <f t="shared" si="5"/>
        <v>5.8999999999999886E-3</v>
      </c>
      <c r="F82" s="147">
        <f t="shared" ref="F82:F111" si="6">E82/B82*1000*1000</f>
        <v>48.527718374732594</v>
      </c>
      <c r="G82" s="2">
        <v>88.72</v>
      </c>
      <c r="H82" s="147">
        <v>0.68460601900610329</v>
      </c>
      <c r="I82" s="14">
        <f t="shared" ref="I82:I111" si="7">H82/B82*1000</f>
        <v>5.6309098454195041</v>
      </c>
      <c r="J82" s="254">
        <v>2.7829999999999999</v>
      </c>
      <c r="K82" s="255">
        <v>65</v>
      </c>
      <c r="L82" s="267">
        <v>0.47199074074074071</v>
      </c>
    </row>
    <row r="83" spans="1:12" ht="15.75" x14ac:dyDescent="0.25">
      <c r="A83" s="148" t="s">
        <v>442</v>
      </c>
      <c r="B83" s="2">
        <v>122.57</v>
      </c>
      <c r="C83" s="2">
        <v>0.22969999999999999</v>
      </c>
      <c r="D83" s="2">
        <v>0.23480000000000001</v>
      </c>
      <c r="E83" s="2">
        <f t="shared" si="5"/>
        <v>5.1000000000000212E-3</v>
      </c>
      <c r="F83" s="147">
        <f t="shared" si="6"/>
        <v>41.608876560333044</v>
      </c>
      <c r="G83" s="2">
        <v>71.86</v>
      </c>
      <c r="H83" s="147"/>
      <c r="I83" s="14"/>
      <c r="J83" s="254">
        <v>2.7559999999999998</v>
      </c>
      <c r="K83" s="255">
        <v>66</v>
      </c>
      <c r="L83" s="267">
        <v>0.47210648148148149</v>
      </c>
    </row>
    <row r="84" spans="1:12" ht="15.75" x14ac:dyDescent="0.25">
      <c r="A84" s="148" t="s">
        <v>443</v>
      </c>
      <c r="B84" s="2">
        <v>122.09</v>
      </c>
      <c r="C84" s="2">
        <v>0.24099999999999999</v>
      </c>
      <c r="D84" s="2">
        <v>0.24429999999999999</v>
      </c>
      <c r="E84" s="2">
        <f t="shared" si="5"/>
        <v>3.2999999999999974E-3</v>
      </c>
      <c r="F84" s="147">
        <f t="shared" si="6"/>
        <v>27.029240724056002</v>
      </c>
      <c r="G84" s="2">
        <v>59.21</v>
      </c>
      <c r="H84" s="147"/>
      <c r="I84" s="14"/>
      <c r="J84" s="254">
        <v>2.883</v>
      </c>
      <c r="K84" s="255">
        <v>67</v>
      </c>
      <c r="L84" s="267">
        <v>0.47222222222222227</v>
      </c>
    </row>
    <row r="85" spans="1:12" ht="15.75" x14ac:dyDescent="0.25">
      <c r="A85" s="148" t="s">
        <v>444</v>
      </c>
      <c r="B85" s="2">
        <v>122.07</v>
      </c>
      <c r="C85" s="2">
        <v>0.2326</v>
      </c>
      <c r="D85" s="2">
        <v>0.23530000000000001</v>
      </c>
      <c r="E85" s="2">
        <f t="shared" si="5"/>
        <v>2.7000000000000079E-3</v>
      </c>
      <c r="F85" s="147">
        <f t="shared" si="6"/>
        <v>22.118456623249024</v>
      </c>
      <c r="G85" s="2">
        <v>51.52</v>
      </c>
      <c r="H85" s="147"/>
      <c r="I85" s="14"/>
      <c r="J85" s="254">
        <v>2.84</v>
      </c>
      <c r="K85" s="255">
        <v>68</v>
      </c>
      <c r="L85" s="267">
        <v>0.47233796296296293</v>
      </c>
    </row>
    <row r="86" spans="1:12" ht="15.75" x14ac:dyDescent="0.25">
      <c r="A86" s="6" t="s">
        <v>445</v>
      </c>
      <c r="B86" s="6">
        <v>121.95</v>
      </c>
      <c r="C86" s="6">
        <v>0.2394</v>
      </c>
      <c r="D86" s="6">
        <v>0.24249999999999999</v>
      </c>
      <c r="E86" s="6">
        <f t="shared" si="5"/>
        <v>3.0999999999999917E-3</v>
      </c>
      <c r="F86" s="192">
        <f t="shared" si="6"/>
        <v>25.420254202541958</v>
      </c>
      <c r="G86" s="6">
        <v>0</v>
      </c>
      <c r="H86" s="192">
        <v>0.44474433029321164</v>
      </c>
      <c r="I86" s="7">
        <f t="shared" si="7"/>
        <v>3.6469399778041134</v>
      </c>
      <c r="J86" s="256">
        <v>2.9359999999999999</v>
      </c>
      <c r="K86" s="194">
        <v>69</v>
      </c>
      <c r="L86" s="269">
        <v>8.261574074074074E-2</v>
      </c>
    </row>
    <row r="87" spans="1:12" ht="15.75" x14ac:dyDescent="0.25">
      <c r="A87" s="6" t="s">
        <v>446</v>
      </c>
      <c r="B87" s="6">
        <v>122.15</v>
      </c>
      <c r="C87" s="6">
        <v>0.23749999999999999</v>
      </c>
      <c r="D87" s="6">
        <v>0.23860000000000001</v>
      </c>
      <c r="E87" s="6">
        <f t="shared" si="5"/>
        <v>1.1000000000000176E-3</v>
      </c>
      <c r="F87" s="192">
        <f t="shared" si="6"/>
        <v>9.0053213262383771</v>
      </c>
      <c r="G87" s="6">
        <v>0</v>
      </c>
      <c r="H87" s="192"/>
      <c r="I87" s="7"/>
      <c r="J87" s="256">
        <v>3.0289999999999999</v>
      </c>
      <c r="K87" s="194">
        <v>70</v>
      </c>
      <c r="L87" s="269">
        <v>8.396990740740741E-2</v>
      </c>
    </row>
    <row r="88" spans="1:12" ht="15.75" x14ac:dyDescent="0.25">
      <c r="A88" s="6" t="s">
        <v>447</v>
      </c>
      <c r="B88" s="6">
        <v>120.21</v>
      </c>
      <c r="C88" s="6">
        <v>0.23960000000000001</v>
      </c>
      <c r="D88" s="6">
        <v>0.24049999999999999</v>
      </c>
      <c r="E88" s="6">
        <f t="shared" si="5"/>
        <v>8.9999999999998415E-4</v>
      </c>
      <c r="F88" s="192">
        <f t="shared" si="6"/>
        <v>7.4868979286247752</v>
      </c>
      <c r="G88" s="6">
        <v>0</v>
      </c>
      <c r="H88" s="192">
        <v>0.28651051544030248</v>
      </c>
      <c r="I88" s="7">
        <f t="shared" si="7"/>
        <v>2.3834166495325055</v>
      </c>
      <c r="J88" s="256">
        <v>2.923</v>
      </c>
      <c r="K88" s="194">
        <v>71</v>
      </c>
      <c r="L88" s="269">
        <v>8.4004629629629624E-2</v>
      </c>
    </row>
    <row r="89" spans="1:12" ht="15.75" x14ac:dyDescent="0.25">
      <c r="A89" s="6" t="s">
        <v>448</v>
      </c>
      <c r="B89" s="6">
        <v>121.09</v>
      </c>
      <c r="C89" s="6">
        <v>0.23649999999999999</v>
      </c>
      <c r="D89" s="6">
        <v>0.23710000000000001</v>
      </c>
      <c r="E89" s="6">
        <f t="shared" si="5"/>
        <v>6.0000000000001719E-4</v>
      </c>
      <c r="F89" s="192">
        <f t="shared" si="6"/>
        <v>4.9549921545958968</v>
      </c>
      <c r="G89" s="6">
        <v>0</v>
      </c>
      <c r="H89" s="192"/>
      <c r="I89" s="7"/>
      <c r="J89" s="256">
        <v>2.976</v>
      </c>
      <c r="K89" s="194">
        <v>72</v>
      </c>
      <c r="L89" s="269">
        <v>8.4039351851851851E-2</v>
      </c>
    </row>
    <row r="90" spans="1:12" ht="15.75" x14ac:dyDescent="0.25">
      <c r="A90" s="6" t="s">
        <v>449</v>
      </c>
      <c r="B90" s="6">
        <v>123.28</v>
      </c>
      <c r="C90" s="6">
        <v>0.2404</v>
      </c>
      <c r="D90" s="6">
        <v>0.24129999999999999</v>
      </c>
      <c r="E90" s="6">
        <f t="shared" si="5"/>
        <v>8.9999999999998415E-4</v>
      </c>
      <c r="F90" s="192">
        <f t="shared" si="6"/>
        <v>7.3004542504865686</v>
      </c>
      <c r="G90" s="6">
        <v>0</v>
      </c>
      <c r="H90" s="192">
        <v>0.26821580803837913</v>
      </c>
      <c r="I90" s="7">
        <f t="shared" si="7"/>
        <v>2.1756635953794543</v>
      </c>
      <c r="J90" s="256">
        <v>3.641</v>
      </c>
      <c r="K90" s="194">
        <v>73</v>
      </c>
      <c r="L90" s="269">
        <v>8.4074074074074079E-2</v>
      </c>
    </row>
    <row r="91" spans="1:12" ht="15.75" x14ac:dyDescent="0.25">
      <c r="A91" s="6" t="s">
        <v>450</v>
      </c>
      <c r="B91" s="6">
        <v>119.03</v>
      </c>
      <c r="C91" s="6">
        <v>0.24390000000000001</v>
      </c>
      <c r="D91" s="6">
        <v>0.2477</v>
      </c>
      <c r="E91" s="6">
        <f t="shared" si="5"/>
        <v>3.7999999999999978E-3</v>
      </c>
      <c r="F91" s="192">
        <f t="shared" si="6"/>
        <v>31.924724859279156</v>
      </c>
      <c r="G91" s="6">
        <v>70.88</v>
      </c>
      <c r="H91" s="192"/>
      <c r="I91" s="7"/>
      <c r="J91" s="256">
        <v>3.0539999999999998</v>
      </c>
      <c r="K91" s="194">
        <v>74</v>
      </c>
      <c r="L91" s="269">
        <v>8.4108796296296293E-2</v>
      </c>
    </row>
    <row r="92" spans="1:12" ht="15.75" x14ac:dyDescent="0.25">
      <c r="A92" s="6" t="s">
        <v>451</v>
      </c>
      <c r="B92" s="6">
        <v>120.71</v>
      </c>
      <c r="C92" s="6">
        <v>0.23649999999999999</v>
      </c>
      <c r="D92" s="6">
        <v>0.24149999999999999</v>
      </c>
      <c r="E92" s="6">
        <f t="shared" si="5"/>
        <v>5.0000000000000044E-3</v>
      </c>
      <c r="F92" s="192">
        <f t="shared" si="6"/>
        <v>41.421588932151479</v>
      </c>
      <c r="G92" s="6">
        <v>73.459999999999994</v>
      </c>
      <c r="H92" s="192"/>
      <c r="I92" s="7"/>
      <c r="J92" s="256">
        <v>3.0379999999999998</v>
      </c>
      <c r="K92" s="194">
        <v>75</v>
      </c>
      <c r="L92" s="269">
        <v>8.414351851851852E-2</v>
      </c>
    </row>
    <row r="93" spans="1:12" ht="15.75" x14ac:dyDescent="0.25">
      <c r="A93" s="6" t="s">
        <v>452</v>
      </c>
      <c r="B93" s="6">
        <v>122.52</v>
      </c>
      <c r="C93" s="6">
        <v>0.24049999999999999</v>
      </c>
      <c r="D93" s="6">
        <v>0.246</v>
      </c>
      <c r="E93" s="6">
        <f t="shared" si="5"/>
        <v>5.5000000000000049E-3</v>
      </c>
      <c r="F93" s="192">
        <f t="shared" si="6"/>
        <v>44.890630101208011</v>
      </c>
      <c r="G93" s="6">
        <v>84.58</v>
      </c>
      <c r="H93" s="192">
        <v>0.58537031039460408</v>
      </c>
      <c r="I93" s="7">
        <f t="shared" si="7"/>
        <v>4.7777531047551749</v>
      </c>
      <c r="J93" s="256">
        <v>3.5790000000000002</v>
      </c>
      <c r="K93" s="194">
        <v>76</v>
      </c>
      <c r="L93" s="269">
        <v>8.4178240740740748E-2</v>
      </c>
    </row>
    <row r="94" spans="1:12" ht="15.75" x14ac:dyDescent="0.25">
      <c r="A94" s="6" t="s">
        <v>453</v>
      </c>
      <c r="B94" s="6">
        <v>120.54</v>
      </c>
      <c r="C94" s="6">
        <v>0.2366</v>
      </c>
      <c r="D94" s="6">
        <v>0.24060000000000001</v>
      </c>
      <c r="E94" s="6">
        <f t="shared" si="5"/>
        <v>4.0000000000000036E-3</v>
      </c>
      <c r="F94" s="192">
        <f t="shared" si="6"/>
        <v>33.18400530944087</v>
      </c>
      <c r="G94" s="6">
        <v>67.36</v>
      </c>
      <c r="H94" s="192"/>
      <c r="I94" s="7"/>
      <c r="J94" s="256">
        <v>3.1509999999999998</v>
      </c>
      <c r="K94" s="194">
        <v>77</v>
      </c>
      <c r="L94" s="269">
        <v>8.4212962962962976E-2</v>
      </c>
    </row>
    <row r="95" spans="1:12" ht="15.75" x14ac:dyDescent="0.25">
      <c r="A95" s="6" t="s">
        <v>454</v>
      </c>
      <c r="B95" s="6">
        <v>122.2</v>
      </c>
      <c r="C95" s="6">
        <v>0.23430000000000001</v>
      </c>
      <c r="D95" s="6">
        <v>0.2374</v>
      </c>
      <c r="E95" s="6">
        <f t="shared" si="5"/>
        <v>3.0999999999999917E-3</v>
      </c>
      <c r="F95" s="192">
        <f t="shared" si="6"/>
        <v>25.368248772504021</v>
      </c>
      <c r="G95" s="6">
        <v>65.8</v>
      </c>
      <c r="H95" s="192">
        <v>0.60271771247966577</v>
      </c>
      <c r="I95" s="7">
        <f t="shared" si="7"/>
        <v>4.932223506380244</v>
      </c>
      <c r="J95" s="256">
        <v>3.0059999999999998</v>
      </c>
      <c r="K95" s="194">
        <v>78</v>
      </c>
      <c r="L95" s="269">
        <v>8.4247685185185175E-2</v>
      </c>
    </row>
    <row r="96" spans="1:12" ht="15.75" x14ac:dyDescent="0.25">
      <c r="A96" s="6" t="s">
        <v>455</v>
      </c>
      <c r="B96" s="6">
        <v>122.22</v>
      </c>
      <c r="C96" s="6">
        <v>0.2422</v>
      </c>
      <c r="D96" s="6">
        <v>0.24299999999999999</v>
      </c>
      <c r="E96" s="6">
        <f t="shared" si="5"/>
        <v>7.9999999999999516E-4</v>
      </c>
      <c r="F96" s="192">
        <f t="shared" si="6"/>
        <v>6.545573555882795</v>
      </c>
      <c r="G96" s="6">
        <v>65.319999999999993</v>
      </c>
      <c r="H96" s="192"/>
      <c r="I96" s="7"/>
      <c r="J96" s="256">
        <v>3.5510000000000002</v>
      </c>
      <c r="K96" s="194">
        <v>79</v>
      </c>
      <c r="L96" s="269">
        <v>8.4282407407407403E-2</v>
      </c>
    </row>
    <row r="97" spans="1:12" ht="15.75" x14ac:dyDescent="0.25">
      <c r="A97" s="262" t="s">
        <v>456</v>
      </c>
      <c r="B97" s="4">
        <v>122.57</v>
      </c>
      <c r="C97" s="4">
        <v>0.24210000000000001</v>
      </c>
      <c r="D97" s="4">
        <v>0.24229999999999999</v>
      </c>
      <c r="E97" s="4">
        <f t="shared" si="5"/>
        <v>1.9999999999997797E-4</v>
      </c>
      <c r="F97" s="181">
        <f t="shared" si="6"/>
        <v>1.6317206494246388</v>
      </c>
      <c r="G97" s="261"/>
      <c r="H97" s="261"/>
      <c r="I97" s="10"/>
      <c r="J97" s="183">
        <v>3.109</v>
      </c>
      <c r="K97" s="184">
        <v>80</v>
      </c>
      <c r="L97" s="261"/>
    </row>
    <row r="98" spans="1:12" ht="15.75" x14ac:dyDescent="0.25">
      <c r="A98" s="262" t="s">
        <v>457</v>
      </c>
      <c r="B98" s="4">
        <v>121.33</v>
      </c>
      <c r="C98" s="4">
        <v>0.2397</v>
      </c>
      <c r="D98" s="4">
        <v>0.24179999999999999</v>
      </c>
      <c r="E98" s="4">
        <f t="shared" si="5"/>
        <v>2.0999999999999908E-3</v>
      </c>
      <c r="F98" s="181">
        <f t="shared" si="6"/>
        <v>17.308167806807806</v>
      </c>
      <c r="G98" s="261"/>
      <c r="H98" s="261"/>
      <c r="I98" s="10"/>
      <c r="J98" s="183">
        <v>2.976</v>
      </c>
      <c r="K98" s="184">
        <v>81</v>
      </c>
      <c r="L98" s="261"/>
    </row>
    <row r="99" spans="1:12" ht="15.75" x14ac:dyDescent="0.25">
      <c r="A99" s="262" t="s">
        <v>458</v>
      </c>
      <c r="B99" s="4">
        <v>122.52</v>
      </c>
      <c r="C99" s="4">
        <v>0.2412</v>
      </c>
      <c r="D99" s="4">
        <v>0.25650000000000001</v>
      </c>
      <c r="E99" s="4">
        <f t="shared" si="5"/>
        <v>1.5300000000000008E-2</v>
      </c>
      <c r="F99" s="181">
        <f t="shared" si="6"/>
        <v>124.87757100881495</v>
      </c>
      <c r="G99" s="261"/>
      <c r="H99" s="261"/>
      <c r="I99" s="10"/>
      <c r="J99" s="183">
        <v>2.9239999999999999</v>
      </c>
      <c r="K99" s="184">
        <v>82</v>
      </c>
      <c r="L99" s="261"/>
    </row>
    <row r="100" spans="1:12" ht="15.75" x14ac:dyDescent="0.25">
      <c r="A100" s="262" t="s">
        <v>459</v>
      </c>
      <c r="B100" s="4">
        <v>121.45</v>
      </c>
      <c r="C100" s="4">
        <v>0.24279999999999999</v>
      </c>
      <c r="D100" s="4">
        <v>0.249</v>
      </c>
      <c r="E100" s="4">
        <f t="shared" si="5"/>
        <v>6.2000000000000111E-3</v>
      </c>
      <c r="F100" s="181">
        <f t="shared" si="6"/>
        <v>51.049814738575634</v>
      </c>
      <c r="G100" s="261"/>
      <c r="H100" s="261"/>
      <c r="I100" s="10"/>
      <c r="J100" s="183">
        <v>2.9380000000000002</v>
      </c>
      <c r="K100" s="184">
        <v>83</v>
      </c>
      <c r="L100" s="261"/>
    </row>
    <row r="101" spans="1:12" ht="15.75" x14ac:dyDescent="0.25">
      <c r="A101" s="262" t="s">
        <v>460</v>
      </c>
      <c r="B101" s="4">
        <v>122.08</v>
      </c>
      <c r="C101" s="4">
        <v>0.24099999999999999</v>
      </c>
      <c r="D101" s="4">
        <v>0.24890000000000001</v>
      </c>
      <c r="E101" s="4">
        <f t="shared" si="5"/>
        <v>7.9000000000000181E-3</v>
      </c>
      <c r="F101" s="181">
        <f t="shared" si="6"/>
        <v>64.71166448230683</v>
      </c>
      <c r="G101" s="261"/>
      <c r="H101" s="261"/>
      <c r="I101" s="10"/>
      <c r="J101" s="183">
        <v>2.94</v>
      </c>
      <c r="K101" s="184">
        <v>84</v>
      </c>
      <c r="L101" s="261"/>
    </row>
    <row r="102" spans="1:12" ht="15.75" x14ac:dyDescent="0.25">
      <c r="A102" s="1" t="s">
        <v>461</v>
      </c>
      <c r="B102" s="1">
        <v>122.7</v>
      </c>
      <c r="C102" s="1">
        <v>0.2414</v>
      </c>
      <c r="D102" s="1">
        <v>0.24709999999999999</v>
      </c>
      <c r="E102" s="1">
        <f t="shared" si="5"/>
        <v>5.6999999999999829E-3</v>
      </c>
      <c r="F102" s="164">
        <f t="shared" si="6"/>
        <v>46.454767726161229</v>
      </c>
      <c r="G102" s="1">
        <v>94.93</v>
      </c>
      <c r="H102" s="164">
        <v>0.67675156739919073</v>
      </c>
      <c r="I102" s="12">
        <f t="shared" si="7"/>
        <v>5.5154976968149203</v>
      </c>
      <c r="J102" s="166">
        <v>3.0339999999999998</v>
      </c>
      <c r="K102" s="167">
        <v>85</v>
      </c>
      <c r="L102" s="268">
        <v>0.46894675925925927</v>
      </c>
    </row>
    <row r="103" spans="1:12" ht="15.75" x14ac:dyDescent="0.25">
      <c r="A103" s="1" t="s">
        <v>462</v>
      </c>
      <c r="B103" s="1">
        <v>121.38</v>
      </c>
      <c r="C103" s="1">
        <v>0.2374</v>
      </c>
      <c r="D103" s="1">
        <v>0.24249999999999999</v>
      </c>
      <c r="E103" s="1">
        <f t="shared" si="5"/>
        <v>5.0999999999999934E-3</v>
      </c>
      <c r="F103" s="164">
        <f t="shared" si="6"/>
        <v>42.016806722689026</v>
      </c>
      <c r="G103" s="1">
        <v>75.03</v>
      </c>
      <c r="H103" s="164"/>
      <c r="I103" s="12"/>
      <c r="J103" s="166">
        <v>3.0539999999999998</v>
      </c>
      <c r="K103" s="167">
        <v>86</v>
      </c>
      <c r="L103" s="268">
        <v>0.4689814814814815</v>
      </c>
    </row>
    <row r="104" spans="1:12" ht="15.75" x14ac:dyDescent="0.25">
      <c r="A104" s="1" t="s">
        <v>463</v>
      </c>
      <c r="B104" s="1">
        <v>120.25</v>
      </c>
      <c r="C104" s="1">
        <v>0.23849999999999999</v>
      </c>
      <c r="D104" s="1">
        <v>0.2437</v>
      </c>
      <c r="E104" s="1">
        <f t="shared" si="5"/>
        <v>5.2000000000000102E-3</v>
      </c>
      <c r="F104" s="164">
        <f t="shared" si="6"/>
        <v>43.243243243243327</v>
      </c>
      <c r="G104" s="1">
        <v>81.28</v>
      </c>
      <c r="H104" s="164">
        <v>0.47228571175514489</v>
      </c>
      <c r="I104" s="12">
        <f t="shared" si="7"/>
        <v>3.9275319064876912</v>
      </c>
      <c r="J104" s="166">
        <v>2.4729999999999999</v>
      </c>
      <c r="K104" s="167">
        <v>87</v>
      </c>
      <c r="L104" s="268">
        <v>0.46901620370370373</v>
      </c>
    </row>
    <row r="105" spans="1:12" ht="15.75" x14ac:dyDescent="0.25">
      <c r="A105" s="1" t="s">
        <v>464</v>
      </c>
      <c r="B105" s="1">
        <v>122.5</v>
      </c>
      <c r="C105" s="1">
        <v>0.2387</v>
      </c>
      <c r="D105" s="1">
        <v>0.25640000000000002</v>
      </c>
      <c r="E105" s="1">
        <f t="shared" si="5"/>
        <v>1.7700000000000021E-2</v>
      </c>
      <c r="F105" s="164">
        <f t="shared" si="6"/>
        <v>144.48979591836752</v>
      </c>
      <c r="G105" s="1">
        <v>293.19</v>
      </c>
      <c r="H105" s="164"/>
      <c r="I105" s="12"/>
      <c r="J105" s="166">
        <v>2.6160000000000001</v>
      </c>
      <c r="K105" s="167">
        <v>88</v>
      </c>
      <c r="L105" s="268">
        <v>0.4690509259259259</v>
      </c>
    </row>
    <row r="106" spans="1:12" ht="15.75" x14ac:dyDescent="0.25">
      <c r="A106" s="1" t="s">
        <v>465</v>
      </c>
      <c r="B106" s="1">
        <v>121.24</v>
      </c>
      <c r="C106" s="1">
        <v>0.23799999999999999</v>
      </c>
      <c r="D106" s="1">
        <v>0.2671</v>
      </c>
      <c r="E106" s="1">
        <f t="shared" si="5"/>
        <v>2.9100000000000015E-2</v>
      </c>
      <c r="F106" s="164">
        <f t="shared" si="6"/>
        <v>240.01979544704733</v>
      </c>
      <c r="G106" s="1">
        <v>311.7</v>
      </c>
      <c r="H106" s="164">
        <v>1.8334773361671102</v>
      </c>
      <c r="I106" s="12">
        <f t="shared" si="7"/>
        <v>15.122709800124632</v>
      </c>
      <c r="J106" s="166">
        <v>3.1349999999999998</v>
      </c>
      <c r="K106" s="167">
        <v>89</v>
      </c>
      <c r="L106" s="268">
        <v>0.46908564814814818</v>
      </c>
    </row>
    <row r="107" spans="1:12" ht="15.75" x14ac:dyDescent="0.25">
      <c r="A107" s="1" t="s">
        <v>466</v>
      </c>
      <c r="B107" s="1">
        <v>122.39</v>
      </c>
      <c r="C107" s="1">
        <v>0.2382</v>
      </c>
      <c r="D107" s="1">
        <v>0.2616</v>
      </c>
      <c r="E107" s="1">
        <f t="shared" si="5"/>
        <v>2.3400000000000004E-2</v>
      </c>
      <c r="F107" s="164">
        <f t="shared" si="6"/>
        <v>191.19209085709622</v>
      </c>
      <c r="G107" s="1">
        <v>243.92</v>
      </c>
      <c r="H107" s="164"/>
      <c r="I107" s="12"/>
      <c r="J107" s="166">
        <v>2.9359999999999999</v>
      </c>
      <c r="K107" s="167">
        <v>90</v>
      </c>
      <c r="L107" s="268">
        <v>0.46912037037037035</v>
      </c>
    </row>
    <row r="108" spans="1:12" ht="15.75" x14ac:dyDescent="0.25">
      <c r="A108" s="1" t="s">
        <v>467</v>
      </c>
      <c r="B108" s="1">
        <v>122.48</v>
      </c>
      <c r="C108" s="1">
        <v>0.2331</v>
      </c>
      <c r="D108" s="1">
        <v>0.25319999999999998</v>
      </c>
      <c r="E108" s="1">
        <f t="shared" si="5"/>
        <v>2.0099999999999979E-2</v>
      </c>
      <c r="F108" s="164">
        <f t="shared" si="6"/>
        <v>164.10842586544723</v>
      </c>
      <c r="G108" s="1">
        <v>292.16000000000003</v>
      </c>
      <c r="H108" s="265">
        <v>2.1062359783450173</v>
      </c>
      <c r="I108" s="12">
        <f t="shared" si="7"/>
        <v>17.196570691909024</v>
      </c>
      <c r="J108" s="166">
        <v>2.9329999999999998</v>
      </c>
      <c r="K108" s="167">
        <v>91</v>
      </c>
      <c r="L108" s="268">
        <v>0.46915509259259264</v>
      </c>
    </row>
    <row r="109" spans="1:12" ht="15.75" x14ac:dyDescent="0.25">
      <c r="A109" s="1" t="s">
        <v>468</v>
      </c>
      <c r="B109" s="1">
        <v>119.13</v>
      </c>
      <c r="C109" s="1">
        <v>0.24160000000000001</v>
      </c>
      <c r="D109" s="1">
        <v>0.25580000000000003</v>
      </c>
      <c r="E109" s="1">
        <f t="shared" si="5"/>
        <v>1.4200000000000018E-2</v>
      </c>
      <c r="F109" s="164">
        <f t="shared" si="6"/>
        <v>119.19751531939913</v>
      </c>
      <c r="G109" s="1">
        <v>260.11</v>
      </c>
      <c r="H109" s="265">
        <v>1.1324545663874486</v>
      </c>
      <c r="I109" s="12">
        <f t="shared" si="7"/>
        <v>9.506040177851494</v>
      </c>
      <c r="J109" s="166">
        <v>2.6339999999999999</v>
      </c>
      <c r="K109" s="167">
        <v>92</v>
      </c>
      <c r="L109" s="268">
        <v>0.46918981481481481</v>
      </c>
    </row>
    <row r="110" spans="1:12" ht="15.75" x14ac:dyDescent="0.25">
      <c r="A110" s="1" t="s">
        <v>469</v>
      </c>
      <c r="B110" s="1">
        <v>119.42</v>
      </c>
      <c r="C110" s="1">
        <v>0.2392</v>
      </c>
      <c r="D110" s="1">
        <v>0.25069999999999998</v>
      </c>
      <c r="E110" s="1">
        <f t="shared" si="5"/>
        <v>1.1499999999999982E-2</v>
      </c>
      <c r="F110" s="164">
        <f t="shared" si="6"/>
        <v>96.298777424216894</v>
      </c>
      <c r="G110" s="1">
        <v>194.51</v>
      </c>
      <c r="H110" s="265">
        <v>0.76040884088149185</v>
      </c>
      <c r="I110" s="12">
        <f t="shared" si="7"/>
        <v>6.3675166712568405</v>
      </c>
      <c r="J110" s="166">
        <v>2.97</v>
      </c>
      <c r="K110" s="167">
        <v>93</v>
      </c>
      <c r="L110" s="268">
        <v>0.46925925925925926</v>
      </c>
    </row>
    <row r="111" spans="1:12" ht="15.75" x14ac:dyDescent="0.25">
      <c r="A111" s="1" t="s">
        <v>470</v>
      </c>
      <c r="B111" s="1">
        <v>118.75</v>
      </c>
      <c r="C111" s="1">
        <v>0.24079999999999999</v>
      </c>
      <c r="D111" s="1">
        <v>0.25230000000000002</v>
      </c>
      <c r="E111" s="1">
        <f t="shared" si="5"/>
        <v>1.1500000000000038E-2</v>
      </c>
      <c r="F111" s="164">
        <f t="shared" si="6"/>
        <v>96.842105263158203</v>
      </c>
      <c r="G111" s="1">
        <v>189.68</v>
      </c>
      <c r="H111" s="164"/>
      <c r="I111" s="12"/>
      <c r="J111" s="166">
        <v>2.4969999999999999</v>
      </c>
      <c r="K111" s="167">
        <v>94</v>
      </c>
      <c r="L111" s="268">
        <v>0.46929398148148144</v>
      </c>
    </row>
  </sheetData>
  <mergeCells count="1">
    <mergeCell ref="N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Spring</vt:lpstr>
      <vt:lpstr>Summer </vt:lpstr>
      <vt:lpstr>Grab Samples</vt:lpstr>
      <vt:lpstr>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 Nunez, Nicole (huck4481@vandals.uidaho.edu)</dc:creator>
  <cp:lastModifiedBy>Hucke, Nicole (huck4481@vandals.uidaho.edu)</cp:lastModifiedBy>
  <dcterms:created xsi:type="dcterms:W3CDTF">2025-02-04T19:41:41Z</dcterms:created>
  <dcterms:modified xsi:type="dcterms:W3CDTF">2026-06-28T03:22:46Z</dcterms:modified>
</cp:coreProperties>
</file>