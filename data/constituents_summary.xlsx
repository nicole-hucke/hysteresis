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data\"/>
    </mc:Choice>
  </mc:AlternateContent>
  <xr:revisionPtr revIDLastSave="0" documentId="13_ncr:1_{14C71EA0-DD8D-4903-BA0C-C92B4BC01519}" xr6:coauthVersionLast="47" xr6:coauthVersionMax="47" xr10:uidLastSave="{00000000-0000-0000-0000-000000000000}"/>
  <bookViews>
    <workbookView xWindow="-120" yWindow="-120" windowWidth="29040" windowHeight="15720" tabRatio="623" xr2:uid="{FEC01F85-CDE9-417C-893C-E562E55652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3" i="1" l="1"/>
  <c r="X102" i="1"/>
  <c r="X100" i="1"/>
  <c r="X99" i="1"/>
  <c r="S105" i="1"/>
  <c r="S104" i="1"/>
  <c r="X105" i="1"/>
  <c r="X104" i="1"/>
  <c r="W101" i="1"/>
  <c r="W100" i="1"/>
  <c r="U101" i="1"/>
  <c r="T101" i="1"/>
  <c r="T100" i="1"/>
  <c r="X101" i="1"/>
  <c r="U100" i="1"/>
  <c r="T99" i="1"/>
  <c r="S101" i="1"/>
  <c r="S100" i="1"/>
  <c r="W99" i="1" l="1"/>
  <c r="U99" i="1"/>
  <c r="S99" i="1"/>
  <c r="E126" i="1"/>
  <c r="F126" i="1" s="1"/>
  <c r="E125" i="1"/>
  <c r="F125" i="1" s="1"/>
  <c r="I124" i="1"/>
  <c r="E124" i="1"/>
  <c r="F124" i="1" s="1"/>
  <c r="S103" i="1" s="1"/>
  <c r="E123" i="1"/>
  <c r="F123" i="1" s="1"/>
  <c r="E122" i="1"/>
  <c r="F122" i="1" s="1"/>
  <c r="E120" i="1"/>
  <c r="F120" i="1" s="1"/>
  <c r="E121" i="1"/>
  <c r="F121" i="1" s="1"/>
  <c r="E110" i="1"/>
  <c r="F110" i="1" s="1"/>
  <c r="E111" i="1"/>
  <c r="F111" i="1" s="1"/>
  <c r="E108" i="1"/>
  <c r="F108" i="1" s="1"/>
  <c r="E109" i="1"/>
  <c r="F109" i="1" s="1"/>
  <c r="E114" i="1"/>
  <c r="F114" i="1" s="1"/>
  <c r="E115" i="1"/>
  <c r="F115" i="1" s="1"/>
  <c r="E112" i="1"/>
  <c r="F112" i="1" s="1"/>
  <c r="E113" i="1"/>
  <c r="F113" i="1" s="1"/>
  <c r="E118" i="1"/>
  <c r="F118" i="1" s="1"/>
  <c r="E117" i="1"/>
  <c r="F117" i="1" s="1"/>
  <c r="E116" i="1"/>
  <c r="F116" i="1" s="1"/>
  <c r="E119" i="1"/>
  <c r="F119" i="1" s="1"/>
  <c r="E107" i="1"/>
  <c r="F107" i="1" s="1"/>
  <c r="W104" i="1" l="1"/>
  <c r="W103" i="1"/>
  <c r="W102" i="1"/>
  <c r="W105" i="1"/>
  <c r="S102" i="1"/>
  <c r="E99" i="1"/>
  <c r="F99" i="1" s="1"/>
  <c r="E98" i="1"/>
  <c r="F98" i="1" s="1"/>
  <c r="E105" i="1"/>
  <c r="F105" i="1" s="1"/>
  <c r="E103" i="1"/>
  <c r="F103" i="1" s="1"/>
  <c r="E101" i="1"/>
  <c r="F101" i="1" s="1"/>
  <c r="E102" i="1"/>
  <c r="F102" i="1" s="1"/>
  <c r="E104" i="1"/>
  <c r="F104" i="1" s="1"/>
  <c r="E106" i="1"/>
  <c r="F106" i="1" s="1"/>
  <c r="E100" i="1"/>
  <c r="F100" i="1" s="1"/>
  <c r="I91" i="1" l="1"/>
  <c r="I92" i="1"/>
  <c r="I93" i="1"/>
  <c r="I94" i="1"/>
  <c r="I95" i="1"/>
  <c r="I96" i="1"/>
  <c r="I97" i="1"/>
  <c r="I90" i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0" i="1"/>
  <c r="F90" i="1" s="1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14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<sst xmlns="http://schemas.openxmlformats.org/spreadsheetml/2006/main" count="201" uniqueCount="179">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</sst>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/>
  </cellStyleXfs>
  <cellXfs count="247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/>
    </xf>
    <xf numFmtId="165" fontId="0" fillId="3" borderId="1" xfId="0" applyNumberFormat="1" applyFont="1" applyFill="1" applyBorder="1" applyAlignment="1">
      <alignment horizontal="center"/>
    </xf>
    <xf numFmtId="2" fontId="0" fillId="3" borderId="1" xfId="0" applyNumberFormat="1" applyFont="1" applyFill="1" applyBorder="1" applyAlignment="1">
      <alignment horizontal="center"/>
    </xf>
    <xf numFmtId="14" fontId="0" fillId="3" borderId="1" xfId="0" applyNumberFormat="1" applyFont="1" applyFill="1" applyBorder="1" applyAlignment="1">
      <alignment horizontal="center"/>
    </xf>
    <xf numFmtId="0" fontId="0" fillId="3" borderId="3" xfId="0" applyFont="1" applyFill="1" applyBorder="1" applyAlignment="1">
      <alignment horizontal="center"/>
    </xf>
    <xf numFmtId="165" fontId="0" fillId="3" borderId="3" xfId="0" applyNumberFormat="1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on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ont="1" applyFill="1" applyBorder="1" applyAlignment="1">
      <alignment horizontal="center"/>
    </xf>
    <xf numFmtId="0" fontId="0" fillId="2" borderId="5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ont="1" applyFill="1" applyBorder="1" applyAlignment="1">
      <alignment horizontal="center"/>
    </xf>
    <xf numFmtId="2" fontId="0" fillId="2" borderId="5" xfId="0" applyNumberFormat="1" applyFon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65" fontId="0" fillId="2" borderId="1" xfId="0" applyNumberFormat="1" applyFont="1" applyFill="1" applyBorder="1" applyAlignment="1">
      <alignment horizontal="center"/>
    </xf>
    <xf numFmtId="2" fontId="0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ont="1" applyFill="1" applyBorder="1" applyAlignment="1">
      <alignment horizontal="center"/>
    </xf>
    <xf numFmtId="0" fontId="0" fillId="2" borderId="3" xfId="0" applyFont="1" applyFill="1" applyBorder="1" applyAlignment="1">
      <alignment horizontal="center"/>
    </xf>
    <xf numFmtId="165" fontId="0" fillId="2" borderId="3" xfId="0" applyNumberFormat="1" applyFont="1" applyFill="1" applyBorder="1" applyAlignment="1">
      <alignment horizontal="center"/>
    </xf>
    <xf numFmtId="2" fontId="0" fillId="2" borderId="3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164" fontId="0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ont="1" applyFill="1" applyBorder="1" applyAlignment="1">
      <alignment horizontal="center"/>
    </xf>
    <xf numFmtId="0" fontId="0" fillId="5" borderId="4" xfId="0" applyFont="1" applyFill="1" applyBorder="1" applyAlignment="1">
      <alignment horizontal="center"/>
    </xf>
    <xf numFmtId="165" fontId="0" fillId="5" borderId="4" xfId="0" applyNumberFormat="1" applyFont="1" applyFill="1" applyBorder="1" applyAlignment="1">
      <alignment horizontal="center"/>
    </xf>
    <xf numFmtId="2" fontId="0" fillId="5" borderId="4" xfId="0" applyNumberFormat="1" applyFon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on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ont="1" applyFill="1" applyBorder="1" applyAlignment="1">
      <alignment horizontal="center"/>
    </xf>
    <xf numFmtId="0" fontId="0" fillId="5" borderId="1" xfId="0" applyFont="1" applyFill="1" applyBorder="1" applyAlignment="1">
      <alignment horizontal="center"/>
    </xf>
    <xf numFmtId="165" fontId="0" fillId="5" borderId="1" xfId="0" applyNumberFormat="1" applyFont="1" applyFill="1" applyBorder="1" applyAlignment="1">
      <alignment horizontal="center"/>
    </xf>
    <xf numFmtId="2" fontId="0" fillId="5" borderId="1" xfId="0" applyNumberFormat="1" applyFon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ont="1" applyFill="1" applyBorder="1" applyAlignment="1">
      <alignment horizontal="center"/>
    </xf>
    <xf numFmtId="0" fontId="0" fillId="5" borderId="3" xfId="0" applyFont="1" applyFill="1" applyBorder="1" applyAlignment="1">
      <alignment horizontal="center"/>
    </xf>
    <xf numFmtId="165" fontId="0" fillId="5" borderId="3" xfId="0" applyNumberFormat="1" applyFont="1" applyFill="1" applyBorder="1" applyAlignment="1">
      <alignment horizontal="center"/>
    </xf>
    <xf numFmtId="2" fontId="0" fillId="5" borderId="3" xfId="0" applyNumberFormat="1" applyFon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164" fontId="0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ont="1" applyFill="1" applyBorder="1" applyAlignment="1">
      <alignment horizontal="center"/>
    </xf>
    <xf numFmtId="0" fontId="0" fillId="6" borderId="2" xfId="0" applyFont="1" applyFill="1" applyBorder="1" applyAlignment="1">
      <alignment horizontal="center"/>
    </xf>
    <xf numFmtId="0" fontId="0" fillId="6" borderId="1" xfId="0" applyFont="1" applyFill="1" applyBorder="1" applyAlignment="1">
      <alignment horizontal="center"/>
    </xf>
    <xf numFmtId="165" fontId="0" fillId="6" borderId="1" xfId="0" applyNumberFormat="1" applyFont="1" applyFill="1" applyBorder="1" applyAlignment="1">
      <alignment horizontal="center"/>
    </xf>
    <xf numFmtId="2" fontId="0" fillId="6" borderId="1" xfId="0" applyNumberFormat="1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ont="1" applyFill="1" applyBorder="1" applyAlignment="1">
      <alignment horizontal="center"/>
    </xf>
    <xf numFmtId="0" fontId="0" fillId="6" borderId="6" xfId="0" applyFont="1" applyFill="1" applyBorder="1" applyAlignment="1">
      <alignment horizontal="center"/>
    </xf>
    <xf numFmtId="0" fontId="0" fillId="6" borderId="4" xfId="0" applyFont="1" applyFill="1" applyBorder="1" applyAlignment="1">
      <alignment horizontal="center"/>
    </xf>
    <xf numFmtId="165" fontId="0" fillId="6" borderId="4" xfId="0" applyNumberFormat="1" applyFont="1" applyFill="1" applyBorder="1" applyAlignment="1">
      <alignment horizontal="center"/>
    </xf>
    <xf numFmtId="2" fontId="0" fillId="6" borderId="4" xfId="0" applyNumberFormat="1" applyFon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ont="1" applyFill="1" applyBorder="1" applyAlignment="1">
      <alignment horizontal="center"/>
    </xf>
    <xf numFmtId="0" fontId="0" fillId="6" borderId="0" xfId="0" applyFont="1" applyFill="1" applyAlignment="1">
      <alignment horizontal="center"/>
    </xf>
    <xf numFmtId="0" fontId="0" fillId="6" borderId="7" xfId="0" applyFont="1" applyFill="1" applyBorder="1" applyAlignment="1">
      <alignment horizontal="center"/>
    </xf>
    <xf numFmtId="0" fontId="0" fillId="6" borderId="3" xfId="0" applyFont="1" applyFill="1" applyBorder="1" applyAlignment="1">
      <alignment horizontal="center"/>
    </xf>
    <xf numFmtId="165" fontId="0" fillId="6" borderId="3" xfId="0" applyNumberFormat="1" applyFont="1" applyFill="1" applyBorder="1" applyAlignment="1">
      <alignment horizontal="center"/>
    </xf>
    <xf numFmtId="2" fontId="0" fillId="6" borderId="3" xfId="0" applyNumberFormat="1" applyFon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ont="1" applyFill="1" applyBorder="1" applyAlignment="1">
      <alignment horizontal="center"/>
    </xf>
    <xf numFmtId="0" fontId="0" fillId="13" borderId="6" xfId="0" applyFont="1" applyFill="1" applyBorder="1" applyAlignment="1">
      <alignment horizontal="center"/>
    </xf>
    <xf numFmtId="0" fontId="0" fillId="13" borderId="4" xfId="0" applyFont="1" applyFill="1" applyBorder="1" applyAlignment="1">
      <alignment horizontal="center"/>
    </xf>
    <xf numFmtId="165" fontId="0" fillId="13" borderId="4" xfId="0" applyNumberFormat="1" applyFon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on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ont="1" applyFill="1" applyBorder="1" applyAlignment="1">
      <alignment horizontal="center"/>
    </xf>
    <xf numFmtId="0" fontId="0" fillId="13" borderId="2" xfId="0" applyFont="1" applyFill="1" applyBorder="1" applyAlignment="1">
      <alignment horizontal="center"/>
    </xf>
    <xf numFmtId="0" fontId="0" fillId="13" borderId="1" xfId="0" applyFont="1" applyFill="1" applyBorder="1" applyAlignment="1">
      <alignment horizontal="center"/>
    </xf>
    <xf numFmtId="165" fontId="0" fillId="13" borderId="1" xfId="0" applyNumberFormat="1" applyFon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0" fillId="13" borderId="1" xfId="0" applyFill="1" applyBorder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X126"/>
  <sheetViews>
    <sheetView tabSelected="1" topLeftCell="E89" zoomScale="85" zoomScaleNormal="85" workbookViewId="0">
      <selection activeCell="R105" sqref="R105:X105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15" width="18" customWidth="1"/>
    <col min="16" max="16" width="18.42578125" customWidth="1"/>
    <col min="17" max="17" width="15.5703125" customWidth="1"/>
  </cols>
  <sheetData>
    <row r="1" spans="1:16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146" t="s">
        <v>61</v>
      </c>
      <c r="O1" s="146" t="s">
        <v>67</v>
      </c>
    </row>
    <row r="2" spans="1:16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1.19</v>
      </c>
      <c r="L2" s="55">
        <v>6.2E-2</v>
      </c>
      <c r="M2" s="55">
        <v>0.36</v>
      </c>
      <c r="N2" s="55" t="s">
        <v>73</v>
      </c>
      <c r="O2" s="13">
        <v>44400.659722222219</v>
      </c>
      <c r="P2" s="233" t="s">
        <v>5</v>
      </c>
    </row>
    <row r="3" spans="1:16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 t="shared" ref="F3:F32" si="1">E3/B3*1000*1000</f>
        <v>528.03483941208492</v>
      </c>
      <c r="G3" s="55">
        <v>457.12</v>
      </c>
      <c r="H3" s="57">
        <v>12.917667659613238</v>
      </c>
      <c r="I3" s="58">
        <f t="shared" ref="I3:I12" si="2">H3/B3*1000</f>
        <v>50.228119059076278</v>
      </c>
      <c r="J3" s="59">
        <v>12.625</v>
      </c>
      <c r="K3" s="55">
        <v>1.63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34" t="s">
        <v>6</v>
      </c>
    </row>
    <row r="4" spans="1:16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0.77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35" t="s">
        <v>56</v>
      </c>
    </row>
    <row r="5" spans="1:16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si="1"/>
        <v>82.761404925313002</v>
      </c>
      <c r="G5" s="55">
        <v>168.45</v>
      </c>
      <c r="H5" s="57">
        <v>3.4720828614205299</v>
      </c>
      <c r="I5" s="58">
        <f t="shared" si="2"/>
        <v>11.68107543204323</v>
      </c>
      <c r="J5" s="59">
        <v>12.997</v>
      </c>
      <c r="K5" s="55">
        <v>0.5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36" t="s">
        <v>58</v>
      </c>
    </row>
    <row r="6" spans="1:16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1"/>
        <v>36.920031971986397</v>
      </c>
      <c r="G6" s="55">
        <v>43.15</v>
      </c>
      <c r="H6" s="57">
        <v>1.6843076180902734</v>
      </c>
      <c r="I6" s="58">
        <f t="shared" si="2"/>
        <v>6.4107928979951785</v>
      </c>
      <c r="J6" s="59">
        <v>12.868</v>
      </c>
      <c r="K6" s="55">
        <v>0.1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37" t="s">
        <v>57</v>
      </c>
    </row>
    <row r="7" spans="1:16" x14ac:dyDescent="0.25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0">
        <f t="shared" si="1"/>
        <v>22.011886418665991</v>
      </c>
      <c r="G7" s="4">
        <v>17.7</v>
      </c>
      <c r="H7" s="18">
        <v>1.3097205793723499</v>
      </c>
      <c r="I7" s="19">
        <f t="shared" si="2"/>
        <v>4.8049034388889487</v>
      </c>
      <c r="J7" s="26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13">
        <v>44400.876388888886</v>
      </c>
      <c r="P7" s="238" t="s">
        <v>59</v>
      </c>
    </row>
    <row r="8" spans="1:16" x14ac:dyDescent="0.25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1"/>
        <v>68.980963045912645</v>
      </c>
      <c r="G8" s="4">
        <v>92.06</v>
      </c>
      <c r="H8" s="18">
        <v>2.4792040459396865</v>
      </c>
      <c r="I8" s="19">
        <f t="shared" si="2"/>
        <v>11.105057316639133</v>
      </c>
      <c r="J8" s="26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39" t="s">
        <v>60</v>
      </c>
    </row>
    <row r="9" spans="1:16" x14ac:dyDescent="0.25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1"/>
        <v>124.47532204371103</v>
      </c>
      <c r="G9" s="4">
        <v>95.69</v>
      </c>
      <c r="H9" s="18">
        <v>6.1584312598812998</v>
      </c>
      <c r="I9" s="19">
        <f t="shared" si="2"/>
        <v>29.712120711541949</v>
      </c>
      <c r="J9" s="26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13">
        <v>44400.626388888886</v>
      </c>
    </row>
    <row r="10" spans="1:16" x14ac:dyDescent="0.25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1"/>
        <v>359.22024838861807</v>
      </c>
      <c r="G10" s="4">
        <v>403.51499999999999</v>
      </c>
      <c r="H10" s="18">
        <v>10.503118006915519</v>
      </c>
      <c r="I10" s="19">
        <f t="shared" si="2"/>
        <v>41.279350758196514</v>
      </c>
      <c r="J10" s="26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13">
        <v>44400.675694444442</v>
      </c>
    </row>
    <row r="11" spans="1:16" ht="13.15" customHeight="1" x14ac:dyDescent="0.25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1"/>
        <v>86.111374932725383</v>
      </c>
      <c r="G11" s="4">
        <v>124.04</v>
      </c>
      <c r="H11" s="18">
        <v>3.0083665576103797</v>
      </c>
      <c r="I11" s="19">
        <f t="shared" si="2"/>
        <v>9.5240654624066199</v>
      </c>
      <c r="J11" s="26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</row>
    <row r="12" spans="1:16" x14ac:dyDescent="0.25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2"/>
        <v>6.5386440491243301</v>
      </c>
      <c r="J12" s="26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</row>
    <row r="13" spans="1:16" ht="16.149999999999999" customHeight="1" thickBot="1" x14ac:dyDescent="0.3">
      <c r="A13" s="61" t="s">
        <v>96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1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0.06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</row>
    <row r="14" spans="1:16" ht="15.75" x14ac:dyDescent="0.25">
      <c r="A14" s="70" t="s">
        <v>98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0.48</v>
      </c>
      <c r="L14" s="70">
        <v>1.49059E-2</v>
      </c>
      <c r="M14" s="70">
        <v>9.9315000000000001E-2</v>
      </c>
      <c r="N14" s="75">
        <v>95</v>
      </c>
      <c r="O14" s="76">
        <v>44776.626388888886</v>
      </c>
    </row>
    <row r="15" spans="1:16" ht="15.75" x14ac:dyDescent="0.25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0.4</v>
      </c>
      <c r="L15" s="3">
        <v>7.15306E-2</v>
      </c>
      <c r="M15" s="3">
        <v>0.1012671</v>
      </c>
      <c r="N15" s="37">
        <v>96</v>
      </c>
      <c r="O15" s="13">
        <v>44776.636805555558</v>
      </c>
    </row>
    <row r="16" spans="1:16" ht="15.75" x14ac:dyDescent="0.25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42"/>
    </row>
    <row r="17" spans="1:17" ht="15.75" x14ac:dyDescent="0.25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</row>
    <row r="18" spans="1:17" ht="15.75" x14ac:dyDescent="0.25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</row>
    <row r="19" spans="1:17" ht="15.75" x14ac:dyDescent="0.25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0.08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5"/>
      <c r="Q19" s="5"/>
    </row>
    <row r="20" spans="1:17" ht="16.5" thickBot="1" x14ac:dyDescent="0.3">
      <c r="A20" s="78" t="s">
        <v>104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</row>
    <row r="21" spans="1:17" ht="15.75" x14ac:dyDescent="0.25">
      <c r="A21" s="84" t="s">
        <v>105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1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</row>
    <row r="22" spans="1:17" ht="15.75" x14ac:dyDescent="0.25">
      <c r="A22" s="6" t="s">
        <v>106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1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0.1</v>
      </c>
      <c r="L22" s="6">
        <v>1.1474099999999999E-2</v>
      </c>
      <c r="M22" s="6">
        <v>2.90394E-2</v>
      </c>
      <c r="N22" s="23">
        <v>103</v>
      </c>
      <c r="O22" s="13">
        <v>44781.581944444442</v>
      </c>
    </row>
    <row r="23" spans="1:17" ht="15.75" x14ac:dyDescent="0.25">
      <c r="A23" s="6" t="s">
        <v>107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1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</row>
    <row r="24" spans="1:17" ht="15.75" x14ac:dyDescent="0.25">
      <c r="A24" s="6" t="s">
        <v>108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1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0.11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</row>
    <row r="25" spans="1:17" ht="15.75" x14ac:dyDescent="0.25">
      <c r="A25" s="6" t="s">
        <v>109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1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</row>
    <row r="26" spans="1:17" ht="15.75" x14ac:dyDescent="0.25">
      <c r="A26" s="6" t="s">
        <v>110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1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0.17</v>
      </c>
      <c r="L26" s="6">
        <v>5.09398E-2</v>
      </c>
      <c r="M26" s="6">
        <v>7.3937699999999995E-2</v>
      </c>
      <c r="N26" s="23">
        <v>107</v>
      </c>
      <c r="O26" s="13">
        <v>44781.640972222223</v>
      </c>
    </row>
    <row r="27" spans="1:17" ht="15.75" x14ac:dyDescent="0.25">
      <c r="A27" s="6" t="s">
        <v>111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1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0.28999999999999998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</row>
    <row r="28" spans="1:17" ht="15.75" x14ac:dyDescent="0.25">
      <c r="A28" s="6" t="s">
        <v>112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1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</row>
    <row r="29" spans="1:17" ht="15.75" x14ac:dyDescent="0.25">
      <c r="A29" s="6" t="s">
        <v>113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1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</row>
    <row r="30" spans="1:17" ht="15.75" x14ac:dyDescent="0.25">
      <c r="A30" s="6" t="s">
        <v>114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1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</row>
    <row r="31" spans="1:17" ht="15.75" x14ac:dyDescent="0.25">
      <c r="A31" s="6" t="s">
        <v>115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1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</row>
    <row r="32" spans="1:17" ht="16.5" thickBot="1" x14ac:dyDescent="0.3">
      <c r="A32" s="90" t="s">
        <v>116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1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0.06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</row>
    <row r="33" spans="1:15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</row>
    <row r="34" spans="1:15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</row>
    <row r="35" spans="1:15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</row>
    <row r="36" spans="1:15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</row>
    <row r="37" spans="1:15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</row>
    <row r="38" spans="1:15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</row>
    <row r="39" spans="1:15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</row>
    <row r="40" spans="1:15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</row>
    <row r="41" spans="1:15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</row>
    <row r="42" spans="1:15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</row>
    <row r="43" spans="1:15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</row>
    <row r="44" spans="1:15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</row>
    <row r="45" spans="1:15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</row>
    <row r="46" spans="1:15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</row>
    <row r="47" spans="1:15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</row>
    <row r="48" spans="1:15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</row>
    <row r="49" spans="1:15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</row>
    <row r="50" spans="1:15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</row>
    <row r="51" spans="1:15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</row>
    <row r="52" spans="1:15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</row>
    <row r="53" spans="1:15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</row>
    <row r="54" spans="1:15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</row>
    <row r="55" spans="1:15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45151.78125</v>
      </c>
    </row>
    <row r="56" spans="1:15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45151.791666666664</v>
      </c>
    </row>
    <row r="57" spans="1:15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45151.802083333336</v>
      </c>
    </row>
    <row r="58" spans="1:15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45151.8125</v>
      </c>
    </row>
    <row r="59" spans="1:15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45151.822916666664</v>
      </c>
    </row>
    <row r="60" spans="1:15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45151.833333333336</v>
      </c>
    </row>
    <row r="61" spans="1:15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45151.84375</v>
      </c>
    </row>
    <row r="62" spans="1:15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45151.854166666664</v>
      </c>
    </row>
    <row r="63" spans="1:15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45151.864583333336</v>
      </c>
    </row>
    <row r="64" spans="1:15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45151.875</v>
      </c>
    </row>
    <row r="65" spans="1:15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45151.885416666664</v>
      </c>
    </row>
    <row r="66" spans="1:15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45151.895833333336</v>
      </c>
    </row>
    <row r="67" spans="1:15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45151.90625</v>
      </c>
    </row>
    <row r="68" spans="1:15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</row>
    <row r="69" spans="1:15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</row>
    <row r="70" spans="1:15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</row>
    <row r="71" spans="1:15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</row>
    <row r="72" spans="1:15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</row>
    <row r="73" spans="1:15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</row>
    <row r="74" spans="1:15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</row>
    <row r="75" spans="1:15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</row>
    <row r="76" spans="1:15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</row>
    <row r="77" spans="1:15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</row>
    <row r="78" spans="1:15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</row>
    <row r="79" spans="1:15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</row>
    <row r="80" spans="1:15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</row>
    <row r="81" spans="1:16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</row>
    <row r="82" spans="1:16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</row>
    <row r="83" spans="1:16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</row>
    <row r="84" spans="1:16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</row>
    <row r="85" spans="1:16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</row>
    <row r="86" spans="1:16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</row>
    <row r="87" spans="1:16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</row>
    <row r="89" spans="1:16" ht="45" x14ac:dyDescent="0.25">
      <c r="A89" s="144" t="s">
        <v>120</v>
      </c>
      <c r="B89" s="145" t="s">
        <v>0</v>
      </c>
      <c r="C89" s="146" t="s">
        <v>2</v>
      </c>
      <c r="D89" s="146" t="s">
        <v>3</v>
      </c>
      <c r="E89" s="146" t="s">
        <v>71</v>
      </c>
      <c r="F89" s="146" t="s">
        <v>4</v>
      </c>
      <c r="G89" s="146" t="s">
        <v>97</v>
      </c>
      <c r="H89" s="146" t="s">
        <v>72</v>
      </c>
      <c r="I89" s="146" t="s">
        <v>70</v>
      </c>
      <c r="J89" s="146" t="s">
        <v>69</v>
      </c>
      <c r="K89" s="145" t="s">
        <v>117</v>
      </c>
      <c r="L89" s="146" t="s">
        <v>118</v>
      </c>
      <c r="M89" s="146" t="s">
        <v>119</v>
      </c>
      <c r="N89" s="241" t="s">
        <v>61</v>
      </c>
      <c r="O89" s="146" t="s">
        <v>67</v>
      </c>
      <c r="P89" s="242" t="s">
        <v>171</v>
      </c>
    </row>
    <row r="90" spans="1:16" x14ac:dyDescent="0.25">
      <c r="A90" s="2" t="s">
        <v>129</v>
      </c>
      <c r="B90" s="2">
        <v>287.25</v>
      </c>
      <c r="C90" s="2">
        <v>0.2442</v>
      </c>
      <c r="D90" s="2">
        <v>0.24560000000000001</v>
      </c>
      <c r="E90" s="2">
        <f>D90-C90</f>
        <v>1.4000000000000123E-3</v>
      </c>
      <c r="F90" s="147">
        <f>(E90*1000)/(B90/1000)</f>
        <v>4.8738033072237155</v>
      </c>
      <c r="G90" s="2">
        <v>0</v>
      </c>
      <c r="H90" s="148">
        <v>1.046437323968445</v>
      </c>
      <c r="I90" s="149">
        <f>H90/(B90/1000)</f>
        <v>3.6429497788283549</v>
      </c>
      <c r="J90" s="2"/>
      <c r="K90" s="2"/>
      <c r="L90" s="150">
        <v>0.03</v>
      </c>
      <c r="M90" s="150">
        <v>3.6999999999999998E-2</v>
      </c>
      <c r="N90" s="2" t="s">
        <v>121</v>
      </c>
      <c r="O90" s="243">
        <v>44394</v>
      </c>
      <c r="P90" s="237" t="s">
        <v>166</v>
      </c>
    </row>
    <row r="91" spans="1:16" x14ac:dyDescent="0.25">
      <c r="A91" s="151" t="s">
        <v>130</v>
      </c>
      <c r="B91" s="151">
        <v>159.59</v>
      </c>
      <c r="C91" s="151">
        <v>0.2402</v>
      </c>
      <c r="D91" s="151">
        <v>0.24030000000000001</v>
      </c>
      <c r="E91" s="151">
        <f t="shared" ref="E91:E130" si="16">D91-C91</f>
        <v>1.0000000000001674E-4</v>
      </c>
      <c r="F91" s="152">
        <f t="shared" ref="F91:F130" si="17">(E91*1000)/(B91/1000)</f>
        <v>0.62660567704753889</v>
      </c>
      <c r="G91" s="151">
        <v>0</v>
      </c>
      <c r="H91" s="148">
        <v>0.39719240842078224</v>
      </c>
      <c r="I91" s="153">
        <f t="shared" ref="I91:I128" si="18">H91/(B91/1000)</f>
        <v>2.4888301799660519</v>
      </c>
      <c r="J91" s="151"/>
      <c r="K91" s="151"/>
      <c r="L91" s="150">
        <v>2.8000000000000001E-2</v>
      </c>
      <c r="M91" s="150">
        <v>3.6999999999999998E-2</v>
      </c>
      <c r="N91" s="151" t="s">
        <v>122</v>
      </c>
      <c r="O91" s="154">
        <v>44394</v>
      </c>
      <c r="P91" s="236" t="s">
        <v>169</v>
      </c>
    </row>
    <row r="92" spans="1:16" x14ac:dyDescent="0.25">
      <c r="A92" s="151" t="s">
        <v>131</v>
      </c>
      <c r="B92" s="151">
        <v>134.51</v>
      </c>
      <c r="C92" s="151">
        <v>0.2412</v>
      </c>
      <c r="D92" s="151">
        <v>0.24179999999999999</v>
      </c>
      <c r="E92" s="151">
        <f t="shared" si="16"/>
        <v>5.9999999999998943E-4</v>
      </c>
      <c r="F92" s="152">
        <f t="shared" si="17"/>
        <v>4.4606348970335992</v>
      </c>
      <c r="G92" s="151">
        <v>0</v>
      </c>
      <c r="H92" s="148">
        <v>0.33234237884337697</v>
      </c>
      <c r="I92" s="153">
        <f t="shared" si="18"/>
        <v>2.4707633547199239</v>
      </c>
      <c r="J92" s="151"/>
      <c r="K92" s="151"/>
      <c r="L92" s="150">
        <v>2.1999999999999999E-2</v>
      </c>
      <c r="M92" s="150">
        <v>2.5999999999999999E-2</v>
      </c>
      <c r="N92" s="151" t="s">
        <v>123</v>
      </c>
      <c r="O92" s="154">
        <v>44396</v>
      </c>
      <c r="P92" s="233" t="s">
        <v>167</v>
      </c>
    </row>
    <row r="93" spans="1:16" x14ac:dyDescent="0.25">
      <c r="A93" s="151" t="s">
        <v>132</v>
      </c>
      <c r="B93" s="151">
        <v>117.22999999999999</v>
      </c>
      <c r="C93" s="151">
        <v>0.2407</v>
      </c>
      <c r="D93" s="151">
        <v>0.24160000000000001</v>
      </c>
      <c r="E93" s="151">
        <f t="shared" si="16"/>
        <v>9.000000000000119E-4</v>
      </c>
      <c r="F93" s="152">
        <f t="shared" si="17"/>
        <v>7.6772157297621089</v>
      </c>
      <c r="G93" s="151">
        <v>0</v>
      </c>
      <c r="H93" s="148">
        <v>0.33481118985762565</v>
      </c>
      <c r="I93" s="153">
        <f t="shared" si="18"/>
        <v>2.8560197036392192</v>
      </c>
      <c r="J93" s="151"/>
      <c r="K93" s="151"/>
      <c r="L93" s="150">
        <v>2.5000000000000001E-2</v>
      </c>
      <c r="M93" s="150">
        <v>2.5000000000000001E-2</v>
      </c>
      <c r="N93" s="151" t="s">
        <v>124</v>
      </c>
      <c r="O93" s="154">
        <v>44396</v>
      </c>
      <c r="P93" s="235" t="s">
        <v>170</v>
      </c>
    </row>
    <row r="94" spans="1:16" x14ac:dyDescent="0.25">
      <c r="A94" s="151" t="s">
        <v>133</v>
      </c>
      <c r="B94" s="151">
        <v>333.45</v>
      </c>
      <c r="C94" s="151">
        <v>0.24099999999999999</v>
      </c>
      <c r="D94" s="151">
        <v>0.24249999999999999</v>
      </c>
      <c r="E94" s="151">
        <f t="shared" si="16"/>
        <v>1.5000000000000013E-3</v>
      </c>
      <c r="F94" s="152">
        <f t="shared" si="17"/>
        <v>4.4984255510571343</v>
      </c>
      <c r="G94" s="151">
        <v>0</v>
      </c>
      <c r="H94" s="148">
        <v>0.49779418859739377</v>
      </c>
      <c r="I94" s="153">
        <f t="shared" si="18"/>
        <v>1.4928600647695121</v>
      </c>
      <c r="J94" s="151"/>
      <c r="K94" s="151"/>
      <c r="L94" s="150">
        <v>2.4E-2</v>
      </c>
      <c r="M94" s="150">
        <v>2.1999999999999999E-2</v>
      </c>
      <c r="N94" s="151" t="s">
        <v>125</v>
      </c>
      <c r="O94" s="154">
        <v>44413</v>
      </c>
      <c r="P94" s="240" t="s">
        <v>168</v>
      </c>
    </row>
    <row r="95" spans="1:16" x14ac:dyDescent="0.25">
      <c r="A95" s="151" t="s">
        <v>135</v>
      </c>
      <c r="B95" s="151">
        <v>318</v>
      </c>
      <c r="C95" s="151">
        <v>0.24160000000000001</v>
      </c>
      <c r="D95" s="151">
        <v>0.24329999999999999</v>
      </c>
      <c r="E95" s="151">
        <f t="shared" si="16"/>
        <v>1.6999999999999793E-3</v>
      </c>
      <c r="F95" s="152">
        <f t="shared" si="17"/>
        <v>5.345911949685469</v>
      </c>
      <c r="G95" s="151">
        <v>0</v>
      </c>
      <c r="H95" s="148">
        <v>0.47710769568542255</v>
      </c>
      <c r="I95" s="153">
        <f t="shared" si="18"/>
        <v>1.5003386656774294</v>
      </c>
      <c r="J95" s="151"/>
      <c r="K95" s="151"/>
      <c r="L95" s="150">
        <v>2.4E-2</v>
      </c>
      <c r="M95" s="150">
        <v>2.3E-2</v>
      </c>
      <c r="N95" s="151" t="s">
        <v>126</v>
      </c>
      <c r="O95" s="154">
        <v>44413</v>
      </c>
    </row>
    <row r="96" spans="1:16" x14ac:dyDescent="0.25">
      <c r="A96" s="151" t="s">
        <v>136</v>
      </c>
      <c r="B96" s="151">
        <v>293.42</v>
      </c>
      <c r="C96" s="151">
        <v>0.24</v>
      </c>
      <c r="D96" s="151">
        <v>0.24360000000000001</v>
      </c>
      <c r="E96" s="151">
        <f t="shared" si="16"/>
        <v>3.6000000000000199E-3</v>
      </c>
      <c r="F96" s="152">
        <f t="shared" si="17"/>
        <v>12.269102310681003</v>
      </c>
      <c r="G96" s="151">
        <v>0</v>
      </c>
      <c r="H96" s="148">
        <v>0.75074101119692438</v>
      </c>
      <c r="I96" s="153">
        <f t="shared" si="18"/>
        <v>2.5585884097775349</v>
      </c>
      <c r="J96" s="151"/>
      <c r="K96" s="151"/>
      <c r="L96" s="150">
        <v>2.1999999999999999E-2</v>
      </c>
      <c r="M96" s="150">
        <v>2.4E-2</v>
      </c>
      <c r="N96" s="151" t="s">
        <v>127</v>
      </c>
      <c r="O96" s="154">
        <v>44421</v>
      </c>
    </row>
    <row r="97" spans="1:24" ht="15.75" thickBot="1" x14ac:dyDescent="0.3">
      <c r="A97" s="155" t="s">
        <v>134</v>
      </c>
      <c r="B97" s="155">
        <v>341.46</v>
      </c>
      <c r="C97" s="155">
        <v>0.2407</v>
      </c>
      <c r="D97" s="155">
        <v>0.2424</v>
      </c>
      <c r="E97" s="155">
        <f t="shared" si="16"/>
        <v>1.7000000000000071E-3</v>
      </c>
      <c r="F97" s="156">
        <f t="shared" si="17"/>
        <v>4.9786212147835975</v>
      </c>
      <c r="G97" s="155">
        <v>0</v>
      </c>
      <c r="H97" s="157">
        <v>0.58988878338277129</v>
      </c>
      <c r="I97" s="158">
        <f t="shared" si="18"/>
        <v>1.72754871253667</v>
      </c>
      <c r="J97" s="155"/>
      <c r="K97" s="155"/>
      <c r="L97" s="159">
        <v>2.1000000000000001E-2</v>
      </c>
      <c r="M97" s="159">
        <v>2.1999999999999999E-2</v>
      </c>
      <c r="N97" s="155" t="s">
        <v>128</v>
      </c>
      <c r="O97" s="160">
        <v>44421</v>
      </c>
      <c r="Q97" t="s">
        <v>178</v>
      </c>
    </row>
    <row r="98" spans="1:24" ht="15.75" x14ac:dyDescent="0.25">
      <c r="A98" s="161" t="s">
        <v>137</v>
      </c>
      <c r="B98" s="162">
        <v>119.13</v>
      </c>
      <c r="C98" s="161">
        <v>0.23960000000000001</v>
      </c>
      <c r="D98" s="161">
        <v>0.2404</v>
      </c>
      <c r="E98" s="161">
        <f>D98-C98</f>
        <v>7.9999999999999516E-4</v>
      </c>
      <c r="F98" s="163">
        <f>(E98*1000)/(B98/1000)</f>
        <v>6.7153529757407471</v>
      </c>
      <c r="G98" s="161">
        <v>0</v>
      </c>
      <c r="H98" s="161"/>
      <c r="I98" s="164"/>
      <c r="J98" s="165">
        <v>1.482</v>
      </c>
      <c r="K98" s="161"/>
      <c r="L98" s="161"/>
      <c r="M98" s="161"/>
      <c r="N98" s="166">
        <v>121</v>
      </c>
      <c r="O98" s="167">
        <v>44632</v>
      </c>
      <c r="R98" t="s">
        <v>172</v>
      </c>
      <c r="S98" t="s">
        <v>173</v>
      </c>
      <c r="T98" t="s">
        <v>174</v>
      </c>
      <c r="U98" t="s">
        <v>175</v>
      </c>
      <c r="V98" t="s">
        <v>117</v>
      </c>
      <c r="W98" t="s">
        <v>176</v>
      </c>
      <c r="X98" t="s">
        <v>177</v>
      </c>
    </row>
    <row r="99" spans="1:24" ht="15.75" x14ac:dyDescent="0.25">
      <c r="A99" s="168" t="s">
        <v>138</v>
      </c>
      <c r="B99" s="168">
        <v>121.65</v>
      </c>
      <c r="C99" s="168">
        <v>0.23630000000000001</v>
      </c>
      <c r="D99" s="168">
        <v>0.23730000000000001</v>
      </c>
      <c r="E99" s="168">
        <f t="shared" si="16"/>
        <v>1.0000000000000009E-3</v>
      </c>
      <c r="F99" s="169">
        <f t="shared" si="17"/>
        <v>8.2203041512536039</v>
      </c>
      <c r="G99" s="168">
        <v>0</v>
      </c>
      <c r="H99" s="168"/>
      <c r="I99" s="170"/>
      <c r="J99" s="171">
        <v>1.538</v>
      </c>
      <c r="K99" s="168"/>
      <c r="L99" s="168"/>
      <c r="M99" s="168"/>
      <c r="N99" s="172">
        <v>120</v>
      </c>
      <c r="O99" s="173">
        <v>44632</v>
      </c>
      <c r="Q99" s="233" t="s">
        <v>5</v>
      </c>
      <c r="R99">
        <v>0</v>
      </c>
      <c r="S99" s="244">
        <f>AVERAGE(F90:F93)</f>
        <v>4.409564902766741</v>
      </c>
      <c r="T99" s="244">
        <f>AVERAGE(L90:L93)</f>
        <v>2.6249999999999996E-2</v>
      </c>
      <c r="U99" s="244">
        <f>AVERAGE(M90:M93)</f>
        <v>3.125E-2</v>
      </c>
      <c r="V99">
        <v>0</v>
      </c>
      <c r="W99" s="245">
        <f>AVERAGE(I90:I93)</f>
        <v>2.8646407542883878</v>
      </c>
      <c r="X99" s="244">
        <f>AVERAGE(J98:J101)</f>
        <v>1.754</v>
      </c>
    </row>
    <row r="100" spans="1:24" ht="15.75" x14ac:dyDescent="0.25">
      <c r="A100" s="168" t="s">
        <v>139</v>
      </c>
      <c r="B100" s="168">
        <v>119.19</v>
      </c>
      <c r="C100" s="168">
        <v>0.2397</v>
      </c>
      <c r="D100" s="168">
        <v>0.2409</v>
      </c>
      <c r="E100" s="168">
        <f>D100-C100</f>
        <v>1.2000000000000066E-3</v>
      </c>
      <c r="F100" s="169">
        <f>(E100*1000)/(B100/1000)</f>
        <v>10.067958721369298</v>
      </c>
      <c r="G100" s="168">
        <v>0</v>
      </c>
      <c r="H100" s="168"/>
      <c r="I100" s="170"/>
      <c r="J100" s="168">
        <v>2.238</v>
      </c>
      <c r="K100" s="168"/>
      <c r="L100" s="168"/>
      <c r="M100" s="168"/>
      <c r="N100" s="172">
        <v>129</v>
      </c>
      <c r="O100" s="173">
        <v>44638</v>
      </c>
      <c r="Q100" s="234" t="s">
        <v>6</v>
      </c>
      <c r="R100">
        <v>0</v>
      </c>
      <c r="S100" s="244">
        <f>AVERAGE(F102:F103)</f>
        <v>2.9274423582748486</v>
      </c>
      <c r="T100" s="244">
        <f>AVERAGE(L102:L103)</f>
        <v>1.9785000000000011E-3</v>
      </c>
      <c r="U100" s="244">
        <f>AVERAGE(M94:M97)</f>
        <v>2.2749999999999999E-2</v>
      </c>
      <c r="V100">
        <v>0</v>
      </c>
      <c r="W100" s="245">
        <f>AVERAGE(I94:I97)</f>
        <v>1.8198339631902867</v>
      </c>
      <c r="X100" s="244">
        <f>AVERAGE(J102:J103)</f>
        <v>2.8035000000000001</v>
      </c>
    </row>
    <row r="101" spans="1:24" ht="16.5" thickBot="1" x14ac:dyDescent="0.3">
      <c r="A101" s="174" t="s">
        <v>140</v>
      </c>
      <c r="B101" s="174">
        <v>120.77</v>
      </c>
      <c r="C101" s="174">
        <v>0.23830000000000001</v>
      </c>
      <c r="D101" s="174">
        <v>0.23899999999999999</v>
      </c>
      <c r="E101" s="174">
        <f>D101-C101</f>
        <v>6.9999999999997842E-4</v>
      </c>
      <c r="F101" s="175">
        <f>(E101*1000)/(B101/1000)</f>
        <v>5.7961414258506121</v>
      </c>
      <c r="G101" s="174">
        <v>0</v>
      </c>
      <c r="H101" s="174"/>
      <c r="I101" s="176"/>
      <c r="J101" s="177">
        <v>1.758</v>
      </c>
      <c r="K101" s="174"/>
      <c r="L101" s="178"/>
      <c r="M101" s="174"/>
      <c r="N101" s="179">
        <v>124</v>
      </c>
      <c r="O101" s="180">
        <v>44638</v>
      </c>
      <c r="Q101" s="235" t="s">
        <v>56</v>
      </c>
      <c r="R101">
        <v>0</v>
      </c>
      <c r="S101" s="244">
        <f>AVERAGE(F102:F103)</f>
        <v>2.9274423582748486</v>
      </c>
      <c r="T101" s="244">
        <f>AVERAGE(L102:L103)</f>
        <v>1.9785000000000011E-3</v>
      </c>
      <c r="U101" s="244">
        <f>AVERAGE(M94:M97)</f>
        <v>2.2749999999999999E-2</v>
      </c>
      <c r="V101">
        <v>0</v>
      </c>
      <c r="W101" s="245">
        <f>I21</f>
        <v>1.5244913860512195</v>
      </c>
      <c r="X101" s="244">
        <f>AVERAGE(J102:J103)</f>
        <v>2.8035000000000001</v>
      </c>
    </row>
    <row r="102" spans="1:24" ht="15.75" x14ac:dyDescent="0.25">
      <c r="A102" s="181" t="s">
        <v>141</v>
      </c>
      <c r="B102" s="181">
        <v>119.31</v>
      </c>
      <c r="C102" s="181">
        <v>0.2397</v>
      </c>
      <c r="D102" s="181">
        <v>0.24030000000000001</v>
      </c>
      <c r="E102" s="181">
        <f>D102-C102</f>
        <v>6.0000000000001719E-4</v>
      </c>
      <c r="F102" s="182">
        <f>(E102*1000)/(B102/1000)</f>
        <v>5.0289162685442728</v>
      </c>
      <c r="G102" s="181">
        <v>0</v>
      </c>
      <c r="H102" s="181"/>
      <c r="I102" s="183"/>
      <c r="J102" s="184">
        <v>3.294</v>
      </c>
      <c r="K102" s="181"/>
      <c r="L102" s="185">
        <v>2.2415999999999998E-3</v>
      </c>
      <c r="M102" s="181"/>
      <c r="N102" s="186">
        <v>126</v>
      </c>
      <c r="O102" s="187">
        <v>44754</v>
      </c>
      <c r="Q102" s="236" t="s">
        <v>58</v>
      </c>
      <c r="R102">
        <v>0</v>
      </c>
      <c r="S102" s="245">
        <f>F124</f>
        <v>13.333333333333346</v>
      </c>
      <c r="T102" s="244"/>
      <c r="U102" s="244"/>
      <c r="V102">
        <v>0</v>
      </c>
      <c r="W102" s="245">
        <f>I124</f>
        <v>8.767983246000001E-2</v>
      </c>
      <c r="X102" s="244">
        <f>AVERAGE(J102:J103)</f>
        <v>2.8035000000000001</v>
      </c>
    </row>
    <row r="103" spans="1:24" ht="15.75" x14ac:dyDescent="0.25">
      <c r="A103" s="188" t="s">
        <v>142</v>
      </c>
      <c r="B103" s="188">
        <v>121.07</v>
      </c>
      <c r="C103" s="188">
        <v>0.24099999999999999</v>
      </c>
      <c r="D103" s="188">
        <v>0.24110000000000001</v>
      </c>
      <c r="E103" s="188">
        <f>D103-C103</f>
        <v>1.0000000000001674E-4</v>
      </c>
      <c r="F103" s="189">
        <f>(E103*1000)/(B103/1000)</f>
        <v>0.82596844800542446</v>
      </c>
      <c r="G103" s="188">
        <v>0</v>
      </c>
      <c r="H103" s="188"/>
      <c r="I103" s="190"/>
      <c r="J103" s="191">
        <v>2.3130000000000002</v>
      </c>
      <c r="K103" s="188"/>
      <c r="L103" s="192">
        <v>1.7154000000000023E-3</v>
      </c>
      <c r="M103" s="188"/>
      <c r="N103" s="193">
        <v>123</v>
      </c>
      <c r="O103" s="194">
        <v>44754</v>
      </c>
      <c r="Q103" s="237" t="s">
        <v>57</v>
      </c>
      <c r="R103">
        <v>0</v>
      </c>
      <c r="S103" s="245">
        <f>F124</f>
        <v>13.333333333333346</v>
      </c>
      <c r="T103" s="244"/>
      <c r="U103" s="244"/>
      <c r="V103">
        <v>0</v>
      </c>
      <c r="W103" s="245">
        <f>I124</f>
        <v>8.767983246000001E-2</v>
      </c>
      <c r="X103" s="244">
        <f>AVERAGE(J106:J107)</f>
        <v>3.4509999999999996</v>
      </c>
    </row>
    <row r="104" spans="1:24" ht="15.75" x14ac:dyDescent="0.25">
      <c r="A104" s="188" t="s">
        <v>143</v>
      </c>
      <c r="B104" s="188">
        <v>120.11</v>
      </c>
      <c r="C104" s="188">
        <v>0.23680000000000001</v>
      </c>
      <c r="D104" s="188">
        <v>0.23749999999999999</v>
      </c>
      <c r="E104" s="188">
        <f>D104-C104</f>
        <v>6.9999999999997842E-4</v>
      </c>
      <c r="F104" s="189">
        <f>(E104*1000)/(B104/1000)</f>
        <v>5.8279910082422646</v>
      </c>
      <c r="G104" s="188">
        <v>0</v>
      </c>
      <c r="H104" s="188"/>
      <c r="I104" s="190"/>
      <c r="J104" s="188">
        <v>3.6389999999999998</v>
      </c>
      <c r="K104" s="188"/>
      <c r="L104" s="192">
        <v>2.2415999999999998E-3</v>
      </c>
      <c r="M104" s="188"/>
      <c r="N104" s="193">
        <v>127</v>
      </c>
      <c r="O104" s="194">
        <v>44784</v>
      </c>
      <c r="Q104" s="238" t="s">
        <v>59</v>
      </c>
      <c r="R104">
        <v>0</v>
      </c>
      <c r="S104" s="245">
        <f>AVERAGE(F125:F126)</f>
        <v>5.52380952380949</v>
      </c>
      <c r="T104" s="244"/>
      <c r="U104" s="244"/>
      <c r="V104">
        <v>0</v>
      </c>
      <c r="W104" s="245">
        <f>I124</f>
        <v>8.767983246000001E-2</v>
      </c>
      <c r="X104" s="244">
        <f>AVERAGE(J125:J126)</f>
        <v>1.1215000000000002</v>
      </c>
    </row>
    <row r="105" spans="1:24" ht="15.75" x14ac:dyDescent="0.25">
      <c r="A105" s="188" t="s">
        <v>144</v>
      </c>
      <c r="B105" s="188">
        <v>121.37</v>
      </c>
      <c r="C105" s="188">
        <v>0.2329</v>
      </c>
      <c r="D105" s="188">
        <v>0.2331</v>
      </c>
      <c r="E105" s="188">
        <f>D105-C105</f>
        <v>2.0000000000000573E-4</v>
      </c>
      <c r="F105" s="189">
        <f>(E105*1000)/(B105/1000)</f>
        <v>1.6478536705940983</v>
      </c>
      <c r="G105" s="188">
        <v>0</v>
      </c>
      <c r="H105" s="188"/>
      <c r="I105" s="190"/>
      <c r="J105" s="191">
        <v>3.1560000000000001</v>
      </c>
      <c r="K105" s="188"/>
      <c r="L105" s="192">
        <v>1.0137999999999987E-3</v>
      </c>
      <c r="M105" s="188"/>
      <c r="N105" s="193">
        <v>122</v>
      </c>
      <c r="O105" s="194">
        <v>44784</v>
      </c>
      <c r="Q105" s="239" t="s">
        <v>60</v>
      </c>
      <c r="R105">
        <v>0</v>
      </c>
      <c r="S105" s="245">
        <f>AVERAGE(F125:F126)</f>
        <v>5.52380952380949</v>
      </c>
      <c r="T105" s="244"/>
      <c r="U105" s="244"/>
      <c r="V105">
        <v>0</v>
      </c>
      <c r="W105" s="245">
        <f>I124</f>
        <v>8.767983246000001E-2</v>
      </c>
      <c r="X105" s="244">
        <f>AVERAGE(J125:J126)</f>
        <v>1.1215000000000002</v>
      </c>
    </row>
    <row r="106" spans="1:24" ht="15.75" x14ac:dyDescent="0.25">
      <c r="A106" s="188" t="s">
        <v>145</v>
      </c>
      <c r="B106" s="188">
        <v>107.41</v>
      </c>
      <c r="C106" s="188">
        <v>0.23749999999999999</v>
      </c>
      <c r="D106" s="188">
        <v>0.23749999999999999</v>
      </c>
      <c r="E106" s="188">
        <f>D106-C106</f>
        <v>0</v>
      </c>
      <c r="F106" s="189">
        <f>(E106*1000)/(B106/1000)</f>
        <v>0</v>
      </c>
      <c r="G106" s="188">
        <v>0</v>
      </c>
      <c r="H106" s="188"/>
      <c r="I106" s="190"/>
      <c r="J106" s="188">
        <v>3.6909999999999998</v>
      </c>
      <c r="K106" s="188"/>
      <c r="L106" s="188"/>
      <c r="M106" s="188"/>
      <c r="N106" s="193">
        <v>128</v>
      </c>
      <c r="O106" s="194">
        <v>44797</v>
      </c>
    </row>
    <row r="107" spans="1:24" ht="16.5" thickBot="1" x14ac:dyDescent="0.3">
      <c r="A107" s="195" t="s">
        <v>146</v>
      </c>
      <c r="B107" s="195">
        <v>104.74</v>
      </c>
      <c r="C107" s="195">
        <v>0.23330000000000001</v>
      </c>
      <c r="D107" s="195">
        <v>0.2334</v>
      </c>
      <c r="E107" s="195">
        <f>D107-C107</f>
        <v>9.9999999999988987E-5</v>
      </c>
      <c r="F107" s="196">
        <f>(E107*1000)/(B107/1000)</f>
        <v>0.9547450830627171</v>
      </c>
      <c r="G107" s="195">
        <v>0</v>
      </c>
      <c r="H107" s="195"/>
      <c r="I107" s="197"/>
      <c r="J107" s="198">
        <v>3.2109999999999999</v>
      </c>
      <c r="K107" s="195"/>
      <c r="L107" s="199"/>
      <c r="M107" s="195"/>
      <c r="N107" s="200">
        <v>125</v>
      </c>
      <c r="O107" s="201">
        <v>44797</v>
      </c>
    </row>
    <row r="108" spans="1:24" ht="15.75" x14ac:dyDescent="0.25">
      <c r="A108" s="202" t="s">
        <v>147</v>
      </c>
      <c r="B108" s="203">
        <v>119.19</v>
      </c>
      <c r="C108" s="203">
        <v>0.23039999999999999</v>
      </c>
      <c r="D108" s="203">
        <v>0.23300000000000001</v>
      </c>
      <c r="E108" s="203">
        <f>D108-C108</f>
        <v>2.600000000000019E-3</v>
      </c>
      <c r="F108" s="204">
        <f>(E108*1000)/(B108/1000)</f>
        <v>21.813910562966853</v>
      </c>
      <c r="G108" s="203">
        <v>0</v>
      </c>
      <c r="H108" s="203"/>
      <c r="I108" s="205"/>
      <c r="J108" s="203">
        <v>2.319</v>
      </c>
      <c r="K108" s="203"/>
      <c r="L108" s="203"/>
      <c r="M108" s="203"/>
      <c r="N108" s="206">
        <v>136</v>
      </c>
      <c r="O108" s="207">
        <v>45003</v>
      </c>
    </row>
    <row r="109" spans="1:24" ht="15.75" x14ac:dyDescent="0.25">
      <c r="A109" s="202" t="s">
        <v>148</v>
      </c>
      <c r="B109" s="203">
        <v>200</v>
      </c>
      <c r="C109" s="203">
        <v>0.223</v>
      </c>
      <c r="D109" s="203">
        <v>0.2288</v>
      </c>
      <c r="E109" s="203">
        <f>D109-C109</f>
        <v>5.7999999999999996E-3</v>
      </c>
      <c r="F109" s="204">
        <f>(E109*1000)/(B109/1000)</f>
        <v>28.999999999999996</v>
      </c>
      <c r="G109" s="203">
        <v>0</v>
      </c>
      <c r="H109" s="203"/>
      <c r="I109" s="205"/>
      <c r="J109" s="203">
        <v>2.254</v>
      </c>
      <c r="K109" s="203"/>
      <c r="L109" s="203"/>
      <c r="M109" s="203"/>
      <c r="N109" s="206">
        <v>137</v>
      </c>
      <c r="O109" s="207">
        <v>45003</v>
      </c>
    </row>
    <row r="110" spans="1:24" ht="15.75" x14ac:dyDescent="0.25">
      <c r="A110" s="208" t="s">
        <v>149</v>
      </c>
      <c r="B110" s="209">
        <v>120.77</v>
      </c>
      <c r="C110" s="209">
        <v>0.23499999999999999</v>
      </c>
      <c r="D110" s="209">
        <v>0.23599999999999999</v>
      </c>
      <c r="E110" s="209">
        <f>D110-C110</f>
        <v>1.0000000000000009E-3</v>
      </c>
      <c r="F110" s="210">
        <f>(E110*1000)/(B110/1000)</f>
        <v>8.2802020369297082</v>
      </c>
      <c r="G110" s="209">
        <v>0</v>
      </c>
      <c r="H110" s="209"/>
      <c r="I110" s="211"/>
      <c r="J110" s="209">
        <v>2.4380000000000002</v>
      </c>
      <c r="K110" s="209"/>
      <c r="L110" s="209"/>
      <c r="M110" s="209"/>
      <c r="N110" s="212">
        <v>134</v>
      </c>
      <c r="O110" s="213">
        <v>45003</v>
      </c>
    </row>
    <row r="111" spans="1:24" ht="15.75" x14ac:dyDescent="0.25">
      <c r="A111" s="202" t="s">
        <v>150</v>
      </c>
      <c r="B111" s="203">
        <v>190</v>
      </c>
      <c r="C111" s="203">
        <v>0.23300000000000001</v>
      </c>
      <c r="D111" s="203">
        <v>0.23380000000000001</v>
      </c>
      <c r="E111" s="203">
        <f>D111-C111</f>
        <v>7.9999999999999516E-4</v>
      </c>
      <c r="F111" s="204">
        <f>(E111*1000)/(B111/1000)</f>
        <v>4.2105263157894486</v>
      </c>
      <c r="G111" s="203">
        <v>0</v>
      </c>
      <c r="H111" s="203"/>
      <c r="I111" s="205"/>
      <c r="J111" s="203">
        <v>2.302</v>
      </c>
      <c r="K111" s="203"/>
      <c r="L111" s="203"/>
      <c r="M111" s="203"/>
      <c r="N111" s="206">
        <v>135</v>
      </c>
      <c r="O111" s="207">
        <v>45003</v>
      </c>
    </row>
    <row r="112" spans="1:24" ht="15.75" x14ac:dyDescent="0.25">
      <c r="A112" s="202" t="s">
        <v>151</v>
      </c>
      <c r="B112" s="203">
        <v>210</v>
      </c>
      <c r="C112" s="203">
        <v>0.23499999999999999</v>
      </c>
      <c r="D112" s="203">
        <v>0.2404</v>
      </c>
      <c r="E112" s="203">
        <f>D112-C112</f>
        <v>5.4000000000000159E-3</v>
      </c>
      <c r="F112" s="204">
        <f>(E112*1000)/(B112/1000)</f>
        <v>25.714285714285793</v>
      </c>
      <c r="G112" s="203">
        <v>0</v>
      </c>
      <c r="H112" s="203"/>
      <c r="I112" s="205"/>
      <c r="J112" s="203">
        <v>2.1970000000000001</v>
      </c>
      <c r="K112" s="203"/>
      <c r="L112" s="203"/>
      <c r="M112" s="203"/>
      <c r="N112" s="206">
        <v>140</v>
      </c>
      <c r="O112" s="207">
        <v>45004</v>
      </c>
    </row>
    <row r="113" spans="1:15" ht="15.75" x14ac:dyDescent="0.25">
      <c r="A113" s="202" t="s">
        <v>152</v>
      </c>
      <c r="B113" s="203">
        <v>200</v>
      </c>
      <c r="C113" s="203">
        <v>0.23300000000000001</v>
      </c>
      <c r="D113" s="203">
        <v>0.23519999999999999</v>
      </c>
      <c r="E113" s="203">
        <f>D113-C113</f>
        <v>2.1999999999999797E-3</v>
      </c>
      <c r="F113" s="204">
        <f>(E113*1000)/(B113/1000)</f>
        <v>10.999999999999899</v>
      </c>
      <c r="G113" s="203">
        <v>0</v>
      </c>
      <c r="H113" s="203"/>
      <c r="I113" s="205"/>
      <c r="J113" s="203">
        <v>2.2629999999999999</v>
      </c>
      <c r="K113" s="203"/>
      <c r="L113" s="203"/>
      <c r="M113" s="203"/>
      <c r="N113" s="206">
        <v>141</v>
      </c>
      <c r="O113" s="207">
        <v>45004</v>
      </c>
    </row>
    <row r="114" spans="1:15" ht="15.75" x14ac:dyDescent="0.25">
      <c r="A114" s="202" t="s">
        <v>153</v>
      </c>
      <c r="B114" s="203">
        <v>200</v>
      </c>
      <c r="C114" s="203">
        <v>0.23499999999999999</v>
      </c>
      <c r="D114" s="203">
        <v>0.23649999999999999</v>
      </c>
      <c r="E114" s="203">
        <f>D114-C114</f>
        <v>1.5000000000000013E-3</v>
      </c>
      <c r="F114" s="204">
        <f>(E114*1000)/(B114/1000)</f>
        <v>7.5000000000000062</v>
      </c>
      <c r="G114" s="203">
        <v>0</v>
      </c>
      <c r="H114" s="203"/>
      <c r="I114" s="205"/>
      <c r="J114" s="203">
        <v>2.2879999999999998</v>
      </c>
      <c r="K114" s="203"/>
      <c r="L114" s="203"/>
      <c r="M114" s="203"/>
      <c r="N114" s="206">
        <v>138</v>
      </c>
      <c r="O114" s="207">
        <v>45004</v>
      </c>
    </row>
    <row r="115" spans="1:15" ht="15.75" x14ac:dyDescent="0.25">
      <c r="A115" s="202" t="s">
        <v>154</v>
      </c>
      <c r="B115" s="203">
        <v>190</v>
      </c>
      <c r="C115" s="203">
        <v>0.23</v>
      </c>
      <c r="D115" s="203">
        <v>0.2319</v>
      </c>
      <c r="E115" s="203">
        <f>D115-C115</f>
        <v>1.899999999999985E-3</v>
      </c>
      <c r="F115" s="204">
        <f>(E115*1000)/(B115/1000)</f>
        <v>9.9999999999999218</v>
      </c>
      <c r="G115" s="203">
        <v>0</v>
      </c>
      <c r="H115" s="203"/>
      <c r="I115" s="205"/>
      <c r="J115" s="203">
        <v>2.1789999999999998</v>
      </c>
      <c r="K115" s="203"/>
      <c r="L115" s="203"/>
      <c r="M115" s="203"/>
      <c r="N115" s="206">
        <v>139</v>
      </c>
      <c r="O115" s="207">
        <v>45004</v>
      </c>
    </row>
    <row r="116" spans="1:15" ht="15.75" x14ac:dyDescent="0.25">
      <c r="A116" s="202" t="s">
        <v>155</v>
      </c>
      <c r="B116" s="203">
        <v>200</v>
      </c>
      <c r="C116" s="203">
        <v>0.23499999999999999</v>
      </c>
      <c r="D116" s="203">
        <v>0.2424</v>
      </c>
      <c r="E116" s="203">
        <f>D116-C116</f>
        <v>7.4000000000000177E-3</v>
      </c>
      <c r="F116" s="204">
        <f>(E116*1000)/(B116/1000)</f>
        <v>37.000000000000085</v>
      </c>
      <c r="G116" s="214"/>
      <c r="H116" s="203"/>
      <c r="I116" s="205"/>
      <c r="J116" s="203">
        <v>2.1349999999999998</v>
      </c>
      <c r="K116" s="203"/>
      <c r="L116" s="203"/>
      <c r="M116" s="203"/>
      <c r="N116" s="206">
        <v>144</v>
      </c>
      <c r="O116" s="207">
        <v>45007</v>
      </c>
    </row>
    <row r="117" spans="1:15" ht="15.75" x14ac:dyDescent="0.25">
      <c r="A117" s="202" t="s">
        <v>156</v>
      </c>
      <c r="B117" s="203">
        <v>190</v>
      </c>
      <c r="C117" s="203">
        <v>0.23330000000000001</v>
      </c>
      <c r="D117" s="203">
        <v>0.23699999999999999</v>
      </c>
      <c r="E117" s="203">
        <f>D117-C117</f>
        <v>3.6999999999999811E-3</v>
      </c>
      <c r="F117" s="204">
        <f>(E117*1000)/(B117/1000)</f>
        <v>19.473684210526216</v>
      </c>
      <c r="G117" s="203"/>
      <c r="H117" s="203"/>
      <c r="I117" s="205"/>
      <c r="J117" s="203">
        <v>2.1480000000000001</v>
      </c>
      <c r="K117" s="203"/>
      <c r="L117" s="203"/>
      <c r="M117" s="203"/>
      <c r="N117" s="206">
        <v>143</v>
      </c>
      <c r="O117" s="207">
        <v>45007</v>
      </c>
    </row>
    <row r="118" spans="1:15" ht="15.75" x14ac:dyDescent="0.25">
      <c r="A118" s="202" t="s">
        <v>157</v>
      </c>
      <c r="B118" s="203">
        <v>200</v>
      </c>
      <c r="C118" s="203">
        <v>0.222</v>
      </c>
      <c r="D118" s="203">
        <v>0.22900000000000001</v>
      </c>
      <c r="E118" s="203">
        <f>D118-C118</f>
        <v>7.0000000000000062E-3</v>
      </c>
      <c r="F118" s="204">
        <f>(E118*1000)/(B118/1000)</f>
        <v>35.000000000000028</v>
      </c>
      <c r="G118" s="203"/>
      <c r="H118" s="203"/>
      <c r="I118" s="205"/>
      <c r="J118" s="203">
        <v>2.1960000000000002</v>
      </c>
      <c r="K118" s="203"/>
      <c r="L118" s="203"/>
      <c r="M118" s="203"/>
      <c r="N118" s="206">
        <v>142</v>
      </c>
      <c r="O118" s="207">
        <v>45007</v>
      </c>
    </row>
    <row r="119" spans="1:15" ht="15.75" x14ac:dyDescent="0.25">
      <c r="A119" s="202" t="s">
        <v>158</v>
      </c>
      <c r="B119" s="203">
        <v>200</v>
      </c>
      <c r="C119" s="203">
        <v>0.23599999999999999</v>
      </c>
      <c r="D119" s="203">
        <v>0.2366</v>
      </c>
      <c r="E119" s="203">
        <f>D119-C119</f>
        <v>6.0000000000001719E-4</v>
      </c>
      <c r="F119" s="204">
        <f>(E119*1000)/(B119/1000)</f>
        <v>3.0000000000000857</v>
      </c>
      <c r="G119" s="203"/>
      <c r="H119" s="203"/>
      <c r="I119" s="205"/>
      <c r="J119" s="203">
        <v>2.0670000000000002</v>
      </c>
      <c r="K119" s="203"/>
      <c r="L119" s="203"/>
      <c r="M119" s="203"/>
      <c r="N119" s="206">
        <v>145</v>
      </c>
      <c r="O119" s="207">
        <v>45007</v>
      </c>
    </row>
    <row r="120" spans="1:15" ht="15.75" x14ac:dyDescent="0.25">
      <c r="A120" s="202" t="s">
        <v>159</v>
      </c>
      <c r="B120" s="203">
        <v>150</v>
      </c>
      <c r="C120" s="203">
        <v>0.23499999999999999</v>
      </c>
      <c r="D120" s="203">
        <v>0.23669999999999999</v>
      </c>
      <c r="E120" s="203">
        <f>D120-C120</f>
        <v>1.7000000000000071E-3</v>
      </c>
      <c r="F120" s="204">
        <f>(E120*1000)/(B120/1000)</f>
        <v>11.33333333333338</v>
      </c>
      <c r="G120" s="9">
        <v>115.20499999999998</v>
      </c>
      <c r="H120" s="203"/>
      <c r="I120" s="205"/>
      <c r="J120" s="203">
        <v>4.3840000000000003</v>
      </c>
      <c r="K120" s="203"/>
      <c r="L120" s="203"/>
      <c r="M120" s="203"/>
      <c r="N120" s="206">
        <v>132</v>
      </c>
      <c r="O120" s="207">
        <v>45029</v>
      </c>
    </row>
    <row r="121" spans="1:15" ht="15.75" x14ac:dyDescent="0.25">
      <c r="A121" s="202" t="s">
        <v>160</v>
      </c>
      <c r="B121" s="203">
        <v>145</v>
      </c>
      <c r="C121" s="203">
        <v>0.22500000000000001</v>
      </c>
      <c r="D121" s="203">
        <v>0.22739999999999999</v>
      </c>
      <c r="E121" s="203">
        <f>D121-C121</f>
        <v>2.3999999999999855E-3</v>
      </c>
      <c r="F121" s="204">
        <f>(E121*1000)/(B121/1000)</f>
        <v>16.551724137930933</v>
      </c>
      <c r="G121" s="9">
        <v>106.28000000000002</v>
      </c>
      <c r="H121" s="203"/>
      <c r="I121" s="205"/>
      <c r="J121" s="203">
        <v>4.49</v>
      </c>
      <c r="K121" s="203"/>
      <c r="L121" s="203"/>
      <c r="M121" s="203"/>
      <c r="N121" s="206">
        <v>133</v>
      </c>
      <c r="O121" s="207">
        <v>45029</v>
      </c>
    </row>
    <row r="122" spans="1:15" ht="15.75" x14ac:dyDescent="0.25">
      <c r="A122" s="202" t="s">
        <v>161</v>
      </c>
      <c r="B122" s="203">
        <v>150</v>
      </c>
      <c r="C122" s="203">
        <v>0.23899999999999999</v>
      </c>
      <c r="D122" s="203">
        <v>0.24</v>
      </c>
      <c r="E122" s="203">
        <f>D122-C122</f>
        <v>1.0000000000000009E-3</v>
      </c>
      <c r="F122" s="204">
        <f>(E122*1000)/(B122/1000)</f>
        <v>6.6666666666666732</v>
      </c>
      <c r="G122" s="9">
        <v>118.6825</v>
      </c>
      <c r="H122" s="203"/>
      <c r="I122" s="205"/>
      <c r="J122" s="203">
        <v>4.4930000000000003</v>
      </c>
      <c r="K122" s="203"/>
      <c r="L122" s="203"/>
      <c r="M122" s="203"/>
      <c r="N122" s="206">
        <v>131</v>
      </c>
      <c r="O122" s="207">
        <v>45029</v>
      </c>
    </row>
    <row r="123" spans="1:15" ht="16.5" thickBot="1" x14ac:dyDescent="0.3">
      <c r="A123" s="215" t="s">
        <v>162</v>
      </c>
      <c r="B123" s="216">
        <v>200</v>
      </c>
      <c r="C123" s="216">
        <v>0.23400000000000001</v>
      </c>
      <c r="D123" s="216">
        <v>0.23530000000000001</v>
      </c>
      <c r="E123" s="216">
        <f>D123-C123</f>
        <v>1.2999999999999956E-3</v>
      </c>
      <c r="F123" s="217">
        <f>(E123*1000)/(B123/1000)</f>
        <v>6.4999999999999778</v>
      </c>
      <c r="G123" s="140">
        <v>73.134999999999991</v>
      </c>
      <c r="H123" s="216"/>
      <c r="I123" s="218"/>
      <c r="J123" s="216">
        <v>4.4409999999999998</v>
      </c>
      <c r="K123" s="216"/>
      <c r="L123" s="216"/>
      <c r="M123" s="216"/>
      <c r="N123" s="219">
        <v>130</v>
      </c>
      <c r="O123" s="220">
        <v>45029</v>
      </c>
    </row>
    <row r="124" spans="1:15" ht="15.75" x14ac:dyDescent="0.25">
      <c r="A124" s="221" t="s">
        <v>163</v>
      </c>
      <c r="B124" s="222">
        <v>150</v>
      </c>
      <c r="C124" s="246">
        <v>0.23319999999999999</v>
      </c>
      <c r="D124" s="246">
        <v>0.23519999999999999</v>
      </c>
      <c r="E124" s="222">
        <f>D124-C124</f>
        <v>2.0000000000000018E-3</v>
      </c>
      <c r="F124" s="223">
        <f>(E124*1000)/(B124/1000)</f>
        <v>13.333333333333346</v>
      </c>
      <c r="G124" s="222">
        <v>0</v>
      </c>
      <c r="H124" s="224">
        <v>1.3151974869000001E-2</v>
      </c>
      <c r="I124" s="225">
        <f>H124/(B124/1000)</f>
        <v>8.767983246000001E-2</v>
      </c>
      <c r="J124" s="222"/>
      <c r="K124" s="222"/>
      <c r="L124" s="222"/>
      <c r="M124" s="222"/>
      <c r="N124" s="226">
        <v>436</v>
      </c>
      <c r="O124" s="227">
        <v>45127</v>
      </c>
    </row>
    <row r="125" spans="1:15" ht="15.75" x14ac:dyDescent="0.25">
      <c r="A125" s="228" t="s">
        <v>165</v>
      </c>
      <c r="B125" s="229">
        <v>140</v>
      </c>
      <c r="C125" s="246">
        <v>0.2331</v>
      </c>
      <c r="D125" s="246">
        <v>0.2339</v>
      </c>
      <c r="E125" s="229">
        <f>D125-C125</f>
        <v>7.9999999999999516E-4</v>
      </c>
      <c r="F125" s="230">
        <f>(E125*1000)/(B125/1000)</f>
        <v>5.7142857142856789</v>
      </c>
      <c r="G125" s="229">
        <v>0</v>
      </c>
      <c r="H125" s="229"/>
      <c r="I125" s="229"/>
      <c r="J125" s="229">
        <v>1.127</v>
      </c>
      <c r="K125" s="229"/>
      <c r="L125" s="229"/>
      <c r="M125" s="229"/>
      <c r="N125" s="231">
        <v>475</v>
      </c>
      <c r="O125" s="232">
        <v>45154</v>
      </c>
    </row>
    <row r="126" spans="1:15" ht="15.75" x14ac:dyDescent="0.25">
      <c r="A126" s="228" t="s">
        <v>164</v>
      </c>
      <c r="B126" s="229">
        <v>150</v>
      </c>
      <c r="C126" s="246">
        <v>0.24030000000000001</v>
      </c>
      <c r="D126" s="246">
        <v>0.24110000000000001</v>
      </c>
      <c r="E126" s="229">
        <f>D126-C126</f>
        <v>7.9999999999999516E-4</v>
      </c>
      <c r="F126" s="230">
        <f>(E126*1000)/(B126/1000)</f>
        <v>5.3333333333333011</v>
      </c>
      <c r="G126" s="229">
        <v>0</v>
      </c>
      <c r="H126" s="229"/>
      <c r="I126" s="229"/>
      <c r="J126" s="229">
        <v>1.1160000000000001</v>
      </c>
      <c r="K126" s="229"/>
      <c r="L126" s="229"/>
      <c r="M126" s="229"/>
      <c r="N126" s="231">
        <v>474</v>
      </c>
      <c r="O126" s="232">
        <v>45153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2025-02-04T19:41:41Z</dcterms:created>
  <dcterms:modified xsi:type="dcterms:W3CDTF">2026-05-20T22:53:06Z</dcterms:modified>
</cp:coreProperties>
</file>