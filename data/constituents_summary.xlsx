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058DA660-2FF1-4A87-99B3-27A518C61D2D}" xr6:coauthVersionLast="47" xr6:coauthVersionMax="47" xr10:uidLastSave="{00000000-0000-0000-0000-000000000000}"/>
  <bookViews>
    <workbookView minimized="1" xWindow="7545" yWindow="4395" windowWidth="17280" windowHeight="8880" tabRatio="626" xr2:uid="{FEC01F85-CDE9-417C-893C-E562E55652ED}"/>
    <workbookView xWindow="22932" yWindow="-108" windowWidth="23256" windowHeight="12456" activeTab="3" xr2:uid="{6625FC61-A896-4A36-BEA6-7B9FB55A0320}"/>
  </bookViews>
  <sheets>
    <sheet name="all_noST7" sheetId="7" r:id="rId1"/>
    <sheet name="all" sheetId="6" r:id="rId2"/>
    <sheet name="Summer " sheetId="1" r:id="rId3"/>
    <sheet name="Spring" sheetId="4" r:id="rId4"/>
    <sheet name="Grab Samples" sheetId="2" r:id="rId5"/>
    <sheet name="Experimen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5" l="1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102" i="5"/>
  <c r="I104" i="5"/>
  <c r="I106" i="5"/>
  <c r="I108" i="5"/>
  <c r="I109" i="5"/>
  <c r="I110" i="5"/>
  <c r="I16" i="5"/>
  <c r="I17" i="5"/>
  <c r="F22" i="5"/>
  <c r="F24" i="5"/>
  <c r="F25" i="5"/>
  <c r="F34" i="5"/>
  <c r="F43" i="5"/>
  <c r="F55" i="5"/>
  <c r="F56" i="5"/>
  <c r="F57" i="5"/>
  <c r="F79" i="5"/>
  <c r="F81" i="5"/>
  <c r="F82" i="5"/>
  <c r="F83" i="5"/>
  <c r="F91" i="5"/>
  <c r="F93" i="5"/>
  <c r="F95" i="5"/>
  <c r="F106" i="5"/>
  <c r="F107" i="5"/>
  <c r="F108" i="5"/>
  <c r="F109" i="5"/>
  <c r="E20" i="5"/>
  <c r="F20" i="5" s="1"/>
  <c r="E18" i="5"/>
  <c r="F18" i="5" s="1"/>
  <c r="E19" i="5"/>
  <c r="F19" i="5" s="1"/>
  <c r="E21" i="5"/>
  <c r="F21" i="5" s="1"/>
  <c r="E22" i="5"/>
  <c r="E23" i="5"/>
  <c r="F23" i="5" s="1"/>
  <c r="E24" i="5"/>
  <c r="E25" i="5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E56" i="5"/>
  <c r="E57" i="5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E80" i="5"/>
  <c r="F80" i="5" s="1"/>
  <c r="E81" i="5"/>
  <c r="E82" i="5"/>
  <c r="E83" i="5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E92" i="5"/>
  <c r="F92" i="5" s="1"/>
  <c r="E93" i="5"/>
  <c r="E94" i="5"/>
  <c r="F94" i="5" s="1"/>
  <c r="E95" i="5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E107" i="5"/>
  <c r="E108" i="5"/>
  <c r="E109" i="5"/>
  <c r="E110" i="5"/>
  <c r="F110" i="5" s="1"/>
  <c r="E111" i="5"/>
  <c r="F111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2" i="5"/>
  <c r="F2" i="5" s="1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<sst xmlns="http://schemas.openxmlformats.org/spreadsheetml/2006/main" count="1113" uniqueCount="486">
  <si>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</si>
  <si>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</si>
  <si>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</si>
  <si>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</si>
  <si>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</si>
  <si>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</si>
  <si>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</si>
  <si>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</si>
  <si>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</si>
  <si>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</si>
  <si>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</si>
  <si>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</si>
  <si>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</si>
  <si>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</si>
  <si>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</si>
  <si>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</si>
  <si>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</si>
  <si>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</si>
  <si>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</si>
  <si>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</si>
  <si>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</si>
  <si>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</si>
  <si>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</si>
  <si>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</si>
  <si>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</si>
  <si>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</si>
  <si>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</si>
  <si>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</si>
  <si>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</si>
  <si>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</si>
  <si>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</si>
  <si>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</si>
  <si>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</si>
  <si>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</si>
  <si>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</si>
  <si>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</si>
  <si>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</si>
  <si>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</si>
  <si>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</si>
  <si>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</si>
  <si>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</si>
  <si>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</si>
  <si>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</si>
  <si>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</si>
  <si>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</si>
  <si>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</si>
  <si>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</si>
  <si>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</si>
  <si>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</si>
  <si>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</si>
  <si>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</si>
  <si>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</si>
  <si>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</si>
  <si>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</si>
  <si>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</si>
  <si>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</si>
  <si>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</si>
  <si>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</si>
  <si>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</si>
  <si>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</si>
  <si>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</si>
  <si>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</si>
  <si>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</si>
  <si>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</si>
  <si>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</si>
  <si>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</si>
  <si>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</si>
  <si>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</si>
  <si>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</si>
  <si>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</si>
  <si>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</si>
  <si>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</si>
  <si>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</si>
  <si>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</si>
  <si>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</si>
  <si>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</si>
  <si>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</si>
  <si>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</si>
  <si>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</si>
  <si>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</si>
  <si>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</si>
  <si>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</si>
  <si>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</si>
  <si>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</si>
  <si>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</si>
  <si>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</si>
  <si>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</si>
  <si>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</si>
  <si>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</si>
  <si>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</si>
  <si>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</si>
  <si>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</si>
  <si>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</si>
  <si>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</si>
  <si>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</si>
  <si>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</si>
  <si>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</si>
  <si>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</si>
  <si>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</si>
  <si>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</si>
  <si>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</si>
  <si>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</si>
  <si>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</si>
  <si>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</si>
  <si>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</si>
  <si>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</si>
  <si>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</si>
  <si>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</si>
  <si>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</si>
  <si>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</si>
  <si>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</si>
  <si>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</si>
  <si>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</si>
  <si>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</si>
  <si>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</si>
  <si>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</si>
  <si>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</si>
  <si>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</si>
  <si>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</si>
  <si>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</si>
  <si>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</si>
  <si>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</si>
  <si>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</si>
  <si>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</si>
  <si>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</si>
  <si>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</si>
  <si>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</si>
  <si>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</si>
  <si>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</si>
  <si>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</si>
  <si>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</si>
  <si>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</si>
  <si>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</si>
  <si>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</si>
  <si>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</si>
  <si>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</si>
  <si>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</si>
  <si>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</si>
  <si>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</si>
  <si>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</si>
  <si>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</si>
  <si>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</si>
  <si>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</si>
  <si>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</si>
  <si>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</si>
  <si>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</si>
  <si>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</si>
  <si>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</si>
  <si>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</si>
  <si>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</si>
  <si>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</si>
  <si>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</si>
  <si>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</si>
  <si>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</si>
  <si>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</si>
  <si>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</si>
  <si>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</si>
  <si>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</si>
  <si>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</si>
  <si>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</si>
  <si>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</si>
  <si>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</si>
  <si>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</si>
  <si>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</si>
  <si>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</si>
  <si>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</si>
  <si>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</si>
  <si>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</si>
  <si>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</si>
  <si>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</si>
  <si>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</si>
  <si>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</si>
  <si>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</si>
  <si>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</si>
  <si>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</si>
  <si>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</si>
  <si>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</si>
  <si>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</si>
  <si>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</si>
  <si>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</si>
  <si>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</si>
  <si>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</si>
  <si>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</si>
  <si>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</si>
  <si>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</si>
  <si>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</si>
  <si>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</si>
  <si>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</si>
  <si>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</si>
  <si>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</si>
  <si>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</si>
  <si>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</si>
  <si>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</si>
  <si>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</si>
  <si>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</si>
  <si>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</si>
  <si>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</si>
  <si>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</si>
  <si>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</si>
  <si>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</si>
  <si>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</si>
  <si>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</si>
  <si>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</si>
  <si>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</si>
  <si>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</si>
  <si>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</si>
  <si>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</si>
  <si>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</si>
  <si>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</si>
  <si>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</si>
  <si>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</si>
  <si>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</si>
  <si>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</si>
  <si>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</si>
  <si>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</si>
  <si>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</si>
  <si>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</si>
  <si>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</si>
  <si>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</si>
  <si>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</si>
  <si>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</si>
  <si>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</si>
  <si>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</si>
  <si>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</si>
  <si>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</si>
  <si>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</si>
  <si>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</si>
  <si>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</si>
  <si>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</si>
  <si>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</si>
  <si>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</si>
  <si>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</si>
  <si>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</si>
  <si>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</si>
  <si>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</si>
  <si>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</si>
  <si>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</si>
  <si>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</si>
  <si>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</si>
  <si>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</si>
  <si>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</si>
  <si>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</si>
  <si>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</si>
  <si>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</si>
  <si>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</si>
  <si>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</si>
  <si>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</si>
  <si>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</si>
  <si>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</si>
  <si>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</si>
  <si>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</si>
  <si>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</si>
  <si>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</si>
  <si>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</si>
  <si>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</si>
  <si>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</si>
  <si>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</si>
  <si>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</si>
  <si>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</si>
  <si>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</si>
  <si>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</si>
  <si>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</si>
  <si>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</si>
  <si>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</si>
  <si>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</si>
  <si>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</si>
  <si>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</si>
  <si>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</si>
  <si>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</si>
  <si>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</si>
  <si>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</si>
  <si>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</si>
  <si>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</si>
  <si>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</si>
  <si>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</si>
  <si>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</si>
  <si>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</si>
  <si>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</si>
  <si>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</si>
  <si>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</si>
  <si>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</si>
  <si>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</si>
  <si>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</si>
  <si>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</si>
  <si>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</si>
  <si>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</si>
  <si>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</si>
  <si>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</si>
  <si>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</si>
  <si>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</si>
  <si>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</si>
  <si>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</si>
  <si>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</si>
  <si>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</si>
  <si>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</si>
  <si>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</si>
  <si>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</si>
  <si>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</si>
  <si>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</si>
  <si>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</si>
  <si>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</si>
  <si>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</si>
  <si>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</si>
  <si>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</si>
  <si>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</si>
  <si>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</si>
  <si>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</si>
  <si>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</si>
  <si>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</si>
  <si>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</si>
  <si>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</si>
  <si>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</si>
  <si>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</si>
  <si>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</si>
  <si>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</si>
  <si>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</si>
  <si>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</si>
  <si>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</si>
  <si>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</si>
  <si>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</si>
  <si>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</si>
  <si>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</si>
  <si>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</si>
  <si>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</si>
  <si>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</si>
  <si>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</si>
  <si>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</si>
  <si>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</si>
  <si>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</si>
  <si>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</si>
  <si>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</si>
  <si>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</si>
  <si>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</si>
  <si>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</si>
  <si>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</si>
  <si>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</si>
  <si>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</si>
  <si>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</si>
  <si>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</si>
  <si>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</si>
  <si>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</si>
  <si>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</si>
  <si>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</si>
  <si>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</si>
  <si>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</si>
  <si>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</si>
  <si>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</si>
  <si>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</si>
  <si>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</si>
  <si>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</si>
  <si>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</si>
  <si>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</si>
  <si>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</si>
  <si>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</si>
  <si>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</si>
  <si>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</si>
  <si>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</si>
  <si>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</si>
  <si>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</si>
  <si>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</si>
  <si>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</si>
  <si>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</si>
  <si>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</si>
  <si>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</si>
  <si>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</si>
  <si>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</si>
  <si>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</si>
  <si>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</si>
  <si>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</si>
  <si>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</si>
  <si>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</si>
  <si>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</si>
  <si>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</si>
  <si>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</si>
  <si>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</si>
  <si>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</si>
  <si>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</si>
  <si>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</si>
  <si>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</si>
  <si>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</si>
  <si>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</si>
  <si>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</si>
  <si>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</si>
  <si>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</si>
  <si>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</si>
  <si>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</si>
  <si>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</si>
  <si>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</si>
  <si>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</si>
  <si>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</si>
  <si>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</si>
  <si>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</si>
  <si>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</si>
  <si>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</si>
  <si>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</si>
  <si>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</si>
  <si>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</si>
  <si>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</si>
  <si>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</si>
  <si>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</si>
  <si>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</si>
  <si>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</si>
  <si>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</si>
  <si>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</si>
  <si>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</si>
  <si>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</si>
  <si>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</si>
  <si>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</si>
  <si>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</si>
  <si>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</si>
  <si>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</si>
  <si>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</si>
  <si>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</si>
  <si>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</si>
  <si>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</si>
  <si>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</si>
  <si>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</si>
  <si>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</si>
  <si>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</si>
  <si>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</si>
  <si>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</si>
  <si>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</si>
  <si>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</si>
  <si>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</si>
  <si>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</si>
  <si>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</si>
  <si>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</si>
  <si>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</si>
  <si>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</si>
  <si>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</si>
  <si>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</si>
  <si>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</si>
  <si>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</si>
  <si>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</si>
  <si>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</si>
  <si>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</si>
  <si>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</si>
  <si>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</si>
  <si>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</si>
  <si>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</si>
  <si>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</si>
  <si>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</si>
  <si>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</si>
  <si>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</si>
  <si>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</si>
  <si>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</si>
  <si>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</si>
  <si>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</si>
  <si>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</si>
  <si>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</si>
  <si>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</si>
  <si>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</si>
  <si>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</si>
  <si>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</si>
  <si>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</si>
  <si>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</si>
  <si>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</si>
  <si>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</si>
  <si>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</si>
  <si>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</si>
  <si>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</si>
  <si>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</si>
  <si>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</si>
  <si>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</si>
  <si>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</si>
  <si>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</si>
  <si>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</si>
  <si>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</si>
  <si>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</si>
  <si>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</si>
  <si>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</si>
  <si>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</si>
  <si>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</si>
  <si>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</si>
  <si>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</si>
  <si>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</si>
  <si>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</si>
  <si>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</si>
  <si>
    <t>ST1-D18</t>
  </si>
  <si>
    <t>Experiment 2</t>
  </si>
  <si>
    <t>Experiment 3</t>
  </si>
  <si>
    <t>Experiment 4</t>
  </si>
  <si>
    <t>Experiment 5</t>
  </si>
  <si>
    <t>Experiment 6</t>
  </si>
  <si>
    <t>Experiment 7</t>
  </si>
  <si>
    <t>Experiment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</si>
</sst>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309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0" fillId="12" borderId="4" xfId="0" applyNumberFormat="1" applyFill="1" applyBorder="1" applyAlignment="1">
      <alignment horizontal="center"/>
    </xf>
    <xf numFmtId="2" fontId="4" fillId="12" borderId="4" xfId="0" applyNumberFormat="1" applyFont="1" applyFill="1" applyBorder="1" applyAlignment="1">
      <alignment horizontal="center"/>
    </xf>
    <xf numFmtId="2" fontId="3" fillId="12" borderId="4" xfId="0" applyNumberFormat="1" applyFont="1" applyFill="1" applyBorder="1" applyAlignment="1">
      <alignment horizontal="center"/>
    </xf>
    <xf numFmtId="0" fontId="0" fillId="3" borderId="1" xfId="0" applyFill="1" applyBorder="1"/>
    <xf numFmtId="165" fontId="0" fillId="3" borderId="4" xfId="0" applyNumberFormat="1" applyFill="1" applyBorder="1" applyAlignment="1">
      <alignment horizontal="center"/>
    </xf>
    <xf numFmtId="22" fontId="0" fillId="12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22" fontId="0" fillId="12" borderId="4" xfId="0" applyNumberFormat="1" applyFill="1" applyBorder="1" applyAlignment="1">
      <alignment horizontal="center"/>
    </xf>
    <xf numFmtId="165" fontId="0" fillId="12" borderId="3" xfId="0" applyNumberFormat="1" applyFill="1" applyBorder="1" applyAlignment="1">
      <alignment horizontal="center"/>
    </xf>
    <xf numFmtId="22" fontId="0" fillId="4" borderId="5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22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22" fontId="0" fillId="6" borderId="5" xfId="0" applyNumberForma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22" fontId="0" fillId="10" borderId="5" xfId="0" applyNumberFormat="1" applyFill="1" applyBorder="1" applyAlignment="1">
      <alignment horizontal="center"/>
    </xf>
    <xf numFmtId="165" fontId="0" fillId="10" borderId="4" xfId="0" applyNumberFormat="1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0" fillId="10" borderId="3" xfId="0" applyNumberFormat="1" applyFill="1" applyBorder="1" applyAlignment="1">
      <alignment horizontal="center"/>
    </xf>
    <xf numFmtId="22" fontId="0" fillId="11" borderId="5" xfId="0" applyNumberFormat="1" applyFill="1" applyBorder="1" applyAlignment="1">
      <alignment horizontal="center"/>
    </xf>
    <xf numFmtId="165" fontId="0" fillId="11" borderId="4" xfId="0" applyNumberFormat="1" applyFill="1" applyBorder="1" applyAlignment="1">
      <alignment horizontal="center"/>
    </xf>
    <xf numFmtId="22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165" fontId="0" fillId="11" borderId="3" xfId="0" applyNumberFormat="1" applyFill="1" applyBorder="1" applyAlignment="1">
      <alignment horizontal="center"/>
    </xf>
    <xf numFmtId="22" fontId="0" fillId="7" borderId="5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2" fontId="0" fillId="7" borderId="3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22" fontId="0" fillId="3" borderId="4" xfId="0" applyNumberFormat="1" applyFill="1" applyBorder="1" applyAlignment="1">
      <alignment horizontal="center"/>
    </xf>
    <xf numFmtId="0" fontId="0" fillId="3" borderId="4" xfId="0" applyFill="1" applyBorder="1"/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26-4148-A6C8-78D966CFC28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26-4148-A6C8-78D966CFC28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26-4148-A6C8-78D966CFC28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all_noST7!$D$126:$D$230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26-4148-A6C8-78D966CFC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4-41C0-A32B-8AF96B04166D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B4-41C0-A32B-8AF96B04166D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B4-41C0-A32B-8AF96B04166D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all_noST7!$C$126:$C$230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B4-41C0-A32B-8AF96B04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2F-4ADE-9F4F-6E88203C235F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2F-4ADE-9F4F-6E88203C235F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F-4ADE-9F4F-6E88203C235F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all_noST7!$E$126:$E$230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62F-4ADE-9F4F-6E88203C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1-4150-B90B-18AE096099C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1-4150-B90B-18AE096099C8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all_noST7!$F$126:$F$230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41-4150-B90B-18AE0960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4C-4D6A-B9B7-5D3DBA8DBC2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4C-4D6A-B9B7-5D3DBA8DBC24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all_noST7!$G$126:$G$230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4C-4D6A-B9B7-5D3DBA8DB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B-4C9D-991B-43D1BFDBD5A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CB-4C9D-991B-43D1BFDBD5A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CB-4C9D-991B-43D1BFDB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88-4029-9781-B9392568C7C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88-4029-9781-B9392568C7C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88-4029-9781-B9392568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03-4C34-AAB3-C7C7BAD1A25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03-4C34-AAB3-C7C7BAD1A258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all_noST7!$J$57:$J$125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all_noST7!$D$57:$D$125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03-4C34-AAB3-C7C7BAD1A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373933190165854"/>
                  <c:y val="-0.36548951349356107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D-49DE-A678-819CF727D4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4050808979665877E-2"/>
                  <c:y val="-0.361448286615265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9D-49DE-A678-819CF727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2-4176-BCC3-45240636D0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92-4176-BCC3-45240636D0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92-4176-BCC3-45240636D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78-48B8-AE34-92F2B52B01AF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78-48B8-AE34-92F2B52B01A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78-48B8-AE34-92F2B52B0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42-4F2F-B11B-934FC89300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2-4F2F-B11B-934FC893004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42-4F2F-B11B-934FC8930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4-4564-BE9C-B3DDB531D1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4-4564-BE9C-B3DDB531D107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A4-4564-BE9C-B3DDB531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C1-4A4D-A0A4-DC8B7E6EF49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C1-4A4D-A0A4-DC8B7E6EF49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C1-4A4D-A0A4-DC8B7E6E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0-4DF4-A1DB-CF46DB99AD4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0-4DF4-A1DB-CF46DB99AD4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20-4DF4-A1DB-CF46DB99A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58-45D8-AB4A-2B966E3BB4D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all_noST7!$F$2:$F$26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58-45D8-AB4A-2B966E3BB4D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all_noST7!$F$47:$F$125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58-45D8-AB4A-2B966E3BB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F-4449-8AB0-1B5C0D7088C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F-4449-8AB0-1B5C0D7088C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18059012656728"/>
                  <c:y val="-0.3494106193364787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F-4449-8AB0-1B5C0D70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all!$D$132:$D$236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all!$C$132:$C$236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all!$E$132:$E$236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all!$F$132:$F$236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all!$G$132:$G$236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all!$J$63:$J$131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all!$D$63:$D$131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all!$F$53:$F$131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4.7293217722559986E-3</c:v>
                </c:pt>
                <c:pt idx="7">
                  <c:v>8.6458459025525909E-3</c:v>
                </c:pt>
                <c:pt idx="8">
                  <c:v>5.1272530793992542E-2</c:v>
                </c:pt>
                <c:pt idx="9">
                  <c:v>1.1685573981331491E-2</c:v>
                </c:pt>
                <c:pt idx="10">
                  <c:v>3.9307138434865746E-3</c:v>
                </c:pt>
                <c:pt idx="11">
                  <c:v>1.8697689558986495E-3</c:v>
                </c:pt>
                <c:pt idx="12">
                  <c:v>1.4822795047059564E-2</c:v>
                </c:pt>
                <c:pt idx="13">
                  <c:v>1.2251002525840798E-2</c:v>
                </c:pt>
                <c:pt idx="14">
                  <c:v>4.2785937557953402E-3</c:v>
                </c:pt>
                <c:pt idx="17">
                  <c:v>2.4609459226812001E-3</c:v>
                </c:pt>
                <c:pt idx="20">
                  <c:v>2.9850936095853161E-3</c:v>
                </c:pt>
                <c:pt idx="22">
                  <c:v>5.2553679903234417E-3</c:v>
                </c:pt>
                <c:pt idx="24">
                  <c:v>9.1131643713273404E-3</c:v>
                </c:pt>
                <c:pt idx="25">
                  <c:v>3.3189019617674057E-3</c:v>
                </c:pt>
                <c:pt idx="30">
                  <c:v>1.875785042347305E-3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13" Type="http://schemas.openxmlformats.org/officeDocument/2006/relationships/chart" Target="../charts/chart58.xml"/><Relationship Id="rId18" Type="http://schemas.openxmlformats.org/officeDocument/2006/relationships/chart" Target="../charts/chart63.xml"/><Relationship Id="rId3" Type="http://schemas.openxmlformats.org/officeDocument/2006/relationships/chart" Target="../charts/chart48.xml"/><Relationship Id="rId21" Type="http://schemas.openxmlformats.org/officeDocument/2006/relationships/chart" Target="../charts/chart66.xml"/><Relationship Id="rId7" Type="http://schemas.openxmlformats.org/officeDocument/2006/relationships/chart" Target="../charts/chart52.xml"/><Relationship Id="rId12" Type="http://schemas.openxmlformats.org/officeDocument/2006/relationships/chart" Target="../charts/chart57.xml"/><Relationship Id="rId17" Type="http://schemas.openxmlformats.org/officeDocument/2006/relationships/chart" Target="../charts/chart62.xml"/><Relationship Id="rId2" Type="http://schemas.openxmlformats.org/officeDocument/2006/relationships/chart" Target="../charts/chart47.xml"/><Relationship Id="rId16" Type="http://schemas.openxmlformats.org/officeDocument/2006/relationships/chart" Target="../charts/chart61.xml"/><Relationship Id="rId20" Type="http://schemas.openxmlformats.org/officeDocument/2006/relationships/chart" Target="../charts/chart65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11" Type="http://schemas.openxmlformats.org/officeDocument/2006/relationships/chart" Target="../charts/chart56.xml"/><Relationship Id="rId24" Type="http://schemas.openxmlformats.org/officeDocument/2006/relationships/chart" Target="../charts/chart69.xml"/><Relationship Id="rId5" Type="http://schemas.openxmlformats.org/officeDocument/2006/relationships/chart" Target="../charts/chart50.xml"/><Relationship Id="rId15" Type="http://schemas.openxmlformats.org/officeDocument/2006/relationships/chart" Target="../charts/chart60.xml"/><Relationship Id="rId23" Type="http://schemas.openxmlformats.org/officeDocument/2006/relationships/chart" Target="../charts/chart68.xml"/><Relationship Id="rId10" Type="http://schemas.openxmlformats.org/officeDocument/2006/relationships/chart" Target="../charts/chart55.xml"/><Relationship Id="rId19" Type="http://schemas.openxmlformats.org/officeDocument/2006/relationships/chart" Target="../charts/chart64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Relationship Id="rId14" Type="http://schemas.openxmlformats.org/officeDocument/2006/relationships/chart" Target="../charts/chart59.xml"/><Relationship Id="rId22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8A095A-B65F-451F-B3F7-0FC1E434C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D0B05F-B89D-42B9-B771-04234CB93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F04BE-F3B8-4DB4-AD47-CD3D983D8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3BEF6-0505-4A62-A14E-FA6F244C4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C55FA6-56CB-4272-A1C3-91C064D38F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540424-EA8E-4641-8A34-75D9EB645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1802B7-9C35-4FB5-BA21-C689DA953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7EA6F4-D276-43E5-9C31-51EDD8B71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74A3CE-9C9B-4D1B-8FC4-E746D7777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3C9FA6-4100-435B-9F47-8385DBC9D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0806352-2CFC-462C-A8AB-BE3E1AA58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86BE763-2469-453D-B71D-04A7C0EF7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D50A43-D0D1-4C0E-9F47-10B54D0F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16E062-9D0E-48C4-B7D7-85C792DE5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EF99C27-0935-4F0F-A923-426E5CC17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5214E9-ACD2-4FAE-BDED-5759EA382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85DBD-37C8-49B4-BE63-3881E0097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1F18-016D-454F-95D7-70F15ACE4AE1}">
  <dimension ref="A1:K230"/>
  <sheetViews>
    <sheetView tabSelected="1" zoomScale="85" zoomScaleNormal="85" workbookViewId="0">
      <selection activeCell="BE24" sqref="BE24"/>
    </sheetView>
    <sheetView workbookViewId="1"/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6">
        <v>44400.659722222219</v>
      </c>
      <c r="I2" s="277">
        <v>92.5304</v>
      </c>
      <c r="J2" s="277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6">
        <v>44400.67291666667</v>
      </c>
      <c r="I3" s="277">
        <v>197.94775999999999</v>
      </c>
      <c r="J3" s="277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6">
        <v>44400.694444444445</v>
      </c>
      <c r="I4" s="277">
        <v>78.192979999999906</v>
      </c>
      <c r="J4" s="277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6">
        <v>44400.704861111109</v>
      </c>
      <c r="I5" s="277">
        <v>74.057744</v>
      </c>
      <c r="J5" s="277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6">
        <v>44400.804861111108</v>
      </c>
      <c r="I6" s="277">
        <v>20.5702</v>
      </c>
      <c r="J6" s="277">
        <v>52.587200000000003</v>
      </c>
      <c r="K6" s="55" t="s">
        <v>76</v>
      </c>
    </row>
    <row r="7" spans="1:11" ht="15.75" thickBot="1" x14ac:dyDescent="0.3">
      <c r="A7" s="55" t="s">
        <v>478</v>
      </c>
      <c r="B7" s="271">
        <v>22.011886418665991</v>
      </c>
      <c r="C7" s="272">
        <v>4.8049034388889487</v>
      </c>
      <c r="D7" s="273">
        <v>11.551</v>
      </c>
      <c r="E7" s="55">
        <v>2.196020992868742E-3</v>
      </c>
      <c r="F7" s="55">
        <v>4.7E-2</v>
      </c>
      <c r="G7" s="55">
        <v>7.6999999999999999E-2</v>
      </c>
      <c r="H7" s="278">
        <v>44400.876388888886</v>
      </c>
      <c r="I7" s="279">
        <v>16.9712</v>
      </c>
      <c r="J7" s="279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80">
        <v>44776.626388888886</v>
      </c>
      <c r="I8" s="281">
        <v>16.7956</v>
      </c>
      <c r="J8" s="281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2">
        <v>44776.636805555558</v>
      </c>
      <c r="I9" s="283">
        <v>19.789199999999902</v>
      </c>
      <c r="J9" s="283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2">
        <v>44776.657638888886</v>
      </c>
      <c r="I10" s="283">
        <v>10.3628</v>
      </c>
      <c r="J10" s="283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2">
        <v>44776.678472222222</v>
      </c>
      <c r="I11" s="283">
        <v>13.1524</v>
      </c>
      <c r="J11" s="283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2">
        <v>44776.751388888886</v>
      </c>
      <c r="I12" s="283">
        <v>9.5941333333333301</v>
      </c>
      <c r="J12" s="283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2">
        <v>44776.761805555558</v>
      </c>
      <c r="I13" s="283">
        <v>9.1205333333333307</v>
      </c>
      <c r="J13" s="283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4">
        <v>44776.793055555558</v>
      </c>
      <c r="I14" s="285">
        <v>7.7619999999999996</v>
      </c>
      <c r="J14" s="285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6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7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8">
        <v>45136.619444444441</v>
      </c>
      <c r="I27" s="289">
        <v>28.3628</v>
      </c>
      <c r="J27" s="289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90">
        <v>45136.629861111112</v>
      </c>
      <c r="I28" s="291">
        <v>35.5732</v>
      </c>
      <c r="J28" s="291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90">
        <v>45136.640277777777</v>
      </c>
      <c r="I29" s="291">
        <v>34.972000000000001</v>
      </c>
      <c r="J29" s="291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90">
        <v>45136.650694444441</v>
      </c>
      <c r="I30" s="291">
        <v>32.542400000000001</v>
      </c>
      <c r="J30" s="291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90">
        <v>45136.661111111112</v>
      </c>
      <c r="I31" s="291">
        <v>26.4848</v>
      </c>
      <c r="J31" s="291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90">
        <v>45136.671527777777</v>
      </c>
      <c r="I32" s="291">
        <v>20.574000000000002</v>
      </c>
      <c r="J32" s="291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90">
        <v>45136.681944444441</v>
      </c>
      <c r="I33" s="292">
        <v>17.004000000000001</v>
      </c>
      <c r="J33" s="292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3">
        <v>45151.78125</v>
      </c>
      <c r="I34" s="294">
        <v>13.715999999999999</v>
      </c>
      <c r="J34" s="294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5">
        <v>45151.790277777778</v>
      </c>
      <c r="I35" s="296">
        <v>16.154399999999999</v>
      </c>
      <c r="J35" s="296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5">
        <v>45151.793055555558</v>
      </c>
      <c r="I36" s="296">
        <v>14.494399999999899</v>
      </c>
      <c r="J36" s="296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5">
        <v>45151.798611111109</v>
      </c>
      <c r="I37" s="296">
        <v>11.944000000000001</v>
      </c>
      <c r="J37" s="296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5">
        <v>45151.876388888886</v>
      </c>
      <c r="I38" s="297">
        <v>7.8642666666666603</v>
      </c>
      <c r="J38" s="297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8">
        <v>45166.513888888891</v>
      </c>
      <c r="I39" s="299">
        <v>24.83</v>
      </c>
      <c r="J39" s="299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300">
        <v>45166.524305555555</v>
      </c>
      <c r="I40" s="301">
        <v>24.844000000000001</v>
      </c>
      <c r="J40" s="301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300">
        <v>45166.534722222219</v>
      </c>
      <c r="I41" s="301">
        <v>16.478000000000002</v>
      </c>
      <c r="J41" s="301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300">
        <v>45166.545138888891</v>
      </c>
      <c r="I42" s="301">
        <v>13.218</v>
      </c>
      <c r="J42" s="301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300">
        <v>45166.555555555555</v>
      </c>
      <c r="I43" s="301">
        <v>11.843999999999999</v>
      </c>
      <c r="J43" s="301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300">
        <v>45166.586805555555</v>
      </c>
      <c r="I44" s="301">
        <v>11.214</v>
      </c>
      <c r="J44" s="301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300">
        <v>45166.607638888891</v>
      </c>
      <c r="I45" s="301">
        <v>11.263999999999999</v>
      </c>
      <c r="J45" s="301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2">
        <v>45166.638888888891</v>
      </c>
      <c r="I46" s="303">
        <v>8.8166666666666593</v>
      </c>
      <c r="J46" s="303">
        <v>9.3473333333333297</v>
      </c>
      <c r="K46" s="135">
        <v>483</v>
      </c>
    </row>
    <row r="47" spans="1:11" x14ac:dyDescent="0.25">
      <c r="A47" s="304" t="s">
        <v>181</v>
      </c>
      <c r="B47" s="305">
        <v>12.380952380952339</v>
      </c>
      <c r="C47" s="306"/>
      <c r="D47" s="304">
        <v>3.7290000000000001</v>
      </c>
      <c r="E47" s="308"/>
      <c r="F47" s="308"/>
      <c r="G47" s="308"/>
      <c r="H47" s="307">
        <v>45031.520833333336</v>
      </c>
      <c r="I47" s="275">
        <v>6.3695391092076497</v>
      </c>
      <c r="J47" s="275"/>
      <c r="K47" s="304">
        <v>195</v>
      </c>
    </row>
    <row r="48" spans="1:11" x14ac:dyDescent="0.25">
      <c r="A48" s="2" t="s">
        <v>182</v>
      </c>
      <c r="B48" s="149">
        <v>9.4736842105262955</v>
      </c>
      <c r="C48" s="31"/>
      <c r="D48" s="2">
        <v>3.573</v>
      </c>
      <c r="E48" s="274"/>
      <c r="F48" s="274"/>
      <c r="G48" s="274"/>
      <c r="H48" s="233">
        <v>45031.6875</v>
      </c>
      <c r="I48" s="147">
        <v>6.3686278197342103</v>
      </c>
      <c r="J48" s="147"/>
      <c r="K48" s="2">
        <v>196</v>
      </c>
    </row>
    <row r="49" spans="1:11" x14ac:dyDescent="0.25">
      <c r="A49" s="2" t="s">
        <v>183</v>
      </c>
      <c r="B49" s="149">
        <v>5.0000000000000044</v>
      </c>
      <c r="C49" s="31"/>
      <c r="D49" s="2">
        <v>3.2410000000000001</v>
      </c>
      <c r="E49" s="274"/>
      <c r="F49" s="274"/>
      <c r="G49" s="274"/>
      <c r="H49" s="233">
        <v>45031.854166666664</v>
      </c>
      <c r="I49" s="147">
        <v>6.3677165302607701</v>
      </c>
      <c r="J49" s="147"/>
      <c r="K49" s="2">
        <v>197</v>
      </c>
    </row>
    <row r="50" spans="1:11" x14ac:dyDescent="0.25">
      <c r="A50" s="2" t="s">
        <v>184</v>
      </c>
      <c r="B50" s="149">
        <v>3.999999999999976</v>
      </c>
      <c r="C50" s="31"/>
      <c r="D50" s="2">
        <v>3.202</v>
      </c>
      <c r="E50" s="274"/>
      <c r="F50" s="274"/>
      <c r="G50" s="274"/>
      <c r="H50" s="233">
        <v>45032.020833333336</v>
      </c>
      <c r="I50" s="147">
        <v>6.3668052407873201</v>
      </c>
      <c r="J50" s="147"/>
      <c r="K50" s="2">
        <v>198</v>
      </c>
    </row>
    <row r="51" spans="1:11" x14ac:dyDescent="0.25">
      <c r="A51" s="2" t="s">
        <v>185</v>
      </c>
      <c r="B51" s="149">
        <v>10.476190476190512</v>
      </c>
      <c r="C51" s="31"/>
      <c r="D51" s="2">
        <v>3.234</v>
      </c>
      <c r="E51" s="274"/>
      <c r="F51" s="274"/>
      <c r="G51" s="274"/>
      <c r="H51" s="233">
        <v>45032.520833333336</v>
      </c>
      <c r="I51" s="147">
        <v>6.3640713723669897</v>
      </c>
      <c r="J51" s="147"/>
      <c r="K51" s="2">
        <v>199</v>
      </c>
    </row>
    <row r="52" spans="1:11" x14ac:dyDescent="0.25">
      <c r="A52" s="2" t="s">
        <v>186</v>
      </c>
      <c r="B52" s="149">
        <v>9.3333333333332309</v>
      </c>
      <c r="C52" s="31"/>
      <c r="D52" s="2">
        <v>3.2930000000000001</v>
      </c>
      <c r="E52" s="274"/>
      <c r="F52" s="274"/>
      <c r="G52" s="274"/>
      <c r="H52" s="233">
        <v>45032.6875</v>
      </c>
      <c r="I52" s="147">
        <v>6.3631600828935397</v>
      </c>
      <c r="J52" s="147"/>
      <c r="K52" s="2">
        <v>200</v>
      </c>
    </row>
    <row r="53" spans="1:11" x14ac:dyDescent="0.25">
      <c r="A53" s="2" t="s">
        <v>187</v>
      </c>
      <c r="B53" s="149">
        <v>9.6551724137929966</v>
      </c>
      <c r="C53" s="31"/>
      <c r="D53" s="2">
        <v>3.1789999999999998</v>
      </c>
      <c r="E53" s="274"/>
      <c r="F53" s="274"/>
      <c r="G53" s="274"/>
      <c r="H53" s="233">
        <v>45033.020833333336</v>
      </c>
      <c r="I53" s="147">
        <v>6.3613375039466602</v>
      </c>
      <c r="J53" s="147"/>
      <c r="K53" s="2">
        <v>201</v>
      </c>
    </row>
    <row r="54" spans="1:11" x14ac:dyDescent="0.25">
      <c r="A54" s="2" t="s">
        <v>188</v>
      </c>
      <c r="B54" s="149">
        <v>3.9999999999999298</v>
      </c>
      <c r="C54" s="31"/>
      <c r="D54" s="2">
        <v>3.1110000000000002</v>
      </c>
      <c r="E54" s="274"/>
      <c r="F54" s="274"/>
      <c r="G54" s="274"/>
      <c r="H54" s="233">
        <v>45033.1875</v>
      </c>
      <c r="I54" s="147">
        <v>6.3604262144732102</v>
      </c>
      <c r="J54" s="147"/>
      <c r="K54" s="2">
        <v>202</v>
      </c>
    </row>
    <row r="55" spans="1:11" x14ac:dyDescent="0.25">
      <c r="A55" s="2" t="s">
        <v>189</v>
      </c>
      <c r="B55" s="149">
        <v>1.4999999999999736</v>
      </c>
      <c r="C55" s="31"/>
      <c r="D55" s="2">
        <v>3.0259999999999998</v>
      </c>
      <c r="E55" s="274"/>
      <c r="F55" s="274"/>
      <c r="G55" s="274"/>
      <c r="H55" s="233">
        <v>45033.354166666664</v>
      </c>
      <c r="I55" s="147">
        <v>6.35951492499977</v>
      </c>
      <c r="J55" s="147"/>
      <c r="K55" s="2">
        <v>203</v>
      </c>
    </row>
    <row r="56" spans="1:11" x14ac:dyDescent="0.25">
      <c r="A56" s="2" t="s">
        <v>190</v>
      </c>
      <c r="B56" s="149">
        <v>5.5000000000000879</v>
      </c>
      <c r="C56" s="31"/>
      <c r="D56" s="2">
        <v>3.0910000000000002</v>
      </c>
      <c r="E56" s="274"/>
      <c r="F56" s="274"/>
      <c r="G56" s="274"/>
      <c r="H56" s="233">
        <v>45033.520833333336</v>
      </c>
      <c r="I56" s="147">
        <v>5.28249032</v>
      </c>
      <c r="J56" s="147"/>
      <c r="K56" s="2">
        <v>204</v>
      </c>
    </row>
    <row r="57" spans="1:11" x14ac:dyDescent="0.25">
      <c r="A57" s="2" t="s">
        <v>191</v>
      </c>
      <c r="B57" s="149">
        <v>23.157894736842042</v>
      </c>
      <c r="C57" s="31"/>
      <c r="D57" s="2">
        <v>3.206</v>
      </c>
      <c r="E57" s="274"/>
      <c r="F57" s="274"/>
      <c r="G57" s="274"/>
      <c r="H57" s="233">
        <v>45033.6875</v>
      </c>
      <c r="I57" s="147"/>
      <c r="J57" s="147">
        <v>0.60768966400000002</v>
      </c>
      <c r="K57" s="2">
        <v>205</v>
      </c>
    </row>
    <row r="58" spans="1:11" x14ac:dyDescent="0.25">
      <c r="A58" s="2" t="s">
        <v>192</v>
      </c>
      <c r="B58" s="149">
        <v>15.000000000000014</v>
      </c>
      <c r="C58" s="31"/>
      <c r="D58" s="2">
        <v>3.6629999999999998</v>
      </c>
      <c r="E58" s="274"/>
      <c r="F58" s="274"/>
      <c r="G58" s="274"/>
      <c r="H58" s="233">
        <v>45033.854166666664</v>
      </c>
      <c r="I58" s="147"/>
      <c r="J58" s="147">
        <v>0.67526825599999996</v>
      </c>
      <c r="K58" s="2">
        <v>206</v>
      </c>
    </row>
    <row r="59" spans="1:11" x14ac:dyDescent="0.25">
      <c r="A59" s="2" t="s">
        <v>194</v>
      </c>
      <c r="B59" s="149">
        <v>8.9473684210526692</v>
      </c>
      <c r="C59" s="236">
        <v>1.3945106373630132</v>
      </c>
      <c r="D59" s="2">
        <v>3.806</v>
      </c>
      <c r="E59" s="274"/>
      <c r="F59" s="274"/>
      <c r="G59" s="274"/>
      <c r="H59" s="233">
        <v>45034.020833333336</v>
      </c>
      <c r="I59" s="147">
        <v>12.815805599999999</v>
      </c>
      <c r="J59" s="147">
        <v>0.66271287999999995</v>
      </c>
      <c r="K59" s="2">
        <v>222</v>
      </c>
    </row>
    <row r="60" spans="1:11" x14ac:dyDescent="0.25">
      <c r="A60" s="2" t="s">
        <v>193</v>
      </c>
      <c r="B60" s="149">
        <v>9.4999999999999254</v>
      </c>
      <c r="C60" s="236"/>
      <c r="D60" s="2">
        <v>3.391</v>
      </c>
      <c r="E60" s="274"/>
      <c r="F60" s="274"/>
      <c r="G60" s="274"/>
      <c r="H60" s="233">
        <v>45034.1875</v>
      </c>
      <c r="I60" s="147">
        <v>12.0457119999999</v>
      </c>
      <c r="J60" s="147">
        <v>0.63474413999999901</v>
      </c>
      <c r="K60" s="2">
        <v>207</v>
      </c>
    </row>
    <row r="61" spans="1:11" x14ac:dyDescent="0.25">
      <c r="A61" s="2" t="s">
        <v>195</v>
      </c>
      <c r="B61" s="149">
        <v>4.2857142857143424</v>
      </c>
      <c r="C61" s="236"/>
      <c r="D61" s="2">
        <v>3.3119999999999998</v>
      </c>
      <c r="E61" s="274"/>
      <c r="F61" s="274"/>
      <c r="G61" s="274"/>
      <c r="H61" s="233">
        <v>45034.354166666664</v>
      </c>
      <c r="I61" s="147">
        <v>10.67219704</v>
      </c>
      <c r="J61" s="147">
        <v>0.62033358800000005</v>
      </c>
      <c r="K61" s="2">
        <v>223</v>
      </c>
    </row>
    <row r="62" spans="1:11" x14ac:dyDescent="0.25">
      <c r="A62" s="2" t="s">
        <v>196</v>
      </c>
      <c r="B62" s="149"/>
      <c r="C62" s="236"/>
      <c r="D62" s="2">
        <v>3.3530000000000002</v>
      </c>
      <c r="E62" s="274"/>
      <c r="F62" s="274"/>
      <c r="G62" s="274"/>
      <c r="H62" s="233">
        <v>45034.520833333336</v>
      </c>
      <c r="I62" s="147">
        <v>12.4510858</v>
      </c>
      <c r="J62" s="147">
        <v>0.57870333600000001</v>
      </c>
      <c r="K62" s="2">
        <v>224</v>
      </c>
    </row>
    <row r="63" spans="1:11" x14ac:dyDescent="0.25">
      <c r="A63" s="2" t="s">
        <v>197</v>
      </c>
      <c r="B63" s="149">
        <v>23.000000000000103</v>
      </c>
      <c r="C63" s="236"/>
      <c r="D63" s="2">
        <v>3.5139999999999998</v>
      </c>
      <c r="E63" s="274"/>
      <c r="F63" s="274"/>
      <c r="G63" s="274"/>
      <c r="H63" s="233">
        <v>45034.6875</v>
      </c>
      <c r="I63" s="147">
        <v>21.1627592</v>
      </c>
      <c r="J63" s="147">
        <v>0.64280018799999905</v>
      </c>
      <c r="K63" s="2">
        <v>225</v>
      </c>
    </row>
    <row r="64" spans="1:11" x14ac:dyDescent="0.25">
      <c r="A64" s="2" t="s">
        <v>198</v>
      </c>
      <c r="B64" s="149">
        <v>15.000000000000014</v>
      </c>
      <c r="C64" s="236"/>
      <c r="D64" s="2">
        <v>3.6539999999999999</v>
      </c>
      <c r="E64" s="274"/>
      <c r="F64" s="274"/>
      <c r="G64" s="274"/>
      <c r="H64" s="233">
        <v>45034.895833333336</v>
      </c>
      <c r="I64" s="147">
        <v>14.5804768</v>
      </c>
      <c r="J64" s="147">
        <v>0.75155197200000001</v>
      </c>
      <c r="K64" s="2">
        <v>226</v>
      </c>
    </row>
    <row r="65" spans="1:11" x14ac:dyDescent="0.25">
      <c r="A65" s="2" t="s">
        <v>199</v>
      </c>
      <c r="B65" s="149">
        <v>9.0909090909090988</v>
      </c>
      <c r="C65" s="236"/>
      <c r="D65" s="2">
        <v>3.5760000000000001</v>
      </c>
      <c r="E65" s="274"/>
      <c r="F65" s="274"/>
      <c r="G65" s="274"/>
      <c r="H65" s="233">
        <v>45035.104166666664</v>
      </c>
      <c r="I65" s="147">
        <v>12.4211408</v>
      </c>
      <c r="J65" s="147">
        <v>0.68398085200000003</v>
      </c>
      <c r="K65" s="2">
        <v>227</v>
      </c>
    </row>
    <row r="66" spans="1:11" x14ac:dyDescent="0.25">
      <c r="A66" s="2" t="s">
        <v>200</v>
      </c>
      <c r="B66" s="149">
        <v>7.5000000000000071</v>
      </c>
      <c r="C66" s="236"/>
      <c r="D66" s="2">
        <v>3.3889999999999998</v>
      </c>
      <c r="E66" s="274"/>
      <c r="F66" s="274"/>
      <c r="G66" s="274"/>
      <c r="H66" s="233">
        <v>45035.3125</v>
      </c>
      <c r="I66" s="147">
        <v>10.916756999999899</v>
      </c>
      <c r="J66" s="147">
        <v>0.63628065999999905</v>
      </c>
      <c r="K66" s="2">
        <v>228</v>
      </c>
    </row>
    <row r="67" spans="1:11" x14ac:dyDescent="0.25">
      <c r="A67" s="2" t="s">
        <v>201</v>
      </c>
      <c r="B67" s="149">
        <v>4.3750000000000382</v>
      </c>
      <c r="C67" s="236"/>
      <c r="D67" s="2">
        <v>3.226</v>
      </c>
      <c r="E67" s="274"/>
      <c r="F67" s="274"/>
      <c r="G67" s="274"/>
      <c r="H67" s="233">
        <v>45035.520833333336</v>
      </c>
      <c r="I67" s="147">
        <v>12.41495316</v>
      </c>
      <c r="J67" s="147">
        <v>0.60410145599999998</v>
      </c>
      <c r="K67" s="2">
        <v>229</v>
      </c>
    </row>
    <row r="68" spans="1:11" x14ac:dyDescent="0.25">
      <c r="A68" s="2" t="s">
        <v>202</v>
      </c>
      <c r="B68" s="149"/>
      <c r="C68" s="236"/>
      <c r="D68" s="2">
        <v>3.552</v>
      </c>
      <c r="E68" s="274"/>
      <c r="F68" s="274"/>
      <c r="G68" s="274"/>
      <c r="H68" s="233">
        <v>45036.666666666664</v>
      </c>
      <c r="I68" s="147">
        <v>10.38733716</v>
      </c>
      <c r="J68" s="147">
        <v>0.59383253599999997</v>
      </c>
      <c r="K68" s="2">
        <v>230</v>
      </c>
    </row>
    <row r="69" spans="1:11" x14ac:dyDescent="0.25">
      <c r="A69" s="2" t="s">
        <v>203</v>
      </c>
      <c r="B69" s="149">
        <v>5.6249999999999005</v>
      </c>
      <c r="C69" s="236"/>
      <c r="D69" s="2">
        <v>3.323</v>
      </c>
      <c r="E69" s="274"/>
      <c r="F69" s="274"/>
      <c r="G69" s="274"/>
      <c r="H69" s="233">
        <v>45036.770833333336</v>
      </c>
      <c r="I69" s="147">
        <v>9.4103997199999991</v>
      </c>
      <c r="J69" s="147">
        <v>0.61654414000000002</v>
      </c>
      <c r="K69" s="2">
        <v>231</v>
      </c>
    </row>
    <row r="70" spans="1:11" x14ac:dyDescent="0.25">
      <c r="A70" s="2" t="s">
        <v>204</v>
      </c>
      <c r="B70" s="149">
        <v>6.6666666666666723</v>
      </c>
      <c r="C70" s="236"/>
      <c r="D70" s="2">
        <v>3.3159999999999998</v>
      </c>
      <c r="E70" s="274"/>
      <c r="F70" s="274"/>
      <c r="G70" s="274"/>
      <c r="H70" s="233">
        <v>45036.979166666664</v>
      </c>
      <c r="I70" s="147">
        <v>8.6639274400000001</v>
      </c>
      <c r="J70" s="147">
        <v>0.59535333199999996</v>
      </c>
      <c r="K70" s="2">
        <v>232</v>
      </c>
    </row>
    <row r="71" spans="1:11" x14ac:dyDescent="0.25">
      <c r="A71" s="2" t="s">
        <v>205</v>
      </c>
      <c r="B71" s="149"/>
      <c r="C71" s="236"/>
      <c r="D71" s="2">
        <v>3.2069999999999999</v>
      </c>
      <c r="E71" s="274"/>
      <c r="F71" s="274"/>
      <c r="G71" s="274"/>
      <c r="H71" s="233">
        <v>45037.1875</v>
      </c>
      <c r="I71" s="147">
        <v>8.1745655151999994</v>
      </c>
      <c r="J71" s="147">
        <v>0.57885261200000004</v>
      </c>
      <c r="K71" s="2">
        <v>233</v>
      </c>
    </row>
    <row r="72" spans="1:11" x14ac:dyDescent="0.25">
      <c r="A72" s="2" t="s">
        <v>206</v>
      </c>
      <c r="B72" s="149"/>
      <c r="C72" s="236"/>
      <c r="D72" s="2">
        <v>3.153</v>
      </c>
      <c r="E72" s="274"/>
      <c r="F72" s="274"/>
      <c r="G72" s="274"/>
      <c r="H72" s="233">
        <v>45037.395833333336</v>
      </c>
      <c r="I72" s="147">
        <v>8.8986113000000007</v>
      </c>
      <c r="J72" s="147">
        <v>0.56270766400000005</v>
      </c>
      <c r="K72" s="2">
        <v>234</v>
      </c>
    </row>
    <row r="73" spans="1:11" x14ac:dyDescent="0.25">
      <c r="A73" s="2" t="s">
        <v>207</v>
      </c>
      <c r="B73" s="149"/>
      <c r="C73" s="236"/>
      <c r="D73" s="2">
        <v>3.2869999999999999</v>
      </c>
      <c r="E73" s="274"/>
      <c r="F73" s="274"/>
      <c r="G73" s="274"/>
      <c r="H73" s="233">
        <v>45037.604166666664</v>
      </c>
      <c r="I73" s="147">
        <v>8.95110431999999</v>
      </c>
      <c r="J73" s="147">
        <v>0.55456220000000001</v>
      </c>
      <c r="K73" s="2">
        <v>235</v>
      </c>
    </row>
    <row r="74" spans="1:11" x14ac:dyDescent="0.25">
      <c r="A74" s="2" t="s">
        <v>208</v>
      </c>
      <c r="B74" s="149">
        <v>10.344827586206906</v>
      </c>
      <c r="C74" s="236"/>
      <c r="D74" s="2">
        <v>3.2440000000000002</v>
      </c>
      <c r="E74" s="274"/>
      <c r="F74" s="274"/>
      <c r="G74" s="274"/>
      <c r="H74" s="233">
        <v>45039.666666666664</v>
      </c>
      <c r="I74" s="147">
        <v>9.3171799199999992</v>
      </c>
      <c r="J74" s="147">
        <v>0.60670676400000001</v>
      </c>
      <c r="K74" s="2">
        <v>254</v>
      </c>
    </row>
    <row r="75" spans="1:11" x14ac:dyDescent="0.25">
      <c r="A75" s="2" t="s">
        <v>209</v>
      </c>
      <c r="B75" s="149">
        <v>5.3333333333333011</v>
      </c>
      <c r="C75" s="236"/>
      <c r="D75" s="2">
        <v>3.3380000000000001</v>
      </c>
      <c r="E75" s="274"/>
      <c r="F75" s="274"/>
      <c r="G75" s="274"/>
      <c r="H75" s="233">
        <v>45039.875</v>
      </c>
      <c r="I75" s="147">
        <v>9.2401945999999899</v>
      </c>
      <c r="J75" s="147">
        <v>0.64345100399999999</v>
      </c>
      <c r="K75" s="2">
        <v>255</v>
      </c>
    </row>
    <row r="76" spans="1:11" x14ac:dyDescent="0.25">
      <c r="A76" s="2" t="s">
        <v>210</v>
      </c>
      <c r="B76" s="149">
        <v>6.4285714285715132</v>
      </c>
      <c r="C76" s="236"/>
      <c r="D76" s="2">
        <v>3.2010000000000001</v>
      </c>
      <c r="E76" s="274"/>
      <c r="F76" s="274"/>
      <c r="G76" s="274"/>
      <c r="H76" s="233">
        <v>45040.083333333336</v>
      </c>
      <c r="I76" s="147">
        <v>6.6271815599999897</v>
      </c>
      <c r="J76" s="147">
        <v>0.61361535199999995</v>
      </c>
      <c r="K76" s="2">
        <v>256</v>
      </c>
    </row>
    <row r="77" spans="1:11" x14ac:dyDescent="0.25">
      <c r="A77" s="2" t="s">
        <v>211</v>
      </c>
      <c r="B77" s="149">
        <v>6.4285714285713151</v>
      </c>
      <c r="C77" s="236"/>
      <c r="D77" s="2">
        <v>3.056</v>
      </c>
      <c r="E77" s="274"/>
      <c r="F77" s="274"/>
      <c r="G77" s="274"/>
      <c r="H77" s="233">
        <v>45040.291666666664</v>
      </c>
      <c r="I77" s="147">
        <v>6.83403183999999</v>
      </c>
      <c r="J77" s="147">
        <v>0.59474124799999994</v>
      </c>
      <c r="K77" s="2">
        <v>257</v>
      </c>
    </row>
    <row r="78" spans="1:11" x14ac:dyDescent="0.25">
      <c r="A78" s="2" t="s">
        <v>212</v>
      </c>
      <c r="B78" s="149">
        <v>14.193548387096822</v>
      </c>
      <c r="C78" s="236"/>
      <c r="D78" s="2">
        <v>3.0910000000000002</v>
      </c>
      <c r="E78" s="274"/>
      <c r="F78" s="274"/>
      <c r="G78" s="274"/>
      <c r="H78" s="233">
        <v>45040.5</v>
      </c>
      <c r="I78" s="147">
        <v>8.1550506400000007</v>
      </c>
      <c r="J78" s="147">
        <v>0.54444331199999996</v>
      </c>
      <c r="K78" s="2">
        <v>258</v>
      </c>
    </row>
    <row r="79" spans="1:11" x14ac:dyDescent="0.25">
      <c r="A79" s="2" t="s">
        <v>213</v>
      </c>
      <c r="B79" s="149">
        <v>14.736842105263287</v>
      </c>
      <c r="C79" s="236"/>
      <c r="D79" s="2">
        <v>3.26</v>
      </c>
      <c r="E79" s="274"/>
      <c r="F79" s="274"/>
      <c r="G79" s="274"/>
      <c r="H79" s="233">
        <v>45040.708333333336</v>
      </c>
      <c r="I79" s="147">
        <v>13.7088416</v>
      </c>
      <c r="J79" s="147">
        <v>0.67745766399999996</v>
      </c>
      <c r="K79" s="2">
        <v>259</v>
      </c>
    </row>
    <row r="80" spans="1:11" x14ac:dyDescent="0.25">
      <c r="A80" s="2" t="s">
        <v>214</v>
      </c>
      <c r="B80" s="149">
        <v>18.947368421052882</v>
      </c>
      <c r="C80" s="236"/>
      <c r="D80" s="2">
        <v>3.37</v>
      </c>
      <c r="E80" s="274"/>
      <c r="F80" s="274"/>
      <c r="G80" s="274"/>
      <c r="H80" s="233">
        <v>45040.916666666664</v>
      </c>
      <c r="I80" s="147">
        <v>10.1428473999999</v>
      </c>
      <c r="J80" s="147">
        <v>0.69879289999999905</v>
      </c>
      <c r="K80" s="2">
        <v>260</v>
      </c>
    </row>
    <row r="81" spans="1:11" x14ac:dyDescent="0.25">
      <c r="A81" s="2" t="s">
        <v>215</v>
      </c>
      <c r="B81" s="149">
        <v>26.086956521739157</v>
      </c>
      <c r="C81" s="236"/>
      <c r="D81" s="2">
        <v>3.246</v>
      </c>
      <c r="E81" s="274"/>
      <c r="F81" s="274"/>
      <c r="G81" s="274"/>
      <c r="H81" s="233">
        <v>45041.125</v>
      </c>
      <c r="I81" s="147">
        <v>8.9488770800000008</v>
      </c>
      <c r="J81" s="147">
        <v>0.63710624000000005</v>
      </c>
      <c r="K81" s="2">
        <v>261</v>
      </c>
    </row>
    <row r="82" spans="1:11" x14ac:dyDescent="0.25">
      <c r="A82" s="2" t="s">
        <v>216</v>
      </c>
      <c r="B82" s="149">
        <v>7.2727272727274812</v>
      </c>
      <c r="C82" s="236"/>
      <c r="D82" s="2">
        <v>2.9489999999999998</v>
      </c>
      <c r="E82" s="274"/>
      <c r="F82" s="274"/>
      <c r="G82" s="274"/>
      <c r="H82" s="233">
        <v>45041.333333333336</v>
      </c>
      <c r="I82" s="147">
        <v>8.6484638799999995</v>
      </c>
      <c r="J82" s="147">
        <v>0.61671400399999998</v>
      </c>
      <c r="K82" s="2">
        <v>262</v>
      </c>
    </row>
    <row r="83" spans="1:11" x14ac:dyDescent="0.25">
      <c r="A83" s="2" t="s">
        <v>217</v>
      </c>
      <c r="B83" s="149"/>
      <c r="C83" s="236"/>
      <c r="D83" s="2">
        <v>3.0939999999999999</v>
      </c>
      <c r="E83" s="274"/>
      <c r="F83" s="274"/>
      <c r="G83" s="274"/>
      <c r="H83" s="233">
        <v>45041.541666666664</v>
      </c>
      <c r="I83" s="147">
        <v>9.1187322399999999</v>
      </c>
      <c r="J83" s="147">
        <v>0.59804602399999995</v>
      </c>
      <c r="K83" s="2">
        <v>263</v>
      </c>
    </row>
    <row r="84" spans="1:11" x14ac:dyDescent="0.25">
      <c r="A84" s="2" t="s">
        <v>218</v>
      </c>
      <c r="B84" s="149">
        <v>5.3333333333333011</v>
      </c>
      <c r="C84" s="236"/>
      <c r="D84" s="2">
        <v>3.32</v>
      </c>
      <c r="E84" s="274"/>
      <c r="F84" s="274"/>
      <c r="G84" s="274"/>
      <c r="H84" s="233">
        <v>45041.75</v>
      </c>
      <c r="I84" s="147">
        <v>8.1289062039999997</v>
      </c>
      <c r="J84" s="147">
        <v>0.61784086400000005</v>
      </c>
      <c r="K84" s="2">
        <v>264</v>
      </c>
    </row>
    <row r="85" spans="1:11" x14ac:dyDescent="0.25">
      <c r="A85" s="2" t="s">
        <v>219</v>
      </c>
      <c r="B85" s="149">
        <v>5.0000000000000444</v>
      </c>
      <c r="C85" s="236"/>
      <c r="D85" s="2">
        <v>2.996</v>
      </c>
      <c r="E85" s="274"/>
      <c r="F85" s="274"/>
      <c r="G85" s="274"/>
      <c r="H85" s="233">
        <v>45041.958333333336</v>
      </c>
      <c r="I85" s="147">
        <v>7.2309412399999999</v>
      </c>
      <c r="J85" s="147">
        <v>0.60023069200000001</v>
      </c>
      <c r="K85" s="2">
        <v>265</v>
      </c>
    </row>
    <row r="86" spans="1:11" x14ac:dyDescent="0.25">
      <c r="A86" s="2" t="s">
        <v>220</v>
      </c>
      <c r="B86" s="149"/>
      <c r="C86" s="236"/>
      <c r="D86" s="2">
        <v>2.8530000000000002</v>
      </c>
      <c r="E86" s="274"/>
      <c r="F86" s="274"/>
      <c r="G86" s="274"/>
      <c r="H86" s="233">
        <v>45042.166666666664</v>
      </c>
      <c r="I86" s="147">
        <v>6.1800801999999999</v>
      </c>
      <c r="J86" s="147">
        <v>0.58027925199999997</v>
      </c>
      <c r="K86" s="2">
        <v>266</v>
      </c>
    </row>
    <row r="87" spans="1:11" x14ac:dyDescent="0.25">
      <c r="A87" s="2" t="s">
        <v>221</v>
      </c>
      <c r="B87" s="149">
        <v>22.012578616352222</v>
      </c>
      <c r="C87" s="236"/>
      <c r="D87" s="2">
        <v>3.2490000000000001</v>
      </c>
      <c r="E87" s="274"/>
      <c r="F87" s="274"/>
      <c r="G87" s="274"/>
      <c r="H87" s="233">
        <v>45042.583333333336</v>
      </c>
      <c r="I87" s="147">
        <v>7.1972571599999897</v>
      </c>
      <c r="J87" s="147">
        <v>0.55574581999999995</v>
      </c>
      <c r="K87" s="2">
        <v>267</v>
      </c>
    </row>
    <row r="88" spans="1:11" x14ac:dyDescent="0.25">
      <c r="A88" s="2" t="s">
        <v>222</v>
      </c>
      <c r="B88" s="149">
        <v>12.142857142857194</v>
      </c>
      <c r="C88" s="236"/>
      <c r="D88" s="2">
        <v>3.1539999999999999</v>
      </c>
      <c r="E88" s="274"/>
      <c r="F88" s="274"/>
      <c r="G88" s="274"/>
      <c r="H88" s="233">
        <v>45042.791666666664</v>
      </c>
      <c r="I88" s="147">
        <v>7.6360871199999902</v>
      </c>
      <c r="J88" s="147">
        <v>0.59034808000000005</v>
      </c>
      <c r="K88" s="2">
        <v>268</v>
      </c>
    </row>
    <row r="89" spans="1:11" x14ac:dyDescent="0.25">
      <c r="A89" s="2" t="s">
        <v>223</v>
      </c>
      <c r="B89" s="149">
        <v>10.666666666666602</v>
      </c>
      <c r="C89" s="236"/>
      <c r="D89" s="2">
        <v>3.069</v>
      </c>
      <c r="E89" s="274"/>
      <c r="F89" s="274"/>
      <c r="G89" s="274"/>
      <c r="H89" s="233">
        <v>45043</v>
      </c>
      <c r="I89" s="147">
        <v>6.68355736</v>
      </c>
      <c r="J89" s="147">
        <v>0.57754375599999996</v>
      </c>
      <c r="K89" s="2">
        <v>292</v>
      </c>
    </row>
    <row r="90" spans="1:11" x14ac:dyDescent="0.25">
      <c r="A90" s="2" t="s">
        <v>224</v>
      </c>
      <c r="B90" s="149">
        <v>5.2941176470588935</v>
      </c>
      <c r="C90" s="236"/>
      <c r="D90" s="2">
        <v>2.8119999999999998</v>
      </c>
      <c r="E90" s="274"/>
      <c r="F90" s="274"/>
      <c r="G90" s="274"/>
      <c r="H90" s="233">
        <v>45043.208333333336</v>
      </c>
      <c r="I90" s="147">
        <v>6.0356489199999999</v>
      </c>
      <c r="J90" s="147">
        <v>0.56059426400000001</v>
      </c>
      <c r="K90" s="2">
        <v>293</v>
      </c>
    </row>
    <row r="91" spans="1:11" x14ac:dyDescent="0.25">
      <c r="A91" s="2" t="s">
        <v>225</v>
      </c>
      <c r="B91" s="149">
        <v>4.1176470588235654</v>
      </c>
      <c r="C91" s="236"/>
      <c r="D91" s="2">
        <v>2.774</v>
      </c>
      <c r="E91" s="274"/>
      <c r="F91" s="274"/>
      <c r="G91" s="274"/>
      <c r="H91" s="233">
        <v>45043.416666666664</v>
      </c>
      <c r="I91" s="147">
        <v>7.2851257199999999</v>
      </c>
      <c r="J91" s="147">
        <v>0.542822888</v>
      </c>
      <c r="K91" s="2">
        <v>294</v>
      </c>
    </row>
    <row r="92" spans="1:11" x14ac:dyDescent="0.25">
      <c r="A92" s="2" t="s">
        <v>226</v>
      </c>
      <c r="B92" s="149">
        <v>8.1250000000001457</v>
      </c>
      <c r="C92" s="236"/>
      <c r="D92" s="2">
        <v>3.0510000000000002</v>
      </c>
      <c r="E92" s="274"/>
      <c r="F92" s="274"/>
      <c r="G92" s="274"/>
      <c r="H92" s="233">
        <v>45043.625</v>
      </c>
      <c r="I92" s="147">
        <v>8.6648960400000004</v>
      </c>
      <c r="J92" s="147">
        <v>0.57702389599999904</v>
      </c>
      <c r="K92" s="2">
        <v>295</v>
      </c>
    </row>
    <row r="93" spans="1:11" x14ac:dyDescent="0.25">
      <c r="A93" s="2" t="s">
        <v>227</v>
      </c>
      <c r="B93" s="149">
        <v>6.8750000000001101</v>
      </c>
      <c r="C93" s="236"/>
      <c r="D93" s="2">
        <v>3.2709999999999999</v>
      </c>
      <c r="E93" s="274"/>
      <c r="F93" s="274"/>
      <c r="G93" s="274"/>
      <c r="H93" s="233">
        <v>45043.833333333336</v>
      </c>
      <c r="I93" s="147">
        <v>10.076955359999999</v>
      </c>
      <c r="J93" s="147">
        <v>0.69683061199999896</v>
      </c>
      <c r="K93" s="2">
        <v>296</v>
      </c>
    </row>
    <row r="94" spans="1:11" x14ac:dyDescent="0.25">
      <c r="A94" s="2" t="s">
        <v>228</v>
      </c>
      <c r="B94" s="149">
        <v>4.8275862068965933</v>
      </c>
      <c r="C94" s="236"/>
      <c r="D94" s="2">
        <v>3.2989999999999999</v>
      </c>
      <c r="E94" s="274"/>
      <c r="F94" s="274"/>
      <c r="G94" s="274"/>
      <c r="H94" s="233">
        <v>45044.041666666664</v>
      </c>
      <c r="I94" s="147">
        <v>7.5388328024</v>
      </c>
      <c r="J94" s="147">
        <v>0.649056788</v>
      </c>
      <c r="K94" s="2">
        <v>297</v>
      </c>
    </row>
    <row r="95" spans="1:11" x14ac:dyDescent="0.25">
      <c r="A95" s="2" t="s">
        <v>229</v>
      </c>
      <c r="B95" s="149">
        <v>2.3529411764706558</v>
      </c>
      <c r="C95" s="236"/>
      <c r="D95" s="2">
        <v>2.8559999999999999</v>
      </c>
      <c r="E95" s="274"/>
      <c r="F95" s="274"/>
      <c r="G95" s="274"/>
      <c r="H95" s="233">
        <v>45044.25</v>
      </c>
      <c r="I95" s="147">
        <v>8.1453577599999996</v>
      </c>
      <c r="J95" s="147">
        <v>0.61863771199999995</v>
      </c>
      <c r="K95" s="2">
        <v>298</v>
      </c>
    </row>
    <row r="96" spans="1:11" x14ac:dyDescent="0.25">
      <c r="A96" s="2" t="s">
        <v>230</v>
      </c>
      <c r="B96" s="149">
        <v>5.3333333333333011</v>
      </c>
      <c r="C96" s="236"/>
      <c r="D96" s="2">
        <v>2.7429999999999999</v>
      </c>
      <c r="E96" s="274"/>
      <c r="F96" s="274"/>
      <c r="G96" s="274"/>
      <c r="H96" s="233">
        <v>45044.458333333336</v>
      </c>
      <c r="I96" s="147">
        <v>7.4115104000000001</v>
      </c>
      <c r="J96" s="147">
        <v>0.55664535599999998</v>
      </c>
      <c r="K96" s="2">
        <v>299</v>
      </c>
    </row>
    <row r="97" spans="1:11" x14ac:dyDescent="0.25">
      <c r="A97" s="2" t="s">
        <v>231</v>
      </c>
      <c r="B97" s="149">
        <v>5.2941176470587292</v>
      </c>
      <c r="C97" s="236"/>
      <c r="D97" s="2">
        <v>2.7890000000000001</v>
      </c>
      <c r="E97" s="274"/>
      <c r="F97" s="274"/>
      <c r="G97" s="274"/>
      <c r="H97" s="233">
        <v>45044.666666666664</v>
      </c>
      <c r="I97" s="147">
        <v>6.8345387903999999</v>
      </c>
      <c r="J97" s="147">
        <v>0.59644744000000005</v>
      </c>
      <c r="K97" s="2">
        <v>300</v>
      </c>
    </row>
    <row r="98" spans="1:11" x14ac:dyDescent="0.25">
      <c r="A98" s="2" t="s">
        <v>232</v>
      </c>
      <c r="B98" s="149">
        <v>3.2258064516129061</v>
      </c>
      <c r="C98" s="236"/>
      <c r="D98" s="2">
        <v>2.8090000000000002</v>
      </c>
      <c r="E98" s="274"/>
      <c r="F98" s="274"/>
      <c r="G98" s="274"/>
      <c r="H98" s="233">
        <v>45044.875</v>
      </c>
      <c r="I98" s="147">
        <v>7.9445271199999903</v>
      </c>
      <c r="J98" s="147">
        <v>0.61181387599999904</v>
      </c>
      <c r="K98" s="2">
        <v>301</v>
      </c>
    </row>
    <row r="99" spans="1:11" x14ac:dyDescent="0.25">
      <c r="A99" s="2" t="s">
        <v>233</v>
      </c>
      <c r="B99" s="149">
        <v>0</v>
      </c>
      <c r="C99" s="236"/>
      <c r="D99" s="2">
        <v>2.6989999999999998</v>
      </c>
      <c r="E99" s="274"/>
      <c r="F99" s="274"/>
      <c r="G99" s="274"/>
      <c r="H99" s="233">
        <v>45045.083333333336</v>
      </c>
      <c r="I99" s="147">
        <v>7.4290512799999897</v>
      </c>
      <c r="J99" s="147">
        <v>0.59254014799999999</v>
      </c>
      <c r="K99" s="2">
        <v>315</v>
      </c>
    </row>
    <row r="100" spans="1:11" x14ac:dyDescent="0.25">
      <c r="A100" s="2" t="s">
        <v>234</v>
      </c>
      <c r="B100" s="149">
        <v>3.3333333333333361</v>
      </c>
      <c r="C100" s="236"/>
      <c r="D100" s="2">
        <v>2.8239999999999998</v>
      </c>
      <c r="E100" s="274"/>
      <c r="F100" s="274"/>
      <c r="G100" s="274"/>
      <c r="H100" s="233">
        <v>45045.291666666664</v>
      </c>
      <c r="I100" s="147">
        <v>5.25875556</v>
      </c>
      <c r="J100" s="147">
        <v>0.57737382399999904</v>
      </c>
      <c r="K100" s="2">
        <v>316</v>
      </c>
    </row>
    <row r="101" spans="1:11" x14ac:dyDescent="0.25">
      <c r="A101" s="2" t="s">
        <v>235</v>
      </c>
      <c r="B101" s="149">
        <v>5.3333333333333011</v>
      </c>
      <c r="C101" s="236"/>
      <c r="D101" s="2">
        <v>2.6429999999999998</v>
      </c>
      <c r="E101" s="274"/>
      <c r="F101" s="274"/>
      <c r="G101" s="274"/>
      <c r="H101" s="233">
        <v>45045.5</v>
      </c>
      <c r="I101" s="147">
        <v>6.4666904799999898</v>
      </c>
      <c r="J101" s="147">
        <v>0.53414629599999996</v>
      </c>
      <c r="K101" s="2">
        <v>317</v>
      </c>
    </row>
    <row r="102" spans="1:11" x14ac:dyDescent="0.25">
      <c r="A102" s="2" t="s">
        <v>236</v>
      </c>
      <c r="B102" s="149">
        <v>12.666666666666567</v>
      </c>
      <c r="C102" s="236"/>
      <c r="D102" s="2">
        <v>2.9510000000000001</v>
      </c>
      <c r="E102" s="274"/>
      <c r="F102" s="274"/>
      <c r="G102" s="274"/>
      <c r="H102" s="233">
        <v>45045.708333333336</v>
      </c>
      <c r="I102" s="147">
        <v>14.551988908</v>
      </c>
      <c r="J102" s="147">
        <v>0.66348383200000005</v>
      </c>
      <c r="K102" s="2">
        <v>318</v>
      </c>
    </row>
    <row r="103" spans="1:11" x14ac:dyDescent="0.25">
      <c r="A103" s="2" t="s">
        <v>237</v>
      </c>
      <c r="B103" s="149">
        <v>10.666666666666787</v>
      </c>
      <c r="C103" s="236"/>
      <c r="D103" s="2">
        <v>3.1309999999999998</v>
      </c>
      <c r="E103" s="274"/>
      <c r="F103" s="274"/>
      <c r="G103" s="274"/>
      <c r="H103" s="233">
        <v>45045.916666666664</v>
      </c>
      <c r="I103" s="147">
        <v>8.8853135287999994</v>
      </c>
      <c r="J103" s="147">
        <v>0.83292446799999997</v>
      </c>
      <c r="K103" s="2">
        <v>319</v>
      </c>
    </row>
    <row r="104" spans="1:11" x14ac:dyDescent="0.25">
      <c r="A104" s="2" t="s">
        <v>238</v>
      </c>
      <c r="B104" s="149">
        <v>7.8571428571427848</v>
      </c>
      <c r="C104" s="236"/>
      <c r="D104" s="2">
        <v>2.8330000000000002</v>
      </c>
      <c r="E104" s="274"/>
      <c r="F104" s="274"/>
      <c r="G104" s="274"/>
      <c r="H104" s="233">
        <v>45046.125</v>
      </c>
      <c r="I104" s="147">
        <v>11.209641884</v>
      </c>
      <c r="J104" s="147">
        <v>0.71647227599999996</v>
      </c>
      <c r="K104" s="2">
        <v>320</v>
      </c>
    </row>
    <row r="105" spans="1:11" x14ac:dyDescent="0.25">
      <c r="A105" s="2" t="s">
        <v>239</v>
      </c>
      <c r="B105" s="149">
        <v>8.6666666666666377</v>
      </c>
      <c r="C105" s="236"/>
      <c r="D105" s="2">
        <v>2.7509999999999999</v>
      </c>
      <c r="E105" s="274"/>
      <c r="F105" s="274"/>
      <c r="G105" s="274"/>
      <c r="H105" s="233">
        <v>45046.333333333336</v>
      </c>
      <c r="I105" s="147">
        <v>10.423064119999999</v>
      </c>
      <c r="J105" s="147">
        <v>0.64374088399999996</v>
      </c>
      <c r="K105" s="2">
        <v>321</v>
      </c>
    </row>
    <row r="106" spans="1:11" x14ac:dyDescent="0.25">
      <c r="A106" s="2" t="s">
        <v>240</v>
      </c>
      <c r="B106" s="149">
        <v>9.3750000000000089</v>
      </c>
      <c r="C106" s="236"/>
      <c r="D106" s="2">
        <v>2.8889999999999998</v>
      </c>
      <c r="E106" s="274"/>
      <c r="F106" s="274"/>
      <c r="G106" s="274"/>
      <c r="H106" s="233">
        <v>45046.541666666664</v>
      </c>
      <c r="I106" s="147">
        <v>8.3597602844000001</v>
      </c>
      <c r="J106" s="147">
        <v>0.60178064399999998</v>
      </c>
      <c r="K106" s="2">
        <v>322</v>
      </c>
    </row>
    <row r="107" spans="1:11" x14ac:dyDescent="0.25">
      <c r="A107" s="2" t="s">
        <v>241</v>
      </c>
      <c r="B107" s="149">
        <v>41.999999999999993</v>
      </c>
      <c r="C107" s="236"/>
      <c r="D107" s="2">
        <v>3.7759999999999998</v>
      </c>
      <c r="E107" s="274"/>
      <c r="F107" s="274"/>
      <c r="G107" s="274"/>
      <c r="H107" s="233">
        <v>45046.75</v>
      </c>
      <c r="I107" s="147">
        <v>43.856735999999998</v>
      </c>
      <c r="J107" s="147">
        <v>0.91321567999999997</v>
      </c>
      <c r="K107" s="2">
        <v>323</v>
      </c>
    </row>
    <row r="108" spans="1:11" x14ac:dyDescent="0.25">
      <c r="A108" s="2" t="s">
        <v>242</v>
      </c>
      <c r="B108" s="149">
        <v>17.419354838709729</v>
      </c>
      <c r="C108" s="236"/>
      <c r="D108" s="2">
        <v>3.4470000000000001</v>
      </c>
      <c r="E108" s="274"/>
      <c r="F108" s="274"/>
      <c r="G108" s="274"/>
      <c r="H108" s="233">
        <v>45046.958333333336</v>
      </c>
      <c r="I108" s="147">
        <v>16.958527199999999</v>
      </c>
      <c r="J108" s="147">
        <v>0.98583381199999998</v>
      </c>
      <c r="K108" s="2">
        <v>324</v>
      </c>
    </row>
    <row r="109" spans="1:11" x14ac:dyDescent="0.25">
      <c r="A109" s="2" t="s">
        <v>243</v>
      </c>
      <c r="B109" s="149">
        <v>6.6666666666666723</v>
      </c>
      <c r="C109" s="236"/>
      <c r="D109" s="2">
        <v>3.1629999999999998</v>
      </c>
      <c r="E109" s="274"/>
      <c r="F109" s="274"/>
      <c r="G109" s="274"/>
      <c r="H109" s="233">
        <v>45047.166666666664</v>
      </c>
      <c r="I109" s="147">
        <v>12.384886399999999</v>
      </c>
      <c r="J109" s="147">
        <v>0.82808364799999901</v>
      </c>
      <c r="K109" s="2">
        <v>325</v>
      </c>
    </row>
    <row r="110" spans="1:11" x14ac:dyDescent="0.25">
      <c r="A110" s="2" t="s">
        <v>244</v>
      </c>
      <c r="B110" s="149">
        <v>2.5000000000000715</v>
      </c>
      <c r="C110" s="236"/>
      <c r="D110" s="2">
        <v>2.9590000000000001</v>
      </c>
      <c r="E110" s="274"/>
      <c r="F110" s="274"/>
      <c r="G110" s="274"/>
      <c r="H110" s="233">
        <v>45047.375</v>
      </c>
      <c r="I110" s="147">
        <v>11.245605614480001</v>
      </c>
      <c r="J110" s="147">
        <v>0.70318841200000004</v>
      </c>
      <c r="K110" s="2">
        <v>326</v>
      </c>
    </row>
    <row r="111" spans="1:11" x14ac:dyDescent="0.25">
      <c r="A111" s="2" t="s">
        <v>245</v>
      </c>
      <c r="B111" s="149">
        <v>6.000000000000079</v>
      </c>
      <c r="C111" s="236"/>
      <c r="D111" s="2">
        <v>3.1480000000000001</v>
      </c>
      <c r="E111" s="274"/>
      <c r="F111" s="274"/>
      <c r="G111" s="274"/>
      <c r="H111" s="233">
        <v>45047.583333333336</v>
      </c>
      <c r="I111" s="147">
        <v>13.655055599999899</v>
      </c>
      <c r="J111" s="147">
        <v>0.67487072000000004</v>
      </c>
      <c r="K111" s="2">
        <v>327</v>
      </c>
    </row>
    <row r="112" spans="1:11" x14ac:dyDescent="0.25">
      <c r="A112" s="2" t="s">
        <v>246</v>
      </c>
      <c r="B112" s="149">
        <v>22.142857142857082</v>
      </c>
      <c r="C112" s="236">
        <v>2.2897902812448567</v>
      </c>
      <c r="D112" s="2">
        <v>3.5409999999999999</v>
      </c>
      <c r="E112" s="274"/>
      <c r="F112" s="274"/>
      <c r="G112" s="274"/>
      <c r="H112" s="233">
        <v>45047.833333333336</v>
      </c>
      <c r="I112" s="147">
        <v>22.0529236</v>
      </c>
      <c r="J112" s="147">
        <v>0.97117030400000004</v>
      </c>
      <c r="K112" s="2">
        <v>343</v>
      </c>
    </row>
    <row r="113" spans="1:11" x14ac:dyDescent="0.25">
      <c r="A113" s="2" t="s">
        <v>247</v>
      </c>
      <c r="B113" s="149">
        <v>10.000000000000009</v>
      </c>
      <c r="C113" s="236"/>
      <c r="D113" s="2">
        <v>3.0760000000000001</v>
      </c>
      <c r="E113" s="274"/>
      <c r="F113" s="274"/>
      <c r="G113" s="274"/>
      <c r="H113" s="233">
        <v>45048.125</v>
      </c>
      <c r="I113" s="147">
        <v>12.440960799999999</v>
      </c>
      <c r="J113" s="147">
        <v>0.82063311999999999</v>
      </c>
      <c r="K113" s="2">
        <v>344</v>
      </c>
    </row>
    <row r="114" spans="1:11" x14ac:dyDescent="0.25">
      <c r="A114" s="2" t="s">
        <v>248</v>
      </c>
      <c r="B114" s="149">
        <v>6.4285714285713151</v>
      </c>
      <c r="C114" s="236"/>
      <c r="D114" s="2">
        <v>2.8559999999999999</v>
      </c>
      <c r="E114" s="274"/>
      <c r="F114" s="274"/>
      <c r="G114" s="274"/>
      <c r="H114" s="233">
        <v>45048.416666666664</v>
      </c>
      <c r="I114" s="147">
        <v>9.0430761999999998</v>
      </c>
      <c r="J114" s="147">
        <v>0.66461490000000001</v>
      </c>
      <c r="K114" s="2">
        <v>345</v>
      </c>
    </row>
    <row r="115" spans="1:11" x14ac:dyDescent="0.25">
      <c r="A115" s="2" t="s">
        <v>249</v>
      </c>
      <c r="B115" s="239">
        <v>18.000000000000053</v>
      </c>
      <c r="C115" s="240"/>
      <c r="D115" s="39">
        <v>2.9209999999999998</v>
      </c>
      <c r="E115" s="274"/>
      <c r="F115" s="274"/>
      <c r="G115" s="274"/>
      <c r="H115" s="242">
        <v>45048.708333333336</v>
      </c>
      <c r="I115" s="147">
        <v>11.007816999999999</v>
      </c>
      <c r="J115" s="147">
        <v>0.72370817200000004</v>
      </c>
      <c r="K115" s="39">
        <v>346</v>
      </c>
    </row>
    <row r="116" spans="1:11" x14ac:dyDescent="0.25">
      <c r="A116" s="2" t="s">
        <v>250</v>
      </c>
      <c r="B116" s="239">
        <v>9.3333333333334156</v>
      </c>
      <c r="C116" s="240"/>
      <c r="D116" s="39">
        <v>3.0609999999999999</v>
      </c>
      <c r="E116" s="274"/>
      <c r="F116" s="274"/>
      <c r="G116" s="274"/>
      <c r="H116" s="242">
        <v>45049</v>
      </c>
      <c r="I116" s="147">
        <v>9.7772273199999997</v>
      </c>
      <c r="J116" s="147">
        <v>0.771403536</v>
      </c>
      <c r="K116" s="39">
        <v>347</v>
      </c>
    </row>
    <row r="117" spans="1:11" x14ac:dyDescent="0.25">
      <c r="A117" s="2" t="s">
        <v>251</v>
      </c>
      <c r="B117" s="239">
        <v>5.7142857142856798</v>
      </c>
      <c r="C117" s="240"/>
      <c r="D117" s="39">
        <v>2.823</v>
      </c>
      <c r="E117" s="274"/>
      <c r="F117" s="274"/>
      <c r="G117" s="274"/>
      <c r="H117" s="242">
        <v>45049.291666666664</v>
      </c>
      <c r="I117" s="147">
        <v>8.0378636399999994</v>
      </c>
      <c r="J117" s="147">
        <v>0.65167801599999997</v>
      </c>
      <c r="K117" s="39">
        <v>348</v>
      </c>
    </row>
    <row r="118" spans="1:11" x14ac:dyDescent="0.25">
      <c r="A118" s="2" t="s">
        <v>252</v>
      </c>
      <c r="B118" s="149">
        <v>2.8571428571429389</v>
      </c>
      <c r="C118" s="236"/>
      <c r="D118" s="2">
        <v>2.923</v>
      </c>
      <c r="E118" s="274"/>
      <c r="F118" s="274"/>
      <c r="G118" s="274"/>
      <c r="H118" s="233">
        <v>45049.583333333336</v>
      </c>
      <c r="I118" s="147">
        <v>10.11803948328</v>
      </c>
      <c r="J118" s="147">
        <v>0.62427880800000002</v>
      </c>
      <c r="K118" s="2">
        <v>349</v>
      </c>
    </row>
    <row r="119" spans="1:11" x14ac:dyDescent="0.25">
      <c r="A119" s="2" t="s">
        <v>253</v>
      </c>
      <c r="B119" s="149">
        <v>20.666666666666611</v>
      </c>
      <c r="C119" s="236">
        <v>3.1546349152673332</v>
      </c>
      <c r="D119" s="2">
        <v>3.5110000000000001</v>
      </c>
      <c r="E119" s="274"/>
      <c r="F119" s="274"/>
      <c r="G119" s="274"/>
      <c r="H119" s="233">
        <v>45049.833333333336</v>
      </c>
      <c r="I119" s="147">
        <v>20.03069</v>
      </c>
      <c r="J119" s="147">
        <v>0.93434271999999996</v>
      </c>
      <c r="K119" s="2">
        <v>350</v>
      </c>
    </row>
    <row r="120" spans="1:11" x14ac:dyDescent="0.25">
      <c r="A120" s="2" t="s">
        <v>254</v>
      </c>
      <c r="B120" s="149">
        <v>11.87500000000008</v>
      </c>
      <c r="C120" s="236">
        <v>2.2311544928160623</v>
      </c>
      <c r="D120" s="2">
        <v>3.1459999999999999</v>
      </c>
      <c r="E120" s="274"/>
      <c r="F120" s="274"/>
      <c r="G120" s="274"/>
      <c r="H120" s="233">
        <v>45050.083333333336</v>
      </c>
      <c r="I120" s="147">
        <v>10.664316599999999</v>
      </c>
      <c r="J120" s="147">
        <v>0.81794674000000001</v>
      </c>
      <c r="K120" s="2">
        <v>351</v>
      </c>
    </row>
    <row r="121" spans="1:11" x14ac:dyDescent="0.25">
      <c r="A121" s="2" t="s">
        <v>255</v>
      </c>
      <c r="B121" s="149">
        <v>2.8571428571429389</v>
      </c>
      <c r="C121" s="236"/>
      <c r="D121" s="2">
        <v>2.8879999999999999</v>
      </c>
      <c r="E121" s="274"/>
      <c r="F121" s="274"/>
      <c r="G121" s="274"/>
      <c r="H121" s="233">
        <v>45050.333333333336</v>
      </c>
      <c r="I121" s="147">
        <v>9.0879493359999994</v>
      </c>
      <c r="J121" s="147">
        <v>0.69204235599999997</v>
      </c>
      <c r="K121" s="2">
        <v>352</v>
      </c>
    </row>
    <row r="122" spans="1:11" x14ac:dyDescent="0.25">
      <c r="A122" s="2" t="s">
        <v>256</v>
      </c>
      <c r="B122" s="149">
        <v>4.6666666666667078</v>
      </c>
      <c r="C122" s="236"/>
      <c r="D122" s="2">
        <v>2.9329999999999998</v>
      </c>
      <c r="E122" s="274"/>
      <c r="F122" s="274"/>
      <c r="G122" s="274"/>
      <c r="H122" s="233">
        <v>45050.083333333336</v>
      </c>
      <c r="I122" s="147">
        <v>10.664316599999999</v>
      </c>
      <c r="J122" s="147">
        <v>0.81794674000000001</v>
      </c>
      <c r="K122" s="2">
        <v>353</v>
      </c>
    </row>
    <row r="123" spans="1:11" x14ac:dyDescent="0.25">
      <c r="A123" s="2" t="s">
        <v>257</v>
      </c>
      <c r="B123" s="149">
        <v>8.7500000000000764</v>
      </c>
      <c r="C123" s="236"/>
      <c r="D123" s="2">
        <v>3.1819999999999999</v>
      </c>
      <c r="E123" s="274"/>
      <c r="F123" s="274"/>
      <c r="G123" s="274"/>
      <c r="H123" s="233">
        <v>45050.708333333336</v>
      </c>
      <c r="I123" s="147">
        <v>15.2589617119999</v>
      </c>
      <c r="J123" s="147">
        <v>0.78517861599999905</v>
      </c>
      <c r="K123" s="2">
        <v>354</v>
      </c>
    </row>
    <row r="124" spans="1:11" x14ac:dyDescent="0.25">
      <c r="A124" s="2" t="s">
        <v>258</v>
      </c>
      <c r="B124" s="149">
        <v>9.3333333333334156</v>
      </c>
      <c r="C124" s="236"/>
      <c r="D124" s="2">
        <v>3.2719999999999998</v>
      </c>
      <c r="E124" s="274"/>
      <c r="F124" s="274"/>
      <c r="G124" s="274"/>
      <c r="H124" s="233">
        <v>45050.958333333336</v>
      </c>
      <c r="I124" s="147">
        <v>9.9651312127999994</v>
      </c>
      <c r="J124" s="147">
        <v>0.80451119999999998</v>
      </c>
      <c r="K124" s="2">
        <v>355</v>
      </c>
    </row>
    <row r="125" spans="1:11" x14ac:dyDescent="0.25">
      <c r="A125" s="2" t="s">
        <v>259</v>
      </c>
      <c r="B125" s="149">
        <v>7.1428571428571495</v>
      </c>
      <c r="C125" s="236"/>
      <c r="D125" s="2">
        <v>3.0419999999999998</v>
      </c>
      <c r="E125" s="274"/>
      <c r="F125" s="274"/>
      <c r="G125" s="274"/>
      <c r="H125" s="233">
        <v>45051.083333333336</v>
      </c>
      <c r="I125" s="147">
        <v>8.4859850784000006</v>
      </c>
      <c r="J125" s="147">
        <v>0.72139595199999995</v>
      </c>
      <c r="K125" s="2">
        <v>356</v>
      </c>
    </row>
    <row r="126" spans="1:11" x14ac:dyDescent="0.25">
      <c r="A126" s="1" t="s">
        <v>343</v>
      </c>
      <c r="B126" s="164">
        <v>3.4553255204584259</v>
      </c>
      <c r="C126" s="12">
        <v>1.1019061775871013</v>
      </c>
      <c r="D126" s="1">
        <v>2.1269999999999998</v>
      </c>
      <c r="E126" s="1">
        <v>5.1576641217063925E-5</v>
      </c>
      <c r="F126" s="1">
        <v>2.3E-2</v>
      </c>
      <c r="G126" s="1">
        <v>0.03</v>
      </c>
      <c r="H126" s="267">
        <v>0.72638888888888886</v>
      </c>
      <c r="I126" s="252"/>
      <c r="J126" s="252"/>
      <c r="K126" s="1" t="s">
        <v>359</v>
      </c>
    </row>
    <row r="127" spans="1:11" x14ac:dyDescent="0.25">
      <c r="A127" s="1" t="s">
        <v>344</v>
      </c>
      <c r="B127" s="164">
        <v>19.697185438321707</v>
      </c>
      <c r="C127" s="12">
        <v>0.74367490551410131</v>
      </c>
      <c r="D127" s="1">
        <v>1.3859999999999999</v>
      </c>
      <c r="E127" s="1">
        <v>2.9040962645844913E-4</v>
      </c>
      <c r="F127" s="1">
        <v>2.1999999999999999E-2</v>
      </c>
      <c r="G127" s="1">
        <v>3.9E-2</v>
      </c>
      <c r="H127" s="267">
        <v>0.72849999999999882</v>
      </c>
      <c r="I127" s="252"/>
      <c r="J127" s="252"/>
      <c r="K127" s="1" t="s">
        <v>360</v>
      </c>
    </row>
    <row r="128" spans="1:11" x14ac:dyDescent="0.25">
      <c r="A128" s="1" t="s">
        <v>345</v>
      </c>
      <c r="B128" s="164">
        <v>52.651576833306279</v>
      </c>
      <c r="C128" s="12">
        <v>8.5089648231025521</v>
      </c>
      <c r="D128" s="1">
        <v>1.5820000000000001</v>
      </c>
      <c r="E128" s="1">
        <v>6.6106276627512963E-4</v>
      </c>
      <c r="F128" s="1">
        <v>2.4E-2</v>
      </c>
      <c r="G128" s="1">
        <v>4.5999999999999999E-2</v>
      </c>
      <c r="H128" s="267">
        <v>0.73061111111110877</v>
      </c>
      <c r="I128" s="252"/>
      <c r="J128" s="252"/>
      <c r="K128" s="1" t="s">
        <v>361</v>
      </c>
    </row>
    <row r="129" spans="1:11" x14ac:dyDescent="0.25">
      <c r="A129" s="1" t="s">
        <v>346</v>
      </c>
      <c r="B129" s="164">
        <v>89.933968747198861</v>
      </c>
      <c r="C129" s="12">
        <v>10.416461895026821</v>
      </c>
      <c r="D129" s="1">
        <v>1.643</v>
      </c>
      <c r="E129" s="1">
        <v>2.2224172067829232E-3</v>
      </c>
      <c r="F129" s="1">
        <v>2.1999999999999999E-2</v>
      </c>
      <c r="G129" s="1">
        <v>7.1999999999999995E-2</v>
      </c>
      <c r="H129" s="267">
        <v>0.73272222222221872</v>
      </c>
      <c r="I129" s="252"/>
      <c r="J129" s="252"/>
      <c r="K129" s="1" t="s">
        <v>362</v>
      </c>
    </row>
    <row r="130" spans="1:11" x14ac:dyDescent="0.25">
      <c r="A130" s="1" t="s">
        <v>347</v>
      </c>
      <c r="B130" s="164">
        <v>73.619940199502565</v>
      </c>
      <c r="C130" s="12">
        <v>9.7361003162332729</v>
      </c>
      <c r="D130" s="1">
        <v>1.5389999999999999</v>
      </c>
      <c r="E130" s="1">
        <v>2.0552078586848492E-3</v>
      </c>
      <c r="F130" s="1">
        <v>1.9E-2</v>
      </c>
      <c r="G130" s="1">
        <v>8.1000000000000003E-2</v>
      </c>
      <c r="H130" s="267">
        <v>0.73483333333332868</v>
      </c>
      <c r="I130" s="252"/>
      <c r="J130" s="252"/>
      <c r="K130" s="1" t="s">
        <v>363</v>
      </c>
    </row>
    <row r="131" spans="1:11" x14ac:dyDescent="0.25">
      <c r="A131" s="1" t="s">
        <v>348</v>
      </c>
      <c r="B131" s="164">
        <v>240.0916933100078</v>
      </c>
      <c r="C131" s="12">
        <v>38.658748032082819</v>
      </c>
      <c r="D131" s="1">
        <v>1.502</v>
      </c>
      <c r="E131" s="1">
        <v>2.3927254516111322E-3</v>
      </c>
      <c r="F131" s="1">
        <v>1.7999999999999999E-2</v>
      </c>
      <c r="G131" s="1">
        <v>0.11799999999999999</v>
      </c>
      <c r="H131" s="267">
        <v>0.73694444444443863</v>
      </c>
      <c r="I131" s="252"/>
      <c r="J131" s="252"/>
      <c r="K131" s="1" t="s">
        <v>364</v>
      </c>
    </row>
    <row r="132" spans="1:11" x14ac:dyDescent="0.25">
      <c r="A132" s="1" t="s">
        <v>349</v>
      </c>
      <c r="B132" s="164">
        <v>73.574494175352541</v>
      </c>
      <c r="C132" s="12">
        <v>6.3447902158703471</v>
      </c>
      <c r="D132" s="1">
        <v>1.46</v>
      </c>
      <c r="E132" s="1">
        <v>2.5382950090458741E-4</v>
      </c>
      <c r="F132" s="1">
        <v>1.9E-2</v>
      </c>
      <c r="G132" s="1">
        <v>0.05</v>
      </c>
      <c r="H132" s="267">
        <v>0.73905555555554858</v>
      </c>
      <c r="I132" s="252"/>
      <c r="J132" s="252"/>
      <c r="K132" s="1" t="s">
        <v>365</v>
      </c>
    </row>
    <row r="133" spans="1:11" x14ac:dyDescent="0.25">
      <c r="A133" s="1" t="s">
        <v>350</v>
      </c>
      <c r="B133" s="164">
        <v>20.816385127051692</v>
      </c>
      <c r="C133" s="12">
        <v>1.9795058998944075</v>
      </c>
      <c r="D133" s="1">
        <v>1.4370000000000001</v>
      </c>
      <c r="E133" s="1">
        <v>3.8420401139033575E-4</v>
      </c>
      <c r="F133" s="1">
        <v>1.9E-2</v>
      </c>
      <c r="G133" s="1">
        <v>3.3000000000000002E-2</v>
      </c>
      <c r="H133" s="267">
        <v>0.74116666666665854</v>
      </c>
      <c r="I133" s="252"/>
      <c r="J133" s="252"/>
      <c r="K133" s="1" t="s">
        <v>366</v>
      </c>
    </row>
    <row r="134" spans="1:11" x14ac:dyDescent="0.25">
      <c r="A134" s="1" t="s">
        <v>351</v>
      </c>
      <c r="B134" s="164">
        <v>17.667101333445487</v>
      </c>
      <c r="C134" s="12">
        <v>3.219264329662352</v>
      </c>
      <c r="D134" s="1">
        <v>1.6559999999999999</v>
      </c>
      <c r="E134" s="1">
        <v>4.6887855651876298E-5</v>
      </c>
      <c r="F134" s="1">
        <v>1.9E-2</v>
      </c>
      <c r="G134" s="1">
        <v>0.03</v>
      </c>
      <c r="H134" s="267">
        <v>0.74327777777776849</v>
      </c>
      <c r="I134" s="252"/>
      <c r="J134" s="252"/>
      <c r="K134" s="1" t="s">
        <v>367</v>
      </c>
    </row>
    <row r="135" spans="1:11" x14ac:dyDescent="0.25">
      <c r="A135" s="1" t="s">
        <v>352</v>
      </c>
      <c r="B135" s="164">
        <v>15.963635379745167</v>
      </c>
      <c r="C135" s="12">
        <v>3.005177966008191</v>
      </c>
      <c r="D135" s="1">
        <v>1.7370000000000001</v>
      </c>
      <c r="E135" s="1">
        <v>1.2779120936401461E-4</v>
      </c>
      <c r="F135" s="1">
        <v>2.1000000000000001E-2</v>
      </c>
      <c r="G135" s="1">
        <v>2.7E-2</v>
      </c>
      <c r="H135" s="267">
        <v>0.74538888888887844</v>
      </c>
      <c r="I135" s="252"/>
      <c r="J135" s="252"/>
      <c r="K135" s="1" t="s">
        <v>368</v>
      </c>
    </row>
    <row r="136" spans="1:11" x14ac:dyDescent="0.25">
      <c r="A136" s="1" t="s">
        <v>353</v>
      </c>
      <c r="B136" s="164">
        <v>7.0668603509873824</v>
      </c>
      <c r="C136" s="12">
        <v>1.5626443518739146</v>
      </c>
      <c r="D136" s="1">
        <v>1.4590000000000001</v>
      </c>
      <c r="E136" s="1">
        <v>4.4474966741118462E-6</v>
      </c>
      <c r="F136" s="1">
        <v>2.1999999999999999E-2</v>
      </c>
      <c r="G136" s="1">
        <v>2.7E-2</v>
      </c>
      <c r="H136" s="267">
        <v>0.7474999999999884</v>
      </c>
      <c r="I136" s="252"/>
      <c r="J136" s="252"/>
      <c r="K136" s="1" t="s">
        <v>369</v>
      </c>
    </row>
    <row r="137" spans="1:11" x14ac:dyDescent="0.25">
      <c r="A137" s="1" t="s">
        <v>354</v>
      </c>
      <c r="B137" s="164">
        <v>12.436951564983044</v>
      </c>
      <c r="C137" s="12">
        <v>2.8765823670330759</v>
      </c>
      <c r="D137" s="1">
        <v>1.6379999999999999</v>
      </c>
      <c r="E137" s="1">
        <v>4.6887855651876298E-5</v>
      </c>
      <c r="F137" s="1">
        <v>1.9E-2</v>
      </c>
      <c r="G137" s="1">
        <v>2.5999999999999999E-2</v>
      </c>
      <c r="H137" s="267">
        <v>0.74961111111109835</v>
      </c>
      <c r="I137" s="252"/>
      <c r="J137" s="252"/>
      <c r="K137" s="1" t="s">
        <v>370</v>
      </c>
    </row>
    <row r="138" spans="1:11" x14ac:dyDescent="0.25">
      <c r="A138" s="1" t="s">
        <v>355</v>
      </c>
      <c r="B138" s="164">
        <v>8.095527221210272</v>
      </c>
      <c r="C138" s="12">
        <v>2.2126150321267626</v>
      </c>
      <c r="D138" s="1">
        <v>1.7050000000000001</v>
      </c>
      <c r="E138" s="1">
        <v>1.4986210786444661E-4</v>
      </c>
      <c r="F138" s="1">
        <v>0.02</v>
      </c>
      <c r="G138" s="1">
        <v>3.1E-2</v>
      </c>
      <c r="H138" s="267">
        <v>0.7517222222222083</v>
      </c>
      <c r="I138" s="252"/>
      <c r="J138" s="252"/>
      <c r="K138" s="1" t="s">
        <v>371</v>
      </c>
    </row>
    <row r="139" spans="1:11" x14ac:dyDescent="0.25">
      <c r="A139" s="1" t="s">
        <v>356</v>
      </c>
      <c r="B139" s="164">
        <v>10.855405992184116</v>
      </c>
      <c r="C139" s="12">
        <v>2.5675322748057079</v>
      </c>
      <c r="D139" s="1">
        <v>1.7070000000000001</v>
      </c>
      <c r="E139" s="1">
        <v>5.1576641217063925E-5</v>
      </c>
      <c r="F139" s="1">
        <v>0.02</v>
      </c>
      <c r="G139" s="1">
        <v>2.4E-2</v>
      </c>
      <c r="H139" s="267">
        <v>0.75383333333331826</v>
      </c>
      <c r="I139" s="252"/>
      <c r="J139" s="252"/>
      <c r="K139" s="1" t="s">
        <v>372</v>
      </c>
    </row>
    <row r="140" spans="1:11" x14ac:dyDescent="0.25">
      <c r="A140" s="1" t="s">
        <v>357</v>
      </c>
      <c r="B140" s="164">
        <v>6.0885448377837434</v>
      </c>
      <c r="C140" s="12">
        <v>2.2312408401110861</v>
      </c>
      <c r="D140" s="1">
        <v>1.681</v>
      </c>
      <c r="E140" s="1">
        <v>4.8981773007164672E-4</v>
      </c>
      <c r="F140" s="1">
        <v>2.1999999999999999E-2</v>
      </c>
      <c r="G140" s="1">
        <v>2.5000000000000001E-2</v>
      </c>
      <c r="H140" s="267">
        <v>0.75594444444442821</v>
      </c>
      <c r="I140" s="252"/>
      <c r="J140" s="252"/>
      <c r="K140" s="1" t="s">
        <v>373</v>
      </c>
    </row>
    <row r="141" spans="1:11" x14ac:dyDescent="0.25">
      <c r="A141" s="1" t="s">
        <v>358</v>
      </c>
      <c r="B141" s="164">
        <v>11.464181780769531</v>
      </c>
      <c r="C141" s="12">
        <v>2.7825557685143458</v>
      </c>
      <c r="D141" s="1">
        <v>1.262</v>
      </c>
      <c r="E141" s="1">
        <v>4.9120610682918029E-5</v>
      </c>
      <c r="F141" s="1">
        <v>2.1000000000000001E-2</v>
      </c>
      <c r="G141" s="1">
        <v>0.03</v>
      </c>
      <c r="H141" s="267">
        <v>0.75805555555553816</v>
      </c>
      <c r="I141" s="252"/>
      <c r="J141" s="252"/>
      <c r="K141" s="1" t="s">
        <v>374</v>
      </c>
    </row>
    <row r="142" spans="1:11" ht="15.75" x14ac:dyDescent="0.25">
      <c r="A142" s="2" t="s">
        <v>479</v>
      </c>
      <c r="B142" s="147">
        <v>167.04416761041898</v>
      </c>
      <c r="C142" s="14">
        <v>10.974524206225087</v>
      </c>
      <c r="D142" s="254">
        <v>2.64</v>
      </c>
      <c r="E142" s="254">
        <v>1.003934430437827E-2</v>
      </c>
      <c r="F142" s="254">
        <v>2.45715E-2</v>
      </c>
      <c r="G142" s="254">
        <v>6.0180800000000007E-2</v>
      </c>
      <c r="H142" s="266">
        <v>0.49802083333333336</v>
      </c>
      <c r="I142" s="274"/>
      <c r="J142" s="274"/>
      <c r="K142" s="255">
        <v>1</v>
      </c>
    </row>
    <row r="143" spans="1:11" ht="15.75" x14ac:dyDescent="0.25">
      <c r="A143" s="2" t="s">
        <v>479</v>
      </c>
      <c r="B143" s="147">
        <v>145.07862045000454</v>
      </c>
      <c r="C143" s="14">
        <v>12.330497071523524</v>
      </c>
      <c r="D143" s="254">
        <v>2.3839999999999999</v>
      </c>
      <c r="E143" s="254">
        <v>2.2338385851655443E-2</v>
      </c>
      <c r="F143" s="254">
        <v>1.7498300000000022E-2</v>
      </c>
      <c r="G143" s="254">
        <v>3.6531200000000014E-2</v>
      </c>
      <c r="H143" s="266">
        <v>0.49815972222222221</v>
      </c>
      <c r="I143" s="274"/>
      <c r="J143" s="274"/>
      <c r="K143" s="255">
        <v>2</v>
      </c>
    </row>
    <row r="144" spans="1:11" ht="15.75" x14ac:dyDescent="0.25">
      <c r="A144" s="2" t="s">
        <v>479</v>
      </c>
      <c r="B144" s="147">
        <v>76.137884872824614</v>
      </c>
      <c r="C144" s="14"/>
      <c r="D144" s="254">
        <v>2.2839999999999998</v>
      </c>
      <c r="E144" s="254">
        <v>9.8099758295017991E-3</v>
      </c>
      <c r="F144" s="254">
        <v>2.1034899999999995E-2</v>
      </c>
      <c r="G144" s="254">
        <v>3.28928E-2</v>
      </c>
      <c r="H144" s="266">
        <v>0.49828703703703708</v>
      </c>
      <c r="I144" s="274"/>
      <c r="J144" s="274"/>
      <c r="K144" s="255">
        <v>3</v>
      </c>
    </row>
    <row r="145" spans="1:11" ht="15.75" x14ac:dyDescent="0.25">
      <c r="A145" s="2" t="s">
        <v>479</v>
      </c>
      <c r="B145" s="147">
        <v>47.967684928048556</v>
      </c>
      <c r="C145" s="14">
        <v>4.9671491115903788</v>
      </c>
      <c r="D145" s="254">
        <v>2.423</v>
      </c>
      <c r="E145" s="254">
        <v>1.031870116219955E-2</v>
      </c>
      <c r="F145" s="254">
        <v>2.9876399999999997E-2</v>
      </c>
      <c r="G145" s="254">
        <v>3.28928E-2</v>
      </c>
      <c r="H145" s="266">
        <v>0.49840277777777775</v>
      </c>
      <c r="I145" s="274"/>
      <c r="J145" s="274"/>
      <c r="K145" s="255">
        <v>4</v>
      </c>
    </row>
    <row r="146" spans="1:11" ht="15.75" x14ac:dyDescent="0.25">
      <c r="A146" s="2" t="s">
        <v>479</v>
      </c>
      <c r="B146" s="147">
        <v>67.326074308037519</v>
      </c>
      <c r="C146" s="14">
        <v>8.8903535000293825</v>
      </c>
      <c r="D146" s="254">
        <v>2.488</v>
      </c>
      <c r="E146" s="254">
        <v>6.2101564483107649E-3</v>
      </c>
      <c r="F146" s="254">
        <v>2.6339799999999997E-2</v>
      </c>
      <c r="G146" s="254">
        <v>3.4711999999999993E-2</v>
      </c>
      <c r="H146" s="266">
        <v>0.49853009259259262</v>
      </c>
      <c r="I146" s="274"/>
      <c r="J146" s="274"/>
      <c r="K146" s="255">
        <v>5</v>
      </c>
    </row>
    <row r="147" spans="1:11" ht="15.75" x14ac:dyDescent="0.25">
      <c r="A147" s="2" t="s">
        <v>479</v>
      </c>
      <c r="B147" s="147">
        <v>61.268421924159554</v>
      </c>
      <c r="C147" s="14"/>
      <c r="D147" s="254">
        <v>2.4729999999999999</v>
      </c>
      <c r="E147" s="254">
        <v>5.2426659536415413E-3</v>
      </c>
      <c r="F147" s="254">
        <v>2.8108099999999997E-2</v>
      </c>
      <c r="G147" s="254">
        <v>8.9288000000000034E-2</v>
      </c>
      <c r="H147" s="266">
        <v>0.49865740740740744</v>
      </c>
      <c r="I147" s="274"/>
      <c r="J147" s="274"/>
      <c r="K147" s="255">
        <v>6</v>
      </c>
    </row>
    <row r="148" spans="1:11" ht="15.75" x14ac:dyDescent="0.25">
      <c r="A148" s="2" t="s">
        <v>479</v>
      </c>
      <c r="B148" s="147">
        <v>40.782355389096857</v>
      </c>
      <c r="C148" s="14"/>
      <c r="D148" s="254">
        <v>2.3140000000000001</v>
      </c>
      <c r="E148" s="254">
        <v>3.2996877945532998E-3</v>
      </c>
      <c r="F148" s="254">
        <v>2.8108099999999997E-2</v>
      </c>
      <c r="G148" s="254">
        <v>3.8350400000000007E-2</v>
      </c>
      <c r="H148" s="266">
        <v>0.49877314814814816</v>
      </c>
      <c r="I148" s="274"/>
      <c r="J148" s="274"/>
      <c r="K148" s="255">
        <v>7</v>
      </c>
    </row>
    <row r="149" spans="1:11" ht="15.75" x14ac:dyDescent="0.25">
      <c r="A149" s="2" t="s">
        <v>479</v>
      </c>
      <c r="B149" s="147">
        <v>43.350237199411083</v>
      </c>
      <c r="C149" s="14"/>
      <c r="D149" s="254">
        <v>2.4020000000000001</v>
      </c>
      <c r="E149" s="254">
        <v>2.600539216633088E-3</v>
      </c>
      <c r="F149" s="254">
        <v>2.9876399999999997E-2</v>
      </c>
      <c r="G149" s="254">
        <v>3.4711999999999993E-2</v>
      </c>
      <c r="H149" s="266">
        <v>0.49890046296296298</v>
      </c>
      <c r="I149" s="274"/>
      <c r="J149" s="274"/>
      <c r="K149" s="255">
        <v>8</v>
      </c>
    </row>
    <row r="150" spans="1:11" ht="15.75" x14ac:dyDescent="0.25">
      <c r="A150" s="2" t="s">
        <v>479</v>
      </c>
      <c r="B150" s="147">
        <v>37.341299477221838</v>
      </c>
      <c r="C150" s="14"/>
      <c r="D150" s="254">
        <v>2.278</v>
      </c>
      <c r="E150" s="254">
        <v>2.618500653426792E-3</v>
      </c>
      <c r="F150" s="254">
        <v>2.4571499999999996E-2</v>
      </c>
      <c r="G150" s="254">
        <v>4.01696E-2</v>
      </c>
      <c r="H150" s="266">
        <v>0.4990046296296296</v>
      </c>
      <c r="I150" s="274"/>
      <c r="J150" s="274"/>
      <c r="K150" s="255">
        <v>9</v>
      </c>
    </row>
    <row r="151" spans="1:11" ht="15.75" x14ac:dyDescent="0.25">
      <c r="A151" s="2" t="s">
        <v>479</v>
      </c>
      <c r="B151" s="147">
        <v>22.213081036610511</v>
      </c>
      <c r="C151" s="14"/>
      <c r="D151" s="254">
        <v>2.2730000000000001</v>
      </c>
      <c r="E151" s="254">
        <v>4.3689279273505278E-3</v>
      </c>
      <c r="F151" s="254">
        <v>2.8108099999999997E-2</v>
      </c>
      <c r="G151" s="254">
        <v>3.8350400000000007E-2</v>
      </c>
      <c r="H151" s="266">
        <v>0.49912037037037038</v>
      </c>
      <c r="I151" s="274"/>
      <c r="J151" s="274"/>
      <c r="K151" s="255">
        <v>10</v>
      </c>
    </row>
    <row r="152" spans="1:11" ht="15.75" x14ac:dyDescent="0.25">
      <c r="A152" s="2" t="s">
        <v>479</v>
      </c>
      <c r="B152" s="147">
        <v>20.673116679070553</v>
      </c>
      <c r="C152" s="14"/>
      <c r="D152" s="254">
        <v>2.3010000000000002</v>
      </c>
      <c r="E152" s="254">
        <v>3.1173927792587626E-3</v>
      </c>
      <c r="F152" s="254">
        <v>2.6339799999999997E-2</v>
      </c>
      <c r="G152" s="254">
        <v>3.28928E-2</v>
      </c>
      <c r="H152" s="266">
        <v>0.49923611111111116</v>
      </c>
      <c r="I152" s="274"/>
      <c r="J152" s="274"/>
      <c r="K152" s="255">
        <v>11</v>
      </c>
    </row>
    <row r="153" spans="1:11" ht="15.75" x14ac:dyDescent="0.25">
      <c r="A153" s="2" t="s">
        <v>479</v>
      </c>
      <c r="B153" s="147">
        <v>12.548101054040499</v>
      </c>
      <c r="C153" s="14">
        <v>3.2415982125782183</v>
      </c>
      <c r="D153" s="254">
        <v>2.3130000000000002</v>
      </c>
      <c r="E153" s="254">
        <v>2.5711583887521052E-3</v>
      </c>
      <c r="F153" s="254">
        <v>1.9266599999999995E-2</v>
      </c>
      <c r="G153" s="254">
        <v>3.6531200000000014E-2</v>
      </c>
      <c r="H153" s="266">
        <v>0.49935185185185182</v>
      </c>
      <c r="I153" s="274"/>
      <c r="J153" s="274"/>
      <c r="K153" s="255">
        <v>12</v>
      </c>
    </row>
    <row r="154" spans="1:11" ht="15.75" x14ac:dyDescent="0.25">
      <c r="A154" s="2" t="s">
        <v>479</v>
      </c>
      <c r="B154" s="147">
        <v>10.726957669774698</v>
      </c>
      <c r="C154" s="14"/>
      <c r="D154" s="254">
        <v>2.3079999999999998</v>
      </c>
      <c r="E154" s="254">
        <v>2.600539216633088E-3</v>
      </c>
      <c r="F154" s="254">
        <v>2.1034899999999995E-2</v>
      </c>
      <c r="G154" s="254">
        <v>3.4711999999999993E-2</v>
      </c>
      <c r="H154" s="266">
        <v>0.49945601851851856</v>
      </c>
      <c r="I154" s="274"/>
      <c r="J154" s="274"/>
      <c r="K154" s="255">
        <v>13</v>
      </c>
    </row>
    <row r="155" spans="1:11" ht="15.75" x14ac:dyDescent="0.25">
      <c r="A155" s="2" t="s">
        <v>479</v>
      </c>
      <c r="B155" s="147">
        <v>6.584362139917884</v>
      </c>
      <c r="C155" s="14"/>
      <c r="D155" s="254">
        <v>2.214</v>
      </c>
      <c r="E155" s="254">
        <v>2.2886277341208801E-3</v>
      </c>
      <c r="F155" s="254">
        <v>2.2803199999999996E-2</v>
      </c>
      <c r="G155" s="254">
        <v>3.8350400000000007E-2</v>
      </c>
      <c r="H155" s="266">
        <v>0.49958333333333332</v>
      </c>
      <c r="I155" s="274"/>
      <c r="J155" s="274"/>
      <c r="K155" s="255">
        <v>14</v>
      </c>
    </row>
    <row r="156" spans="1:11" ht="15.75" x14ac:dyDescent="0.25">
      <c r="A156" s="6" t="s">
        <v>480</v>
      </c>
      <c r="B156" s="192">
        <v>22.819885900570469</v>
      </c>
      <c r="C156" s="7">
        <v>3.3278897667339491</v>
      </c>
      <c r="D156" s="256">
        <v>2.718</v>
      </c>
      <c r="E156" s="243"/>
      <c r="F156" s="243"/>
      <c r="G156" s="243"/>
      <c r="H156" s="268">
        <v>7.8923611111111111E-2</v>
      </c>
      <c r="I156" s="243"/>
      <c r="J156" s="243"/>
      <c r="K156" s="194">
        <v>15</v>
      </c>
    </row>
    <row r="157" spans="1:11" ht="15.75" x14ac:dyDescent="0.25">
      <c r="A157" s="6" t="s">
        <v>480</v>
      </c>
      <c r="B157" s="192">
        <v>66.633761105626817</v>
      </c>
      <c r="C157" s="7">
        <v>6.6628506349267198</v>
      </c>
      <c r="D157" s="256">
        <v>2.6819999999999999</v>
      </c>
      <c r="E157" s="243"/>
      <c r="F157" s="243"/>
      <c r="G157" s="243"/>
      <c r="H157" s="268">
        <v>7.9050925925925927E-2</v>
      </c>
      <c r="I157" s="243"/>
      <c r="J157" s="243"/>
      <c r="K157" s="194">
        <v>16</v>
      </c>
    </row>
    <row r="158" spans="1:11" ht="15.75" x14ac:dyDescent="0.25">
      <c r="A158" s="6" t="s">
        <v>480</v>
      </c>
      <c r="B158" s="192">
        <v>162.54186065506821</v>
      </c>
      <c r="C158" s="7">
        <v>12.041210880553001</v>
      </c>
      <c r="D158" s="256">
        <v>2.6440000000000001</v>
      </c>
      <c r="E158" s="243"/>
      <c r="F158" s="243"/>
      <c r="G158" s="243"/>
      <c r="H158" s="268">
        <v>7.9166666666666663E-2</v>
      </c>
      <c r="I158" s="243"/>
      <c r="J158" s="243"/>
      <c r="K158" s="194">
        <v>17</v>
      </c>
    </row>
    <row r="159" spans="1:11" ht="15.75" x14ac:dyDescent="0.25">
      <c r="A159" s="6" t="s">
        <v>480</v>
      </c>
      <c r="B159" s="192">
        <v>89.561960592737421</v>
      </c>
      <c r="C159" s="7"/>
      <c r="D159" s="256">
        <v>2.7519999999999998</v>
      </c>
      <c r="E159" s="243"/>
      <c r="F159" s="243"/>
      <c r="G159" s="243"/>
      <c r="H159" s="268">
        <v>7.9282407407407399E-2</v>
      </c>
      <c r="I159" s="243"/>
      <c r="J159" s="243"/>
      <c r="K159" s="194">
        <v>18</v>
      </c>
    </row>
    <row r="160" spans="1:11" ht="15.75" x14ac:dyDescent="0.25">
      <c r="A160" s="6" t="s">
        <v>480</v>
      </c>
      <c r="B160" s="192">
        <v>87.538194731191894</v>
      </c>
      <c r="C160" s="7">
        <v>8.058197301683574</v>
      </c>
      <c r="D160" s="256">
        <v>2.8079999999999998</v>
      </c>
      <c r="E160" s="243"/>
      <c r="F160" s="243"/>
      <c r="G160" s="243"/>
      <c r="H160" s="268">
        <v>7.9398148148148148E-2</v>
      </c>
      <c r="I160" s="243"/>
      <c r="J160" s="243"/>
      <c r="K160" s="194">
        <v>19</v>
      </c>
    </row>
    <row r="161" spans="1:11" ht="15.75" x14ac:dyDescent="0.25">
      <c r="A161" s="6" t="s">
        <v>480</v>
      </c>
      <c r="B161" s="192">
        <v>67.359667359667327</v>
      </c>
      <c r="C161" s="7"/>
      <c r="D161" s="256">
        <v>3.0089999999999999</v>
      </c>
      <c r="E161" s="243"/>
      <c r="F161" s="243"/>
      <c r="G161" s="243"/>
      <c r="H161" s="268">
        <v>7.9513888888888884E-2</v>
      </c>
      <c r="I161" s="243"/>
      <c r="J161" s="243"/>
      <c r="K161" s="194">
        <v>20</v>
      </c>
    </row>
    <row r="162" spans="1:11" ht="15.75" x14ac:dyDescent="0.25">
      <c r="A162" s="6" t="s">
        <v>480</v>
      </c>
      <c r="B162" s="192">
        <v>61.637080867850159</v>
      </c>
      <c r="C162" s="7"/>
      <c r="D162" s="256">
        <v>2.7839999999999998</v>
      </c>
      <c r="E162" s="243"/>
      <c r="F162" s="243"/>
      <c r="G162" s="243"/>
      <c r="H162" s="268">
        <v>7.962962962962962E-2</v>
      </c>
      <c r="I162" s="243"/>
      <c r="J162" s="243"/>
      <c r="K162" s="194">
        <v>21</v>
      </c>
    </row>
    <row r="163" spans="1:11" ht="15.75" x14ac:dyDescent="0.25">
      <c r="A163" s="6" t="s">
        <v>480</v>
      </c>
      <c r="B163" s="192">
        <v>37.633968747443511</v>
      </c>
      <c r="C163" s="7">
        <v>5.0565465878568743</v>
      </c>
      <c r="D163" s="256">
        <v>2.7559999999999998</v>
      </c>
      <c r="E163" s="243"/>
      <c r="F163" s="243"/>
      <c r="G163" s="243"/>
      <c r="H163" s="268">
        <v>7.9745370370370369E-2</v>
      </c>
      <c r="I163" s="243"/>
      <c r="J163" s="243"/>
      <c r="K163" s="194">
        <v>22</v>
      </c>
    </row>
    <row r="164" spans="1:11" ht="15.75" x14ac:dyDescent="0.25">
      <c r="A164" s="6" t="s">
        <v>480</v>
      </c>
      <c r="B164" s="192">
        <v>49.685326266975864</v>
      </c>
      <c r="C164" s="7">
        <v>3.7364280370951577</v>
      </c>
      <c r="D164" s="256">
        <v>2.8039999999999998</v>
      </c>
      <c r="E164" s="243"/>
      <c r="F164" s="243"/>
      <c r="G164" s="243"/>
      <c r="H164" s="268">
        <v>7.9861111111111105E-2</v>
      </c>
      <c r="I164" s="243"/>
      <c r="J164" s="243"/>
      <c r="K164" s="194">
        <v>23</v>
      </c>
    </row>
    <row r="165" spans="1:11" ht="15.75" x14ac:dyDescent="0.25">
      <c r="A165" s="6" t="s">
        <v>480</v>
      </c>
      <c r="B165" s="192">
        <v>30.50037095045758</v>
      </c>
      <c r="C165" s="7"/>
      <c r="D165" s="256">
        <v>2.8039999999999998</v>
      </c>
      <c r="E165" s="243"/>
      <c r="F165" s="243"/>
      <c r="G165" s="243"/>
      <c r="H165" s="268">
        <v>7.9976851851851841E-2</v>
      </c>
      <c r="I165" s="243"/>
      <c r="J165" s="243"/>
      <c r="K165" s="194">
        <v>24</v>
      </c>
    </row>
    <row r="166" spans="1:11" ht="15.75" x14ac:dyDescent="0.25">
      <c r="A166" s="6" t="s">
        <v>480</v>
      </c>
      <c r="B166" s="192">
        <v>27.990450316950803</v>
      </c>
      <c r="C166" s="7"/>
      <c r="D166" s="256">
        <v>2.8639999999999999</v>
      </c>
      <c r="E166" s="243"/>
      <c r="F166" s="243"/>
      <c r="G166" s="243"/>
      <c r="H166" s="268">
        <v>8.009259259259259E-2</v>
      </c>
      <c r="I166" s="243"/>
      <c r="J166" s="243"/>
      <c r="K166" s="194">
        <v>25</v>
      </c>
    </row>
    <row r="167" spans="1:11" ht="15.75" x14ac:dyDescent="0.25">
      <c r="A167" s="6" t="s">
        <v>480</v>
      </c>
      <c r="B167" s="192">
        <v>16.572754391779927</v>
      </c>
      <c r="C167" s="7">
        <v>2.7714442809806075</v>
      </c>
      <c r="D167" s="256">
        <v>2.76</v>
      </c>
      <c r="E167" s="243"/>
      <c r="F167" s="243"/>
      <c r="G167" s="243"/>
      <c r="H167" s="268">
        <v>8.020833333333334E-2</v>
      </c>
      <c r="I167" s="243"/>
      <c r="J167" s="243"/>
      <c r="K167" s="194">
        <v>26</v>
      </c>
    </row>
    <row r="168" spans="1:11" ht="15.75" x14ac:dyDescent="0.25">
      <c r="A168" s="6" t="s">
        <v>480</v>
      </c>
      <c r="B168" s="192">
        <v>18.36853970109383</v>
      </c>
      <c r="C168" s="7"/>
      <c r="D168" s="256">
        <v>2.7690000000000001</v>
      </c>
      <c r="E168" s="243"/>
      <c r="F168" s="243"/>
      <c r="G168" s="243"/>
      <c r="H168" s="268">
        <v>8.0324074074074062E-2</v>
      </c>
      <c r="I168" s="243"/>
      <c r="J168" s="243"/>
      <c r="K168" s="194">
        <v>27</v>
      </c>
    </row>
    <row r="169" spans="1:11" ht="15.75" x14ac:dyDescent="0.25">
      <c r="A169" s="6" t="s">
        <v>480</v>
      </c>
      <c r="B169" s="192">
        <v>6.4583837894566489</v>
      </c>
      <c r="C169" s="7"/>
      <c r="D169" s="256">
        <v>2.7410000000000001</v>
      </c>
      <c r="E169" s="243"/>
      <c r="F169" s="243"/>
      <c r="G169" s="243"/>
      <c r="H169" s="268">
        <v>8.0439814814814811E-2</v>
      </c>
      <c r="I169" s="243"/>
      <c r="J169" s="243"/>
      <c r="K169" s="194">
        <v>28</v>
      </c>
    </row>
    <row r="170" spans="1:11" ht="15.75" x14ac:dyDescent="0.25">
      <c r="A170" s="6" t="s">
        <v>480</v>
      </c>
      <c r="B170" s="192">
        <v>11.361791916896708</v>
      </c>
      <c r="C170" s="7"/>
      <c r="D170" s="256">
        <v>2.7519999999999998</v>
      </c>
      <c r="E170" s="243"/>
      <c r="F170" s="243"/>
      <c r="G170" s="243"/>
      <c r="H170" s="268">
        <v>8.0555555555555561E-2</v>
      </c>
      <c r="I170" s="243"/>
      <c r="J170" s="243"/>
      <c r="K170" s="194">
        <v>29</v>
      </c>
    </row>
    <row r="171" spans="1:11" ht="15.75" x14ac:dyDescent="0.25">
      <c r="A171" s="6" t="s">
        <v>480</v>
      </c>
      <c r="B171" s="192">
        <v>11.501807426881468</v>
      </c>
      <c r="C171" s="7"/>
      <c r="D171" s="256">
        <v>2.7389999999999999</v>
      </c>
      <c r="E171" s="243"/>
      <c r="F171" s="243"/>
      <c r="G171" s="243"/>
      <c r="H171" s="268">
        <v>8.0671296296296297E-2</v>
      </c>
      <c r="I171" s="243"/>
      <c r="J171" s="243"/>
      <c r="K171" s="194">
        <v>30</v>
      </c>
    </row>
    <row r="172" spans="1:11" ht="15.75" x14ac:dyDescent="0.25">
      <c r="A172" s="4" t="s">
        <v>481</v>
      </c>
      <c r="B172" s="181">
        <v>52.169592580324611</v>
      </c>
      <c r="C172" s="10">
        <v>4.595228517796305</v>
      </c>
      <c r="D172" s="183">
        <v>2.8980000000000001</v>
      </c>
      <c r="E172" s="261"/>
      <c r="F172" s="261"/>
      <c r="G172" s="261"/>
      <c r="H172" s="269">
        <v>0.10474537037037036</v>
      </c>
      <c r="I172" s="261"/>
      <c r="J172" s="261"/>
      <c r="K172" s="184">
        <v>31</v>
      </c>
    </row>
    <row r="173" spans="1:11" ht="15.75" x14ac:dyDescent="0.25">
      <c r="A173" s="4" t="s">
        <v>481</v>
      </c>
      <c r="B173" s="181">
        <v>174.67613873798578</v>
      </c>
      <c r="C173" s="10">
        <v>10.930144320508324</v>
      </c>
      <c r="D173" s="183">
        <v>2.7160000000000002</v>
      </c>
      <c r="E173" s="261"/>
      <c r="F173" s="261"/>
      <c r="G173" s="261"/>
      <c r="H173" s="269">
        <v>0.10486111111111111</v>
      </c>
      <c r="I173" s="261"/>
      <c r="J173" s="261"/>
      <c r="K173" s="184">
        <v>32</v>
      </c>
    </row>
    <row r="174" spans="1:11" ht="15.75" x14ac:dyDescent="0.25">
      <c r="A174" s="4" t="s">
        <v>481</v>
      </c>
      <c r="B174" s="181">
        <v>78.177538668460016</v>
      </c>
      <c r="C174" s="10"/>
      <c r="D174" s="183">
        <v>2.7010000000000001</v>
      </c>
      <c r="E174" s="261"/>
      <c r="F174" s="261"/>
      <c r="G174" s="261"/>
      <c r="H174" s="269">
        <v>0.10497685185185185</v>
      </c>
      <c r="I174" s="261"/>
      <c r="J174" s="261"/>
      <c r="K174" s="184">
        <v>33</v>
      </c>
    </row>
    <row r="175" spans="1:11" ht="15.75" x14ac:dyDescent="0.25">
      <c r="A175" s="4" t="s">
        <v>481</v>
      </c>
      <c r="B175" s="181">
        <v>74.758733179285102</v>
      </c>
      <c r="C175" s="10">
        <v>8.9789966308393812</v>
      </c>
      <c r="D175" s="183">
        <v>2.7810000000000001</v>
      </c>
      <c r="E175" s="261"/>
      <c r="F175" s="261"/>
      <c r="G175" s="261"/>
      <c r="H175" s="269">
        <v>0.10509259259259258</v>
      </c>
      <c r="I175" s="261"/>
      <c r="J175" s="261"/>
      <c r="K175" s="184">
        <v>34</v>
      </c>
    </row>
    <row r="176" spans="1:11" ht="15.75" x14ac:dyDescent="0.25">
      <c r="A176" s="4" t="s">
        <v>481</v>
      </c>
      <c r="B176" s="181">
        <v>52.974735126324418</v>
      </c>
      <c r="C176" s="10"/>
      <c r="D176" s="183">
        <v>2.831</v>
      </c>
      <c r="E176" s="261"/>
      <c r="F176" s="261"/>
      <c r="G176" s="261"/>
      <c r="H176" s="269">
        <v>0.10520833333333333</v>
      </c>
      <c r="I176" s="261"/>
      <c r="J176" s="261"/>
      <c r="K176" s="184">
        <v>35</v>
      </c>
    </row>
    <row r="177" spans="1:11" ht="15.75" x14ac:dyDescent="0.25">
      <c r="A177" s="4" t="s">
        <v>481</v>
      </c>
      <c r="B177" s="181">
        <v>40.183696900114938</v>
      </c>
      <c r="C177" s="10"/>
      <c r="D177" s="183">
        <v>2.7629999999999999</v>
      </c>
      <c r="E177" s="261"/>
      <c r="F177" s="261"/>
      <c r="G177" s="261"/>
      <c r="H177" s="269">
        <v>0.10532407407407407</v>
      </c>
      <c r="I177" s="261"/>
      <c r="J177" s="261"/>
      <c r="K177" s="184">
        <v>36</v>
      </c>
    </row>
    <row r="178" spans="1:11" ht="15.75" x14ac:dyDescent="0.25">
      <c r="A178" s="4" t="s">
        <v>481</v>
      </c>
      <c r="B178" s="181">
        <v>43.398430979802896</v>
      </c>
      <c r="C178" s="10">
        <v>4.599424686865893</v>
      </c>
      <c r="D178" s="183">
        <v>2.8140000000000001</v>
      </c>
      <c r="E178" s="261"/>
      <c r="F178" s="261"/>
      <c r="G178" s="261"/>
      <c r="H178" s="269">
        <v>0.10543981481481481</v>
      </c>
      <c r="I178" s="261"/>
      <c r="J178" s="261"/>
      <c r="K178" s="184">
        <v>37</v>
      </c>
    </row>
    <row r="179" spans="1:11" ht="15.75" x14ac:dyDescent="0.25">
      <c r="A179" s="4" t="s">
        <v>481</v>
      </c>
      <c r="B179" s="181">
        <v>77.334430275606678</v>
      </c>
      <c r="C179" s="10"/>
      <c r="D179" s="183">
        <v>2.7469999999999999</v>
      </c>
      <c r="E179" s="261"/>
      <c r="F179" s="261"/>
      <c r="G179" s="261"/>
      <c r="H179" s="269">
        <v>0.10555555555555556</v>
      </c>
      <c r="I179" s="261"/>
      <c r="J179" s="261"/>
      <c r="K179" s="184">
        <v>38</v>
      </c>
    </row>
    <row r="180" spans="1:11" ht="15.75" x14ac:dyDescent="0.25">
      <c r="A180" s="4" t="s">
        <v>481</v>
      </c>
      <c r="B180" s="181">
        <v>58.595361888256129</v>
      </c>
      <c r="C180" s="10"/>
      <c r="D180" s="183">
        <v>2.7410000000000001</v>
      </c>
      <c r="E180" s="261"/>
      <c r="F180" s="261"/>
      <c r="G180" s="261"/>
      <c r="H180" s="269">
        <v>0.10567129629629629</v>
      </c>
      <c r="I180" s="261"/>
      <c r="J180" s="261"/>
      <c r="K180" s="184">
        <v>39</v>
      </c>
    </row>
    <row r="181" spans="1:11" ht="15.75" x14ac:dyDescent="0.25">
      <c r="A181" s="4" t="s">
        <v>481</v>
      </c>
      <c r="B181" s="181">
        <v>23.829087921117384</v>
      </c>
      <c r="C181" s="10"/>
      <c r="D181" s="183">
        <v>2.7749999999999999</v>
      </c>
      <c r="E181" s="261"/>
      <c r="F181" s="261"/>
      <c r="G181" s="261"/>
      <c r="H181" s="269">
        <v>0.10578703703703703</v>
      </c>
      <c r="I181" s="261"/>
      <c r="J181" s="261"/>
      <c r="K181" s="184">
        <v>40</v>
      </c>
    </row>
    <row r="182" spans="1:11" ht="15.75" x14ac:dyDescent="0.25">
      <c r="A182" s="4" t="s">
        <v>481</v>
      </c>
      <c r="B182" s="181">
        <v>26.223059903302538</v>
      </c>
      <c r="C182" s="10"/>
      <c r="D182" s="183">
        <v>2.7330000000000001</v>
      </c>
      <c r="E182" s="261"/>
      <c r="F182" s="261"/>
      <c r="G182" s="261"/>
      <c r="H182" s="269">
        <v>0.10590277777777778</v>
      </c>
      <c r="I182" s="261"/>
      <c r="J182" s="261"/>
      <c r="K182" s="184">
        <v>41</v>
      </c>
    </row>
    <row r="183" spans="1:11" ht="15.75" x14ac:dyDescent="0.25">
      <c r="A183" s="4" t="s">
        <v>481</v>
      </c>
      <c r="B183" s="181">
        <v>17.731993582707005</v>
      </c>
      <c r="C183" s="10">
        <v>3.2584248138189293</v>
      </c>
      <c r="D183" s="183">
        <v>2.7559999999999998</v>
      </c>
      <c r="E183" s="261"/>
      <c r="F183" s="261"/>
      <c r="G183" s="261"/>
      <c r="H183" s="269">
        <v>0.10601851851851851</v>
      </c>
      <c r="I183" s="261"/>
      <c r="J183" s="261"/>
      <c r="K183" s="184">
        <v>42</v>
      </c>
    </row>
    <row r="184" spans="1:11" ht="15.75" x14ac:dyDescent="0.25">
      <c r="A184" s="4" t="s">
        <v>481</v>
      </c>
      <c r="B184" s="181">
        <v>18.922254216371837</v>
      </c>
      <c r="C184" s="10"/>
      <c r="D184" s="183">
        <v>2.7850000000000001</v>
      </c>
      <c r="E184" s="261"/>
      <c r="F184" s="261"/>
      <c r="G184" s="261"/>
      <c r="H184" s="269">
        <v>0.10613425925925928</v>
      </c>
      <c r="I184" s="261"/>
      <c r="J184" s="261"/>
      <c r="K184" s="184">
        <v>43</v>
      </c>
    </row>
    <row r="185" spans="1:11" ht="15.75" x14ac:dyDescent="0.25">
      <c r="A185" s="1" t="s">
        <v>482</v>
      </c>
      <c r="B185" s="164">
        <v>70.55388857351403</v>
      </c>
      <c r="C185" s="12">
        <v>8.3572964290100931</v>
      </c>
      <c r="D185" s="166">
        <v>2.1829999999999998</v>
      </c>
      <c r="E185" s="252"/>
      <c r="F185" s="252"/>
      <c r="G185" s="252"/>
      <c r="H185" s="267">
        <v>0.4397685185185185</v>
      </c>
      <c r="I185" s="252"/>
      <c r="J185" s="252"/>
      <c r="K185" s="167">
        <v>44</v>
      </c>
    </row>
    <row r="186" spans="1:11" ht="15.75" x14ac:dyDescent="0.25">
      <c r="A186" s="1" t="s">
        <v>482</v>
      </c>
      <c r="B186" s="164">
        <v>287.82894736842087</v>
      </c>
      <c r="C186" s="12">
        <v>24.660150936233205</v>
      </c>
      <c r="D186" s="166">
        <v>2.1179999999999999</v>
      </c>
      <c r="E186" s="252"/>
      <c r="F186" s="252"/>
      <c r="G186" s="252"/>
      <c r="H186" s="267">
        <v>0.44150462962962966</v>
      </c>
      <c r="I186" s="252"/>
      <c r="J186" s="252"/>
      <c r="K186" s="167">
        <v>45</v>
      </c>
    </row>
    <row r="187" spans="1:11" ht="15.75" x14ac:dyDescent="0.25">
      <c r="A187" s="1" t="s">
        <v>482</v>
      </c>
      <c r="B187" s="164">
        <v>200.049804930688</v>
      </c>
      <c r="C187" s="12">
        <v>16.604665163366334</v>
      </c>
      <c r="D187" s="166">
        <v>2.073</v>
      </c>
      <c r="E187" s="252"/>
      <c r="F187" s="252"/>
      <c r="G187" s="252"/>
      <c r="H187" s="267">
        <v>0.44156250000000002</v>
      </c>
      <c r="I187" s="252"/>
      <c r="J187" s="252"/>
      <c r="K187" s="167">
        <v>46</v>
      </c>
    </row>
    <row r="188" spans="1:11" ht="15.75" x14ac:dyDescent="0.25">
      <c r="A188" s="1" t="s">
        <v>482</v>
      </c>
      <c r="B188" s="164">
        <v>112.46027218645594</v>
      </c>
      <c r="C188" s="12">
        <v>10.359493646922049</v>
      </c>
      <c r="D188" s="166">
        <v>2.0289999999999999</v>
      </c>
      <c r="E188" s="252"/>
      <c r="F188" s="252"/>
      <c r="G188" s="252"/>
      <c r="H188" s="267">
        <v>0.44162037037037033</v>
      </c>
      <c r="I188" s="252"/>
      <c r="J188" s="252"/>
      <c r="K188" s="167">
        <v>47</v>
      </c>
    </row>
    <row r="189" spans="1:11" ht="15.75" x14ac:dyDescent="0.25">
      <c r="A189" s="1" t="s">
        <v>482</v>
      </c>
      <c r="B189" s="164">
        <v>111.46627325629046</v>
      </c>
      <c r="C189" s="12"/>
      <c r="D189" s="166">
        <v>2.0779999999999998</v>
      </c>
      <c r="E189" s="252"/>
      <c r="F189" s="252"/>
      <c r="G189" s="252"/>
      <c r="H189" s="267">
        <v>0.44167824074074075</v>
      </c>
      <c r="I189" s="252"/>
      <c r="J189" s="252"/>
      <c r="K189" s="167">
        <v>48</v>
      </c>
    </row>
    <row r="190" spans="1:11" ht="15.75" x14ac:dyDescent="0.25">
      <c r="A190" s="1" t="s">
        <v>482</v>
      </c>
      <c r="B190" s="164">
        <v>79.809116340299596</v>
      </c>
      <c r="C190" s="12">
        <v>9.283897155762066</v>
      </c>
      <c r="D190" s="166">
        <v>2.1640000000000001</v>
      </c>
      <c r="E190" s="252"/>
      <c r="F190" s="252"/>
      <c r="G190" s="252"/>
      <c r="H190" s="267">
        <v>0.4417476851851852</v>
      </c>
      <c r="I190" s="252"/>
      <c r="J190" s="252"/>
      <c r="K190" s="167">
        <v>49</v>
      </c>
    </row>
    <row r="191" spans="1:11" ht="15.75" x14ac:dyDescent="0.25">
      <c r="A191" s="1" t="s">
        <v>482</v>
      </c>
      <c r="B191" s="164">
        <v>80.492813141683797</v>
      </c>
      <c r="C191" s="12"/>
      <c r="D191" s="166">
        <v>2.1720000000000002</v>
      </c>
      <c r="E191" s="252"/>
      <c r="F191" s="252"/>
      <c r="G191" s="252"/>
      <c r="H191" s="267">
        <v>0.44184027777777773</v>
      </c>
      <c r="I191" s="252"/>
      <c r="J191" s="252"/>
      <c r="K191" s="167">
        <v>50</v>
      </c>
    </row>
    <row r="192" spans="1:11" ht="15.75" x14ac:dyDescent="0.25">
      <c r="A192" s="1" t="s">
        <v>482</v>
      </c>
      <c r="B192" s="164">
        <v>69.473161855926037</v>
      </c>
      <c r="C192" s="12"/>
      <c r="D192" s="166">
        <v>2.3029999999999999</v>
      </c>
      <c r="E192" s="252"/>
      <c r="F192" s="252"/>
      <c r="G192" s="252"/>
      <c r="H192" s="267">
        <v>0.44195601851851851</v>
      </c>
      <c r="I192" s="252"/>
      <c r="J192" s="252"/>
      <c r="K192" s="167">
        <v>51</v>
      </c>
    </row>
    <row r="193" spans="1:11" ht="15.75" x14ac:dyDescent="0.25">
      <c r="A193" s="1" t="s">
        <v>482</v>
      </c>
      <c r="B193" s="164">
        <v>54.027504911591542</v>
      </c>
      <c r="C193" s="12"/>
      <c r="D193" s="166">
        <v>2.2890000000000001</v>
      </c>
      <c r="E193" s="252"/>
      <c r="F193" s="252"/>
      <c r="G193" s="252"/>
      <c r="H193" s="267">
        <v>0.44208333333333333</v>
      </c>
      <c r="I193" s="252"/>
      <c r="J193" s="252"/>
      <c r="K193" s="167">
        <v>52</v>
      </c>
    </row>
    <row r="194" spans="1:11" ht="15.75" x14ac:dyDescent="0.25">
      <c r="A194" s="1" t="s">
        <v>482</v>
      </c>
      <c r="B194" s="164">
        <v>44.106836559666647</v>
      </c>
      <c r="C194" s="12">
        <v>5.2546784274057234</v>
      </c>
      <c r="D194" s="166">
        <v>2.1890000000000001</v>
      </c>
      <c r="E194" s="252"/>
      <c r="F194" s="252"/>
      <c r="G194" s="252"/>
      <c r="H194" s="267">
        <v>0.4422106481481482</v>
      </c>
      <c r="I194" s="252"/>
      <c r="J194" s="252"/>
      <c r="K194" s="167">
        <v>53</v>
      </c>
    </row>
    <row r="195" spans="1:11" ht="15.75" x14ac:dyDescent="0.25">
      <c r="A195" s="1" t="s">
        <v>482</v>
      </c>
      <c r="B195" s="164">
        <v>33.532346446389077</v>
      </c>
      <c r="C195" s="12"/>
      <c r="D195" s="166">
        <v>2.2829999999999999</v>
      </c>
      <c r="E195" s="252"/>
      <c r="F195" s="252"/>
      <c r="G195" s="252"/>
      <c r="H195" s="267">
        <v>0.44232638888888887</v>
      </c>
      <c r="I195" s="252"/>
      <c r="J195" s="252"/>
      <c r="K195" s="167">
        <v>54</v>
      </c>
    </row>
    <row r="196" spans="1:11" ht="15.75" x14ac:dyDescent="0.25">
      <c r="A196" s="1" t="s">
        <v>482</v>
      </c>
      <c r="B196" s="164">
        <v>23.144321375433929</v>
      </c>
      <c r="C196" s="12"/>
      <c r="D196" s="166">
        <v>2.202</v>
      </c>
      <c r="E196" s="252"/>
      <c r="F196" s="252"/>
      <c r="G196" s="252"/>
      <c r="H196" s="267">
        <v>0.44244212962962964</v>
      </c>
      <c r="I196" s="252"/>
      <c r="J196" s="252"/>
      <c r="K196" s="167">
        <v>55</v>
      </c>
    </row>
    <row r="197" spans="1:11" ht="15.75" x14ac:dyDescent="0.25">
      <c r="A197" s="2" t="s">
        <v>483</v>
      </c>
      <c r="B197" s="147">
        <v>62.139769452449464</v>
      </c>
      <c r="C197" s="14">
        <v>5.3161272316566057</v>
      </c>
      <c r="D197" s="254">
        <v>2.6309999999999998</v>
      </c>
      <c r="E197" s="254">
        <v>8.0744786331715737E-3</v>
      </c>
      <c r="F197" s="254">
        <v>2.2803199999999996E-2</v>
      </c>
      <c r="G197" s="254">
        <v>2.9254399999999986E-2</v>
      </c>
      <c r="H197" s="266">
        <v>0.46828703703703706</v>
      </c>
      <c r="I197" s="274"/>
      <c r="J197" s="274"/>
      <c r="K197" s="255">
        <v>56</v>
      </c>
    </row>
    <row r="198" spans="1:11" ht="15.75" x14ac:dyDescent="0.25">
      <c r="A198" s="2" t="s">
        <v>483</v>
      </c>
      <c r="B198" s="147">
        <v>243.34662651582957</v>
      </c>
      <c r="C198" s="14">
        <v>20.726107961901139</v>
      </c>
      <c r="D198" s="254">
        <v>2.581</v>
      </c>
      <c r="E198" s="254">
        <v>2.3321471582393793E-2</v>
      </c>
      <c r="F198" s="254">
        <v>1.9266599999999995E-2</v>
      </c>
      <c r="G198" s="254">
        <v>5.47232E-2</v>
      </c>
      <c r="H198" s="266">
        <v>0.47123842592592591</v>
      </c>
      <c r="I198" s="274"/>
      <c r="J198" s="274"/>
      <c r="K198" s="255">
        <v>57</v>
      </c>
    </row>
    <row r="199" spans="1:11" ht="15.75" x14ac:dyDescent="0.25">
      <c r="A199" s="2" t="s">
        <v>483</v>
      </c>
      <c r="B199" s="147">
        <v>134.52914798206268</v>
      </c>
      <c r="C199" s="14"/>
      <c r="D199" s="254">
        <v>2.5630000000000002</v>
      </c>
      <c r="E199" s="254">
        <v>1.9203510472240316E-2</v>
      </c>
      <c r="F199" s="254">
        <v>2.2803199999999996E-2</v>
      </c>
      <c r="G199" s="254">
        <v>3.28928E-2</v>
      </c>
      <c r="H199" s="266">
        <v>0.47129629629629632</v>
      </c>
      <c r="I199" s="274"/>
      <c r="J199" s="274"/>
      <c r="K199" s="255">
        <v>58</v>
      </c>
    </row>
    <row r="200" spans="1:11" ht="15.75" x14ac:dyDescent="0.25">
      <c r="A200" s="2" t="s">
        <v>483</v>
      </c>
      <c r="B200" s="147">
        <v>135.40290620871883</v>
      </c>
      <c r="C200" s="14">
        <v>11.667976217862849</v>
      </c>
      <c r="D200" s="254">
        <v>2.6619999999999999</v>
      </c>
      <c r="E200" s="254">
        <v>1.15146880608244E-2</v>
      </c>
      <c r="F200" s="254">
        <v>2.2803199999999996E-2</v>
      </c>
      <c r="G200" s="254">
        <v>3.4711999999999993E-2</v>
      </c>
      <c r="H200" s="266">
        <v>0.47135416666666669</v>
      </c>
      <c r="I200" s="274"/>
      <c r="J200" s="274"/>
      <c r="K200" s="255">
        <v>59</v>
      </c>
    </row>
    <row r="201" spans="1:11" ht="15.75" x14ac:dyDescent="0.25">
      <c r="A201" s="2" t="s">
        <v>483</v>
      </c>
      <c r="B201" s="147">
        <v>99.901735997379532</v>
      </c>
      <c r="C201" s="14"/>
      <c r="D201" s="254">
        <v>2.6960000000000002</v>
      </c>
      <c r="E201" s="254">
        <v>9.856082656835876E-3</v>
      </c>
      <c r="F201" s="254">
        <v>2.1034899999999995E-2</v>
      </c>
      <c r="G201" s="254">
        <v>4.5627200000000007E-2</v>
      </c>
      <c r="H201" s="266">
        <v>0.47141203703703699</v>
      </c>
      <c r="I201" s="274"/>
      <c r="J201" s="274"/>
      <c r="K201" s="255">
        <v>60</v>
      </c>
    </row>
    <row r="202" spans="1:11" ht="15.75" x14ac:dyDescent="0.25">
      <c r="A202" s="2" t="s">
        <v>483</v>
      </c>
      <c r="B202" s="147">
        <v>98.606470540298261</v>
      </c>
      <c r="C202" s="14">
        <v>6.6757924819308254</v>
      </c>
      <c r="D202" s="254">
        <v>2.6989999999999998</v>
      </c>
      <c r="E202" s="254">
        <v>1.16917712529308E-2</v>
      </c>
      <c r="F202" s="254">
        <v>2.1034899999999995E-2</v>
      </c>
      <c r="G202" s="254">
        <v>7.109600000000002E-2</v>
      </c>
      <c r="H202" s="266">
        <v>0.47152777777777777</v>
      </c>
      <c r="I202" s="274"/>
      <c r="J202" s="274"/>
      <c r="K202" s="255">
        <v>61</v>
      </c>
    </row>
    <row r="203" spans="1:11" ht="15.75" x14ac:dyDescent="0.25">
      <c r="A203" s="2" t="s">
        <v>483</v>
      </c>
      <c r="B203" s="147">
        <v>93.938898872733063</v>
      </c>
      <c r="C203" s="14"/>
      <c r="D203" s="254">
        <v>2.742</v>
      </c>
      <c r="E203" s="254">
        <v>1.2283480760895546E-2</v>
      </c>
      <c r="F203" s="254">
        <v>1.7498300000000022E-2</v>
      </c>
      <c r="G203" s="254">
        <v>8.2011200000000006E-2</v>
      </c>
      <c r="H203" s="266">
        <v>0.47164351851851855</v>
      </c>
      <c r="I203" s="274"/>
      <c r="J203" s="274"/>
      <c r="K203" s="255">
        <v>62</v>
      </c>
    </row>
    <row r="204" spans="1:11" ht="15.75" x14ac:dyDescent="0.25">
      <c r="A204" s="2" t="s">
        <v>483</v>
      </c>
      <c r="B204" s="147">
        <v>56.216392374124084</v>
      </c>
      <c r="C204" s="14"/>
      <c r="D204" s="254">
        <v>2.7610000000000001</v>
      </c>
      <c r="E204" s="254">
        <v>8.7555621153478178E-3</v>
      </c>
      <c r="F204" s="254">
        <v>2.4571499999999996E-2</v>
      </c>
      <c r="G204" s="254">
        <v>4.1988800000000021E-2</v>
      </c>
      <c r="H204" s="266">
        <v>0.47175925925925927</v>
      </c>
      <c r="I204" s="274"/>
      <c r="J204" s="274"/>
      <c r="K204" s="255">
        <v>63</v>
      </c>
    </row>
    <row r="205" spans="1:11" ht="15.75" x14ac:dyDescent="0.25">
      <c r="A205" s="2" t="s">
        <v>483</v>
      </c>
      <c r="B205" s="147">
        <v>56.813503499382371</v>
      </c>
      <c r="C205" s="14"/>
      <c r="D205" s="254">
        <v>2.8210000000000002</v>
      </c>
      <c r="E205" s="254">
        <v>5.741883910742567E-3</v>
      </c>
      <c r="F205" s="254">
        <v>2.4571499999999996E-2</v>
      </c>
      <c r="G205" s="254">
        <v>2.9254399999999986E-2</v>
      </c>
      <c r="H205" s="266">
        <v>0.47187499999999999</v>
      </c>
      <c r="I205" s="274"/>
      <c r="J205" s="274"/>
      <c r="K205" s="255">
        <v>64</v>
      </c>
    </row>
    <row r="206" spans="1:11" ht="15.75" x14ac:dyDescent="0.25">
      <c r="A206" s="2" t="s">
        <v>483</v>
      </c>
      <c r="B206" s="147">
        <v>48.527718374732594</v>
      </c>
      <c r="C206" s="14">
        <v>5.6309098454195041</v>
      </c>
      <c r="D206" s="254">
        <v>2.7829999999999999</v>
      </c>
      <c r="E206" s="254">
        <v>4.5804950914437453E-3</v>
      </c>
      <c r="F206" s="254">
        <v>2.6339799999999997E-2</v>
      </c>
      <c r="G206" s="254">
        <v>2.7435199999999993E-2</v>
      </c>
      <c r="H206" s="266">
        <v>0.47199074074074071</v>
      </c>
      <c r="I206" s="274"/>
      <c r="J206" s="274"/>
      <c r="K206" s="255">
        <v>65</v>
      </c>
    </row>
    <row r="207" spans="1:11" ht="15.75" x14ac:dyDescent="0.25">
      <c r="A207" s="2" t="s">
        <v>483</v>
      </c>
      <c r="B207" s="147">
        <v>41.608876560333044</v>
      </c>
      <c r="C207" s="14"/>
      <c r="D207" s="254">
        <v>2.7559999999999998</v>
      </c>
      <c r="E207" s="254">
        <v>4.0576794789688791E-3</v>
      </c>
      <c r="F207" s="254">
        <v>2.1034899999999995E-2</v>
      </c>
      <c r="G207" s="254">
        <v>4.3808000000000014E-2</v>
      </c>
      <c r="H207" s="266">
        <v>0.47210648148148149</v>
      </c>
      <c r="I207" s="274"/>
      <c r="J207" s="274"/>
      <c r="K207" s="255">
        <v>66</v>
      </c>
    </row>
    <row r="208" spans="1:11" ht="15.75" x14ac:dyDescent="0.25">
      <c r="A208" s="2" t="s">
        <v>483</v>
      </c>
      <c r="B208" s="147">
        <v>27.029240724056002</v>
      </c>
      <c r="C208" s="14"/>
      <c r="D208" s="254">
        <v>2.883</v>
      </c>
      <c r="E208" s="254">
        <v>3.3758505307597045E-3</v>
      </c>
      <c r="F208" s="254">
        <v>2.2803199999999996E-2</v>
      </c>
      <c r="G208" s="254">
        <v>2.7435199999999993E-2</v>
      </c>
      <c r="H208" s="266">
        <v>0.47222222222222227</v>
      </c>
      <c r="I208" s="274"/>
      <c r="J208" s="274"/>
      <c r="K208" s="255">
        <v>67</v>
      </c>
    </row>
    <row r="209" spans="1:11" ht="15.75" x14ac:dyDescent="0.25">
      <c r="A209" s="2" t="s">
        <v>483</v>
      </c>
      <c r="B209" s="147">
        <v>22.118456623249024</v>
      </c>
      <c r="C209" s="14"/>
      <c r="D209" s="254">
        <v>2.84</v>
      </c>
      <c r="E209" s="254">
        <v>3.4794954752049401E-3</v>
      </c>
      <c r="F209" s="254">
        <v>2.4571499999999996E-2</v>
      </c>
      <c r="G209" s="254">
        <v>3.1073600000000007E-2</v>
      </c>
      <c r="H209" s="266">
        <v>0.47233796296296293</v>
      </c>
      <c r="I209" s="274"/>
      <c r="J209" s="274"/>
      <c r="K209" s="255">
        <v>68</v>
      </c>
    </row>
    <row r="210" spans="1:11" ht="15.75" x14ac:dyDescent="0.25">
      <c r="A210" s="6" t="s">
        <v>484</v>
      </c>
      <c r="B210" s="192">
        <v>25.420254202541958</v>
      </c>
      <c r="C210" s="7">
        <v>3.6469399778041134</v>
      </c>
      <c r="D210" s="256">
        <v>2.9359999999999999</v>
      </c>
      <c r="E210" s="243"/>
      <c r="F210" s="243"/>
      <c r="G210" s="243"/>
      <c r="H210" s="268">
        <v>8.261574074074074E-2</v>
      </c>
      <c r="I210" s="243"/>
      <c r="J210" s="243"/>
      <c r="K210" s="194">
        <v>69</v>
      </c>
    </row>
    <row r="211" spans="1:11" ht="15.75" x14ac:dyDescent="0.25">
      <c r="A211" s="6" t="s">
        <v>484</v>
      </c>
      <c r="B211" s="192">
        <v>9.0053213262383771</v>
      </c>
      <c r="C211" s="7"/>
      <c r="D211" s="256">
        <v>3.0289999999999999</v>
      </c>
      <c r="E211" s="243"/>
      <c r="F211" s="243"/>
      <c r="G211" s="243"/>
      <c r="H211" s="268">
        <v>8.396990740740741E-2</v>
      </c>
      <c r="I211" s="243"/>
      <c r="J211" s="243"/>
      <c r="K211" s="194">
        <v>70</v>
      </c>
    </row>
    <row r="212" spans="1:11" ht="15.75" x14ac:dyDescent="0.25">
      <c r="A212" s="6" t="s">
        <v>484</v>
      </c>
      <c r="B212" s="192">
        <v>7.4868979286247752</v>
      </c>
      <c r="C212" s="7">
        <v>2.3834166495325055</v>
      </c>
      <c r="D212" s="256">
        <v>2.923</v>
      </c>
      <c r="E212" s="243"/>
      <c r="F212" s="243"/>
      <c r="G212" s="243"/>
      <c r="H212" s="268">
        <v>8.4004629629629624E-2</v>
      </c>
      <c r="I212" s="243"/>
      <c r="J212" s="243"/>
      <c r="K212" s="194">
        <v>71</v>
      </c>
    </row>
    <row r="213" spans="1:11" ht="15.75" x14ac:dyDescent="0.25">
      <c r="A213" s="6" t="s">
        <v>484</v>
      </c>
      <c r="B213" s="192">
        <v>4.9549921545958968</v>
      </c>
      <c r="C213" s="7"/>
      <c r="D213" s="256">
        <v>2.976</v>
      </c>
      <c r="E213" s="243"/>
      <c r="F213" s="243"/>
      <c r="G213" s="243"/>
      <c r="H213" s="268">
        <v>8.4039351851851851E-2</v>
      </c>
      <c r="I213" s="243"/>
      <c r="J213" s="243"/>
      <c r="K213" s="194">
        <v>72</v>
      </c>
    </row>
    <row r="214" spans="1:11" ht="15.75" x14ac:dyDescent="0.25">
      <c r="A214" s="6" t="s">
        <v>484</v>
      </c>
      <c r="B214" s="192">
        <v>7.3004542504865686</v>
      </c>
      <c r="C214" s="7">
        <v>2.1756635953794543</v>
      </c>
      <c r="D214" s="256">
        <v>3.641</v>
      </c>
      <c r="E214" s="243"/>
      <c r="F214" s="243"/>
      <c r="G214" s="243"/>
      <c r="H214" s="268">
        <v>8.4074074074074079E-2</v>
      </c>
      <c r="I214" s="243"/>
      <c r="J214" s="243"/>
      <c r="K214" s="194">
        <v>73</v>
      </c>
    </row>
    <row r="215" spans="1:11" ht="15.75" x14ac:dyDescent="0.25">
      <c r="A215" s="6" t="s">
        <v>484</v>
      </c>
      <c r="B215" s="192">
        <v>31.924724859279156</v>
      </c>
      <c r="C215" s="7"/>
      <c r="D215" s="256">
        <v>3.0539999999999998</v>
      </c>
      <c r="E215" s="243"/>
      <c r="F215" s="243"/>
      <c r="G215" s="243"/>
      <c r="H215" s="268">
        <v>8.4108796296296293E-2</v>
      </c>
      <c r="I215" s="243"/>
      <c r="J215" s="243"/>
      <c r="K215" s="194">
        <v>74</v>
      </c>
    </row>
    <row r="216" spans="1:11" ht="15.75" x14ac:dyDescent="0.25">
      <c r="A216" s="6" t="s">
        <v>484</v>
      </c>
      <c r="B216" s="192">
        <v>41.421588932151479</v>
      </c>
      <c r="C216" s="7"/>
      <c r="D216" s="256">
        <v>3.0379999999999998</v>
      </c>
      <c r="E216" s="243"/>
      <c r="F216" s="243"/>
      <c r="G216" s="243"/>
      <c r="H216" s="268">
        <v>8.414351851851852E-2</v>
      </c>
      <c r="I216" s="243"/>
      <c r="J216" s="243"/>
      <c r="K216" s="194">
        <v>75</v>
      </c>
    </row>
    <row r="217" spans="1:11" ht="15.75" x14ac:dyDescent="0.25">
      <c r="A217" s="6" t="s">
        <v>484</v>
      </c>
      <c r="B217" s="192">
        <v>44.890630101208011</v>
      </c>
      <c r="C217" s="7">
        <v>4.7777531047551749</v>
      </c>
      <c r="D217" s="256">
        <v>3.5790000000000002</v>
      </c>
      <c r="E217" s="243"/>
      <c r="F217" s="243"/>
      <c r="G217" s="243"/>
      <c r="H217" s="268">
        <v>8.4178240740740748E-2</v>
      </c>
      <c r="I217" s="243"/>
      <c r="J217" s="243"/>
      <c r="K217" s="194">
        <v>76</v>
      </c>
    </row>
    <row r="218" spans="1:11" ht="15.75" x14ac:dyDescent="0.25">
      <c r="A218" s="6" t="s">
        <v>484</v>
      </c>
      <c r="B218" s="192">
        <v>33.18400530944087</v>
      </c>
      <c r="C218" s="7"/>
      <c r="D218" s="256">
        <v>3.1509999999999998</v>
      </c>
      <c r="E218" s="243"/>
      <c r="F218" s="243"/>
      <c r="G218" s="243"/>
      <c r="H218" s="268">
        <v>8.4212962962962976E-2</v>
      </c>
      <c r="I218" s="243"/>
      <c r="J218" s="243"/>
      <c r="K218" s="194">
        <v>77</v>
      </c>
    </row>
    <row r="219" spans="1:11" ht="15.75" x14ac:dyDescent="0.25">
      <c r="A219" s="6" t="s">
        <v>484</v>
      </c>
      <c r="B219" s="192">
        <v>25.368248772504021</v>
      </c>
      <c r="C219" s="7">
        <v>4.932223506380244</v>
      </c>
      <c r="D219" s="256">
        <v>3.0059999999999998</v>
      </c>
      <c r="E219" s="243"/>
      <c r="F219" s="243"/>
      <c r="G219" s="243"/>
      <c r="H219" s="268">
        <v>8.4247685185185175E-2</v>
      </c>
      <c r="I219" s="243"/>
      <c r="J219" s="243"/>
      <c r="K219" s="194">
        <v>78</v>
      </c>
    </row>
    <row r="220" spans="1:11" ht="15.75" x14ac:dyDescent="0.25">
      <c r="A220" s="6" t="s">
        <v>484</v>
      </c>
      <c r="B220" s="192">
        <v>6.545573555882795</v>
      </c>
      <c r="C220" s="7"/>
      <c r="D220" s="256">
        <v>3.5510000000000002</v>
      </c>
      <c r="E220" s="243"/>
      <c r="F220" s="243"/>
      <c r="G220" s="243"/>
      <c r="H220" s="268">
        <v>8.4282407407407403E-2</v>
      </c>
      <c r="I220" s="243"/>
      <c r="J220" s="243"/>
      <c r="K220" s="194">
        <v>79</v>
      </c>
    </row>
    <row r="221" spans="1:11" ht="15.75" x14ac:dyDescent="0.25">
      <c r="A221" s="1" t="s">
        <v>485</v>
      </c>
      <c r="B221" s="164">
        <v>46.454767726161229</v>
      </c>
      <c r="C221" s="12">
        <v>5.5154976968149203</v>
      </c>
      <c r="D221" s="166">
        <v>3.0339999999999998</v>
      </c>
      <c r="E221" s="252"/>
      <c r="F221" s="252"/>
      <c r="G221" s="252"/>
      <c r="H221" s="267">
        <v>0.46894675925925927</v>
      </c>
      <c r="I221" s="252"/>
      <c r="J221" s="252"/>
      <c r="K221" s="167">
        <v>85</v>
      </c>
    </row>
    <row r="222" spans="1:11" ht="15.75" x14ac:dyDescent="0.25">
      <c r="A222" s="1" t="s">
        <v>485</v>
      </c>
      <c r="B222" s="164">
        <v>42.016806722689026</v>
      </c>
      <c r="C222" s="12"/>
      <c r="D222" s="166">
        <v>3.0539999999999998</v>
      </c>
      <c r="E222" s="252"/>
      <c r="F222" s="252"/>
      <c r="G222" s="252"/>
      <c r="H222" s="267">
        <v>0.4689814814814815</v>
      </c>
      <c r="I222" s="252"/>
      <c r="J222" s="252"/>
      <c r="K222" s="167">
        <v>86</v>
      </c>
    </row>
    <row r="223" spans="1:11" ht="15.75" x14ac:dyDescent="0.25">
      <c r="A223" s="1" t="s">
        <v>485</v>
      </c>
      <c r="B223" s="164">
        <v>43.243243243243327</v>
      </c>
      <c r="C223" s="12">
        <v>3.9275319064876912</v>
      </c>
      <c r="D223" s="166">
        <v>2.4729999999999999</v>
      </c>
      <c r="E223" s="252"/>
      <c r="F223" s="252"/>
      <c r="G223" s="252"/>
      <c r="H223" s="267">
        <v>0.46901620370370373</v>
      </c>
      <c r="I223" s="252"/>
      <c r="J223" s="252"/>
      <c r="K223" s="167">
        <v>87</v>
      </c>
    </row>
    <row r="224" spans="1:11" ht="15.75" x14ac:dyDescent="0.25">
      <c r="A224" s="1" t="s">
        <v>485</v>
      </c>
      <c r="B224" s="164">
        <v>144.48979591836752</v>
      </c>
      <c r="C224" s="12"/>
      <c r="D224" s="166">
        <v>2.6160000000000001</v>
      </c>
      <c r="E224" s="252"/>
      <c r="F224" s="252"/>
      <c r="G224" s="252"/>
      <c r="H224" s="267">
        <v>0.4690509259259259</v>
      </c>
      <c r="I224" s="252"/>
      <c r="J224" s="252"/>
      <c r="K224" s="167">
        <v>88</v>
      </c>
    </row>
    <row r="225" spans="1:11" ht="15.75" x14ac:dyDescent="0.25">
      <c r="A225" s="1" t="s">
        <v>485</v>
      </c>
      <c r="B225" s="164">
        <v>240.01979544704733</v>
      </c>
      <c r="C225" s="12">
        <v>15.122709800124632</v>
      </c>
      <c r="D225" s="166">
        <v>3.1349999999999998</v>
      </c>
      <c r="E225" s="252"/>
      <c r="F225" s="252"/>
      <c r="G225" s="252"/>
      <c r="H225" s="267">
        <v>0.46908564814814818</v>
      </c>
      <c r="I225" s="252"/>
      <c r="J225" s="252"/>
      <c r="K225" s="167">
        <v>89</v>
      </c>
    </row>
    <row r="226" spans="1:11" ht="15.75" x14ac:dyDescent="0.25">
      <c r="A226" s="1" t="s">
        <v>485</v>
      </c>
      <c r="B226" s="164">
        <v>191.19209085709622</v>
      </c>
      <c r="C226" s="12"/>
      <c r="D226" s="166">
        <v>2.9359999999999999</v>
      </c>
      <c r="E226" s="252"/>
      <c r="F226" s="252"/>
      <c r="G226" s="252"/>
      <c r="H226" s="267">
        <v>0.46912037037037035</v>
      </c>
      <c r="I226" s="252"/>
      <c r="J226" s="252"/>
      <c r="K226" s="167">
        <v>90</v>
      </c>
    </row>
    <row r="227" spans="1:11" ht="15.75" x14ac:dyDescent="0.25">
      <c r="A227" s="1" t="s">
        <v>485</v>
      </c>
      <c r="B227" s="164">
        <v>164.10842586544723</v>
      </c>
      <c r="C227" s="12">
        <v>17.196570691909024</v>
      </c>
      <c r="D227" s="166">
        <v>2.9329999999999998</v>
      </c>
      <c r="E227" s="252"/>
      <c r="F227" s="252"/>
      <c r="G227" s="252"/>
      <c r="H227" s="267">
        <v>0.46915509259259264</v>
      </c>
      <c r="I227" s="252"/>
      <c r="J227" s="252"/>
      <c r="K227" s="167">
        <v>91</v>
      </c>
    </row>
    <row r="228" spans="1:11" ht="15.75" x14ac:dyDescent="0.25">
      <c r="A228" s="1" t="s">
        <v>485</v>
      </c>
      <c r="B228" s="164">
        <v>119.19751531939913</v>
      </c>
      <c r="C228" s="12">
        <v>9.506040177851494</v>
      </c>
      <c r="D228" s="166">
        <v>2.6339999999999999</v>
      </c>
      <c r="E228" s="252"/>
      <c r="F228" s="252"/>
      <c r="G228" s="252"/>
      <c r="H228" s="267">
        <v>0.46918981481481481</v>
      </c>
      <c r="I228" s="252"/>
      <c r="J228" s="252"/>
      <c r="K228" s="167">
        <v>92</v>
      </c>
    </row>
    <row r="229" spans="1:11" ht="15.75" x14ac:dyDescent="0.25">
      <c r="A229" s="1" t="s">
        <v>485</v>
      </c>
      <c r="B229" s="164">
        <v>96.298777424216894</v>
      </c>
      <c r="C229" s="12">
        <v>6.3675166712568405</v>
      </c>
      <c r="D229" s="166">
        <v>2.97</v>
      </c>
      <c r="E229" s="252"/>
      <c r="F229" s="252"/>
      <c r="G229" s="252"/>
      <c r="H229" s="267">
        <v>0.46925925925925926</v>
      </c>
      <c r="I229" s="252"/>
      <c r="J229" s="252"/>
      <c r="K229" s="167">
        <v>93</v>
      </c>
    </row>
    <row r="230" spans="1:11" ht="15.75" x14ac:dyDescent="0.25">
      <c r="A230" s="1" t="s">
        <v>485</v>
      </c>
      <c r="B230" s="164">
        <v>96.842105263158203</v>
      </c>
      <c r="C230" s="12"/>
      <c r="D230" s="166">
        <v>2.4969999999999999</v>
      </c>
      <c r="E230" s="252"/>
      <c r="F230" s="252"/>
      <c r="G230" s="252"/>
      <c r="H230" s="267">
        <v>0.46929398148148144</v>
      </c>
      <c r="I230" s="252"/>
      <c r="J230" s="252"/>
      <c r="K230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36"/>
  <sheetViews>
    <sheetView topLeftCell="F1" zoomScale="85" zoomScaleNormal="85" workbookViewId="0">
      <selection activeCell="H27" sqref="H27"/>
    </sheetView>
    <sheetView workbookViewId="1"/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6">
        <v>44400.659722222219</v>
      </c>
      <c r="I2" s="277">
        <v>92.5304</v>
      </c>
      <c r="J2" s="277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6">
        <v>44400.67291666667</v>
      </c>
      <c r="I3" s="277">
        <v>197.94775999999999</v>
      </c>
      <c r="J3" s="277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6">
        <v>44400.694444444445</v>
      </c>
      <c r="I4" s="277">
        <v>78.192979999999906</v>
      </c>
      <c r="J4" s="277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6">
        <v>44400.704861111109</v>
      </c>
      <c r="I5" s="277">
        <v>74.057744</v>
      </c>
      <c r="J5" s="277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6">
        <v>44400.804861111108</v>
      </c>
      <c r="I6" s="277">
        <v>20.5702</v>
      </c>
      <c r="J6" s="277">
        <v>52.587200000000003</v>
      </c>
      <c r="K6" s="55" t="s">
        <v>76</v>
      </c>
    </row>
    <row r="7" spans="1:11" ht="15.75" thickBot="1" x14ac:dyDescent="0.3">
      <c r="A7" s="55" t="s">
        <v>478</v>
      </c>
      <c r="B7" s="271">
        <v>22.011886418665991</v>
      </c>
      <c r="C7" s="272">
        <v>4.8049034388889487</v>
      </c>
      <c r="D7" s="273">
        <v>11.551</v>
      </c>
      <c r="E7" s="55">
        <v>2.196020992868742E-3</v>
      </c>
      <c r="F7" s="55">
        <v>4.7E-2</v>
      </c>
      <c r="G7" s="55">
        <v>7.6999999999999999E-2</v>
      </c>
      <c r="H7" s="278">
        <v>44400.876388888886</v>
      </c>
      <c r="I7" s="279">
        <v>16.9712</v>
      </c>
      <c r="J7" s="279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80">
        <v>44776.626388888886</v>
      </c>
      <c r="I8" s="281">
        <v>16.7956</v>
      </c>
      <c r="J8" s="281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2">
        <v>44776.636805555558</v>
      </c>
      <c r="I9" s="283">
        <v>19.789199999999902</v>
      </c>
      <c r="J9" s="283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2">
        <v>44776.657638888886</v>
      </c>
      <c r="I10" s="283">
        <v>10.3628</v>
      </c>
      <c r="J10" s="283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2">
        <v>44776.678472222222</v>
      </c>
      <c r="I11" s="283">
        <v>13.1524</v>
      </c>
      <c r="J11" s="283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2">
        <v>44776.751388888886</v>
      </c>
      <c r="I12" s="283">
        <v>9.5941333333333301</v>
      </c>
      <c r="J12" s="283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2">
        <v>44776.761805555558</v>
      </c>
      <c r="I13" s="283">
        <v>9.1205333333333307</v>
      </c>
      <c r="J13" s="283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4">
        <v>44776.793055555558</v>
      </c>
      <c r="I14" s="285">
        <v>7.7619999999999996</v>
      </c>
      <c r="J14" s="285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6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7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8">
        <v>45136.619444444441</v>
      </c>
      <c r="I27" s="289">
        <v>28.3628</v>
      </c>
      <c r="J27" s="289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90">
        <v>45136.629861111112</v>
      </c>
      <c r="I28" s="291">
        <v>35.5732</v>
      </c>
      <c r="J28" s="291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90">
        <v>45136.640277777777</v>
      </c>
      <c r="I29" s="291">
        <v>34.972000000000001</v>
      </c>
      <c r="J29" s="291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90">
        <v>45136.650694444441</v>
      </c>
      <c r="I30" s="291">
        <v>32.542400000000001</v>
      </c>
      <c r="J30" s="291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90">
        <v>45136.661111111112</v>
      </c>
      <c r="I31" s="291">
        <v>26.4848</v>
      </c>
      <c r="J31" s="291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90">
        <v>45136.671527777777</v>
      </c>
      <c r="I32" s="291">
        <v>20.574000000000002</v>
      </c>
      <c r="J32" s="291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90">
        <v>45136.681944444441</v>
      </c>
      <c r="I33" s="292">
        <v>17.004000000000001</v>
      </c>
      <c r="J33" s="292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3">
        <v>45151.78125</v>
      </c>
      <c r="I34" s="294">
        <v>13.715999999999999</v>
      </c>
      <c r="J34" s="294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5">
        <v>45151.790277777778</v>
      </c>
      <c r="I35" s="296">
        <v>16.154399999999999</v>
      </c>
      <c r="J35" s="296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5">
        <v>45151.793055555558</v>
      </c>
      <c r="I36" s="296">
        <v>14.494399999999899</v>
      </c>
      <c r="J36" s="296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5">
        <v>45151.798611111109</v>
      </c>
      <c r="I37" s="296">
        <v>11.944000000000001</v>
      </c>
      <c r="J37" s="296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5">
        <v>45151.876388888886</v>
      </c>
      <c r="I38" s="297">
        <v>7.8642666666666603</v>
      </c>
      <c r="J38" s="297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8">
        <v>45166.513888888891</v>
      </c>
      <c r="I39" s="299">
        <v>24.83</v>
      </c>
      <c r="J39" s="299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300">
        <v>45166.524305555555</v>
      </c>
      <c r="I40" s="301">
        <v>24.844000000000001</v>
      </c>
      <c r="J40" s="301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300">
        <v>45166.534722222219</v>
      </c>
      <c r="I41" s="301">
        <v>16.478000000000002</v>
      </c>
      <c r="J41" s="301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300">
        <v>45166.545138888891</v>
      </c>
      <c r="I42" s="301">
        <v>13.218</v>
      </c>
      <c r="J42" s="301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300">
        <v>45166.555555555555</v>
      </c>
      <c r="I43" s="301">
        <v>11.843999999999999</v>
      </c>
      <c r="J43" s="301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300">
        <v>45166.586805555555</v>
      </c>
      <c r="I44" s="301">
        <v>11.214</v>
      </c>
      <c r="J44" s="301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300">
        <v>45166.607638888891</v>
      </c>
      <c r="I45" s="301">
        <v>11.263999999999999</v>
      </c>
      <c r="J45" s="301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2">
        <v>45166.638888888891</v>
      </c>
      <c r="I46" s="303">
        <v>8.8166666666666593</v>
      </c>
      <c r="J46" s="303">
        <v>9.3473333333333297</v>
      </c>
      <c r="K46" s="135">
        <v>483</v>
      </c>
    </row>
    <row r="47" spans="1:11" x14ac:dyDescent="0.25">
      <c r="A47" s="136" t="s">
        <v>45</v>
      </c>
      <c r="B47" s="137">
        <v>37.60000000000008</v>
      </c>
      <c r="C47" s="87">
        <v>5.33941789117765</v>
      </c>
      <c r="D47" s="138">
        <v>5.4009999999999998</v>
      </c>
      <c r="E47" s="84"/>
      <c r="F47" s="84"/>
      <c r="G47" s="84"/>
      <c r="H47" s="286">
        <v>45183.744444444441</v>
      </c>
      <c r="I47" s="197">
        <v>1.97369195402298</v>
      </c>
      <c r="J47" s="197">
        <v>5.5644417329796596</v>
      </c>
      <c r="K47" s="139">
        <v>484</v>
      </c>
    </row>
    <row r="48" spans="1:11" x14ac:dyDescent="0.25">
      <c r="A48" s="9" t="s">
        <v>46</v>
      </c>
      <c r="B48" s="16">
        <v>31.53846153846148</v>
      </c>
      <c r="C48" s="22">
        <v>4.6129800011302597</v>
      </c>
      <c r="D48" s="36">
        <v>4.8639999999999999</v>
      </c>
      <c r="E48" s="6"/>
      <c r="F48" s="6"/>
      <c r="G48" s="6"/>
      <c r="H48" s="244">
        <v>45183.754861111112</v>
      </c>
      <c r="I48" s="192">
        <v>1.97258850574712</v>
      </c>
      <c r="J48" s="192">
        <v>5.5649563218390803</v>
      </c>
      <c r="K48" s="41">
        <v>485</v>
      </c>
    </row>
    <row r="49" spans="1:11" x14ac:dyDescent="0.25">
      <c r="A49" s="9" t="s">
        <v>47</v>
      </c>
      <c r="B49" s="16">
        <v>28.076923076923084</v>
      </c>
      <c r="C49" s="22">
        <v>4.3837682724738745</v>
      </c>
      <c r="D49" s="36">
        <v>4.6319999999999997</v>
      </c>
      <c r="E49" s="6"/>
      <c r="F49" s="6"/>
      <c r="G49" s="6"/>
      <c r="H49" s="244">
        <v>45183.765277777777</v>
      </c>
      <c r="I49" s="192">
        <v>1.9714850574712599</v>
      </c>
      <c r="J49" s="192">
        <v>5.5654709106984903</v>
      </c>
      <c r="K49" s="41">
        <v>486</v>
      </c>
    </row>
    <row r="50" spans="1:11" x14ac:dyDescent="0.25">
      <c r="A50" s="9" t="s">
        <v>48</v>
      </c>
      <c r="B50" s="16">
        <v>23.599999999999955</v>
      </c>
      <c r="C50" s="22">
        <v>4.11019377056025</v>
      </c>
      <c r="D50" s="36">
        <v>4.1559999999999997</v>
      </c>
      <c r="E50" s="6"/>
      <c r="F50" s="6"/>
      <c r="G50" s="6"/>
      <c r="H50" s="244">
        <v>45183.775694444441</v>
      </c>
      <c r="I50" s="192">
        <v>1.9703816091954001</v>
      </c>
      <c r="J50" s="192">
        <v>5.5659854995579101</v>
      </c>
      <c r="K50" s="41">
        <v>487</v>
      </c>
    </row>
    <row r="51" spans="1:11" x14ac:dyDescent="0.25">
      <c r="A51" s="9" t="s">
        <v>49</v>
      </c>
      <c r="B51" s="16">
        <v>21.176470588235247</v>
      </c>
      <c r="C51" s="22"/>
      <c r="D51" s="36">
        <v>3.2890000000000001</v>
      </c>
      <c r="E51" s="6"/>
      <c r="F51" s="6"/>
      <c r="G51" s="6"/>
      <c r="H51" s="244">
        <v>45183.786111111112</v>
      </c>
      <c r="I51" s="192">
        <v>1.96927816091954</v>
      </c>
      <c r="J51" s="192">
        <v>5.5665000884173299</v>
      </c>
      <c r="K51" s="41">
        <v>488</v>
      </c>
    </row>
    <row r="52" spans="1:11" ht="15.75" thickBot="1" x14ac:dyDescent="0.3">
      <c r="A52" s="140" t="s">
        <v>50</v>
      </c>
      <c r="B52" s="141">
        <v>23.137254901960741</v>
      </c>
      <c r="C52" s="93">
        <v>3.7641164783656667</v>
      </c>
      <c r="D52" s="142">
        <v>8.7289999999999992</v>
      </c>
      <c r="E52" s="90"/>
      <c r="F52" s="90"/>
      <c r="G52" s="90"/>
      <c r="H52" s="287">
        <v>45183.79791666667</v>
      </c>
      <c r="I52" s="203">
        <v>1.9680275862068899</v>
      </c>
      <c r="J52" s="203">
        <v>5.5670832891246604</v>
      </c>
      <c r="K52" s="143">
        <v>489</v>
      </c>
    </row>
    <row r="53" spans="1:11" x14ac:dyDescent="0.25">
      <c r="A53" s="304" t="s">
        <v>181</v>
      </c>
      <c r="B53" s="305">
        <v>12.380952380952339</v>
      </c>
      <c r="C53" s="306"/>
      <c r="D53" s="304">
        <v>3.7290000000000001</v>
      </c>
      <c r="E53" s="308"/>
      <c r="F53" s="308"/>
      <c r="G53" s="308"/>
      <c r="H53" s="307">
        <v>45031.520833333336</v>
      </c>
      <c r="I53" s="275">
        <v>6.3695391092076497</v>
      </c>
      <c r="J53" s="275"/>
      <c r="K53" s="304">
        <v>195</v>
      </c>
    </row>
    <row r="54" spans="1:11" x14ac:dyDescent="0.25">
      <c r="A54" s="2" t="s">
        <v>182</v>
      </c>
      <c r="B54" s="149">
        <v>9.4736842105262955</v>
      </c>
      <c r="C54" s="31"/>
      <c r="D54" s="2">
        <v>3.573</v>
      </c>
      <c r="E54" s="274"/>
      <c r="F54" s="274"/>
      <c r="G54" s="274"/>
      <c r="H54" s="233">
        <v>45031.6875</v>
      </c>
      <c r="I54" s="147">
        <v>6.3686278197342103</v>
      </c>
      <c r="J54" s="147"/>
      <c r="K54" s="2">
        <v>196</v>
      </c>
    </row>
    <row r="55" spans="1:11" x14ac:dyDescent="0.25">
      <c r="A55" s="2" t="s">
        <v>183</v>
      </c>
      <c r="B55" s="149">
        <v>5.0000000000000044</v>
      </c>
      <c r="C55" s="31"/>
      <c r="D55" s="2">
        <v>3.2410000000000001</v>
      </c>
      <c r="E55" s="274"/>
      <c r="F55" s="274"/>
      <c r="G55" s="274"/>
      <c r="H55" s="233">
        <v>45031.854166666664</v>
      </c>
      <c r="I55" s="147">
        <v>6.3677165302607701</v>
      </c>
      <c r="J55" s="147"/>
      <c r="K55" s="2">
        <v>197</v>
      </c>
    </row>
    <row r="56" spans="1:11" x14ac:dyDescent="0.25">
      <c r="A56" s="2" t="s">
        <v>184</v>
      </c>
      <c r="B56" s="149">
        <v>3.999999999999976</v>
      </c>
      <c r="C56" s="31"/>
      <c r="D56" s="2">
        <v>3.202</v>
      </c>
      <c r="E56" s="274"/>
      <c r="F56" s="274"/>
      <c r="G56" s="274"/>
      <c r="H56" s="233">
        <v>45032.020833333336</v>
      </c>
      <c r="I56" s="147">
        <v>6.3668052407873201</v>
      </c>
      <c r="J56" s="147"/>
      <c r="K56" s="2">
        <v>198</v>
      </c>
    </row>
    <row r="57" spans="1:11" x14ac:dyDescent="0.25">
      <c r="A57" s="2" t="s">
        <v>185</v>
      </c>
      <c r="B57" s="149">
        <v>10.476190476190512</v>
      </c>
      <c r="C57" s="31"/>
      <c r="D57" s="2">
        <v>3.234</v>
      </c>
      <c r="E57" s="274"/>
      <c r="F57" s="274"/>
      <c r="G57" s="274"/>
      <c r="H57" s="233">
        <v>45032.520833333336</v>
      </c>
      <c r="I57" s="147">
        <v>6.3640713723669897</v>
      </c>
      <c r="J57" s="147"/>
      <c r="K57" s="2">
        <v>199</v>
      </c>
    </row>
    <row r="58" spans="1:11" x14ac:dyDescent="0.25">
      <c r="A58" s="2" t="s">
        <v>186</v>
      </c>
      <c r="B58" s="149">
        <v>9.3333333333332309</v>
      </c>
      <c r="C58" s="31"/>
      <c r="D58" s="2">
        <v>3.2930000000000001</v>
      </c>
      <c r="E58" s="274"/>
      <c r="F58" s="274"/>
      <c r="G58" s="274"/>
      <c r="H58" s="233">
        <v>45032.6875</v>
      </c>
      <c r="I58" s="147">
        <v>6.3631600828935397</v>
      </c>
      <c r="J58" s="147"/>
      <c r="K58" s="2">
        <v>200</v>
      </c>
    </row>
    <row r="59" spans="1:11" x14ac:dyDescent="0.25">
      <c r="A59" s="2" t="s">
        <v>187</v>
      </c>
      <c r="B59" s="149">
        <v>9.6551724137929966</v>
      </c>
      <c r="C59" s="31"/>
      <c r="D59" s="2">
        <v>3.1789999999999998</v>
      </c>
      <c r="E59" s="274"/>
      <c r="F59" s="274"/>
      <c r="G59" s="274"/>
      <c r="H59" s="233">
        <v>45033.020833333336</v>
      </c>
      <c r="I59" s="147">
        <v>6.3613375039466602</v>
      </c>
      <c r="J59" s="147"/>
      <c r="K59" s="2">
        <v>201</v>
      </c>
    </row>
    <row r="60" spans="1:11" x14ac:dyDescent="0.25">
      <c r="A60" s="2" t="s">
        <v>188</v>
      </c>
      <c r="B60" s="149">
        <v>3.9999999999999298</v>
      </c>
      <c r="C60" s="31"/>
      <c r="D60" s="2">
        <v>3.1110000000000002</v>
      </c>
      <c r="E60" s="274"/>
      <c r="F60" s="274"/>
      <c r="G60" s="274"/>
      <c r="H60" s="233">
        <v>45033.1875</v>
      </c>
      <c r="I60" s="147">
        <v>6.3604262144732102</v>
      </c>
      <c r="J60" s="147"/>
      <c r="K60" s="2">
        <v>202</v>
      </c>
    </row>
    <row r="61" spans="1:11" x14ac:dyDescent="0.25">
      <c r="A61" s="2" t="s">
        <v>189</v>
      </c>
      <c r="B61" s="149">
        <v>1.4999999999999736</v>
      </c>
      <c r="C61" s="31"/>
      <c r="D61" s="2">
        <v>3.0259999999999998</v>
      </c>
      <c r="E61" s="274"/>
      <c r="F61" s="274"/>
      <c r="G61" s="274"/>
      <c r="H61" s="233">
        <v>45033.354166666664</v>
      </c>
      <c r="I61" s="147">
        <v>6.35951492499977</v>
      </c>
      <c r="J61" s="147"/>
      <c r="K61" s="2">
        <v>203</v>
      </c>
    </row>
    <row r="62" spans="1:11" x14ac:dyDescent="0.25">
      <c r="A62" s="2" t="s">
        <v>190</v>
      </c>
      <c r="B62" s="149">
        <v>5.5000000000000879</v>
      </c>
      <c r="C62" s="31"/>
      <c r="D62" s="2">
        <v>3.0910000000000002</v>
      </c>
      <c r="E62" s="274"/>
      <c r="F62" s="274"/>
      <c r="G62" s="274"/>
      <c r="H62" s="233">
        <v>45033.520833333336</v>
      </c>
      <c r="I62" s="147">
        <v>5.28249032</v>
      </c>
      <c r="J62" s="147"/>
      <c r="K62" s="2">
        <v>204</v>
      </c>
    </row>
    <row r="63" spans="1:11" x14ac:dyDescent="0.25">
      <c r="A63" s="2" t="s">
        <v>191</v>
      </c>
      <c r="B63" s="149">
        <v>23.157894736842042</v>
      </c>
      <c r="C63" s="31"/>
      <c r="D63" s="2">
        <v>3.206</v>
      </c>
      <c r="E63" s="274"/>
      <c r="F63" s="274"/>
      <c r="G63" s="274"/>
      <c r="H63" s="233">
        <v>45033.6875</v>
      </c>
      <c r="I63" s="147"/>
      <c r="J63" s="147">
        <v>0.60768966400000002</v>
      </c>
      <c r="K63" s="2">
        <v>205</v>
      </c>
    </row>
    <row r="64" spans="1:11" x14ac:dyDescent="0.25">
      <c r="A64" s="2" t="s">
        <v>192</v>
      </c>
      <c r="B64" s="149">
        <v>15.000000000000014</v>
      </c>
      <c r="C64" s="31"/>
      <c r="D64" s="2">
        <v>3.6629999999999998</v>
      </c>
      <c r="E64" s="274"/>
      <c r="F64" s="274"/>
      <c r="G64" s="274"/>
      <c r="H64" s="233">
        <v>45033.854166666664</v>
      </c>
      <c r="I64" s="147"/>
      <c r="J64" s="147">
        <v>0.67526825599999996</v>
      </c>
      <c r="K64" s="2">
        <v>206</v>
      </c>
    </row>
    <row r="65" spans="1:11" x14ac:dyDescent="0.25">
      <c r="A65" s="2" t="s">
        <v>194</v>
      </c>
      <c r="B65" s="149">
        <v>8.9473684210526692</v>
      </c>
      <c r="C65" s="236">
        <v>1.3945106373630132</v>
      </c>
      <c r="D65" s="2">
        <v>3.806</v>
      </c>
      <c r="E65" s="274"/>
      <c r="F65" s="274"/>
      <c r="G65" s="274"/>
      <c r="H65" s="233">
        <v>45034.020833333336</v>
      </c>
      <c r="I65" s="147">
        <v>12.815805599999999</v>
      </c>
      <c r="J65" s="147">
        <v>0.66271287999999995</v>
      </c>
      <c r="K65" s="2">
        <v>222</v>
      </c>
    </row>
    <row r="66" spans="1:11" x14ac:dyDescent="0.25">
      <c r="A66" s="2" t="s">
        <v>193</v>
      </c>
      <c r="B66" s="149">
        <v>9.4999999999999254</v>
      </c>
      <c r="C66" s="236"/>
      <c r="D66" s="2">
        <v>3.391</v>
      </c>
      <c r="E66" s="274"/>
      <c r="F66" s="274"/>
      <c r="G66" s="274"/>
      <c r="H66" s="233">
        <v>45034.1875</v>
      </c>
      <c r="I66" s="147">
        <v>12.0457119999999</v>
      </c>
      <c r="J66" s="147">
        <v>0.63474413999999901</v>
      </c>
      <c r="K66" s="2">
        <v>207</v>
      </c>
    </row>
    <row r="67" spans="1:11" x14ac:dyDescent="0.25">
      <c r="A67" s="2" t="s">
        <v>195</v>
      </c>
      <c r="B67" s="149">
        <v>4.2857142857143424</v>
      </c>
      <c r="C67" s="236"/>
      <c r="D67" s="2">
        <v>3.3119999999999998</v>
      </c>
      <c r="E67" s="274"/>
      <c r="F67" s="274"/>
      <c r="G67" s="274"/>
      <c r="H67" s="233">
        <v>45034.354166666664</v>
      </c>
      <c r="I67" s="147">
        <v>10.67219704</v>
      </c>
      <c r="J67" s="147">
        <v>0.62033358800000005</v>
      </c>
      <c r="K67" s="2">
        <v>223</v>
      </c>
    </row>
    <row r="68" spans="1:11" x14ac:dyDescent="0.25">
      <c r="A68" s="2" t="s">
        <v>196</v>
      </c>
      <c r="B68" s="149"/>
      <c r="C68" s="236"/>
      <c r="D68" s="2">
        <v>3.3530000000000002</v>
      </c>
      <c r="E68" s="274"/>
      <c r="F68" s="274"/>
      <c r="G68" s="274"/>
      <c r="H68" s="233">
        <v>45034.520833333336</v>
      </c>
      <c r="I68" s="147">
        <v>12.4510858</v>
      </c>
      <c r="J68" s="147">
        <v>0.57870333600000001</v>
      </c>
      <c r="K68" s="2">
        <v>224</v>
      </c>
    </row>
    <row r="69" spans="1:11" x14ac:dyDescent="0.25">
      <c r="A69" s="2" t="s">
        <v>197</v>
      </c>
      <c r="B69" s="149">
        <v>23.000000000000103</v>
      </c>
      <c r="C69" s="236"/>
      <c r="D69" s="2">
        <v>3.5139999999999998</v>
      </c>
      <c r="E69" s="274"/>
      <c r="F69" s="274"/>
      <c r="G69" s="274"/>
      <c r="H69" s="233">
        <v>45034.6875</v>
      </c>
      <c r="I69" s="147">
        <v>21.1627592</v>
      </c>
      <c r="J69" s="147">
        <v>0.64280018799999905</v>
      </c>
      <c r="K69" s="2">
        <v>225</v>
      </c>
    </row>
    <row r="70" spans="1:11" x14ac:dyDescent="0.25">
      <c r="A70" s="2" t="s">
        <v>198</v>
      </c>
      <c r="B70" s="149">
        <v>15.000000000000014</v>
      </c>
      <c r="C70" s="236"/>
      <c r="D70" s="2">
        <v>3.6539999999999999</v>
      </c>
      <c r="E70" s="274"/>
      <c r="F70" s="274"/>
      <c r="G70" s="274"/>
      <c r="H70" s="233">
        <v>45034.895833333336</v>
      </c>
      <c r="I70" s="147">
        <v>14.5804768</v>
      </c>
      <c r="J70" s="147">
        <v>0.75155197200000001</v>
      </c>
      <c r="K70" s="2">
        <v>226</v>
      </c>
    </row>
    <row r="71" spans="1:11" x14ac:dyDescent="0.25">
      <c r="A71" s="2" t="s">
        <v>199</v>
      </c>
      <c r="B71" s="149">
        <v>9.0909090909090988</v>
      </c>
      <c r="C71" s="236"/>
      <c r="D71" s="2">
        <v>3.5760000000000001</v>
      </c>
      <c r="E71" s="274"/>
      <c r="F71" s="274"/>
      <c r="G71" s="274"/>
      <c r="H71" s="233">
        <v>45035.104166666664</v>
      </c>
      <c r="I71" s="147">
        <v>12.4211408</v>
      </c>
      <c r="J71" s="147">
        <v>0.68398085200000003</v>
      </c>
      <c r="K71" s="2">
        <v>227</v>
      </c>
    </row>
    <row r="72" spans="1:11" x14ac:dyDescent="0.25">
      <c r="A72" s="2" t="s">
        <v>200</v>
      </c>
      <c r="B72" s="149">
        <v>7.5000000000000071</v>
      </c>
      <c r="C72" s="236"/>
      <c r="D72" s="2">
        <v>3.3889999999999998</v>
      </c>
      <c r="E72" s="274"/>
      <c r="F72" s="274"/>
      <c r="G72" s="274"/>
      <c r="H72" s="233">
        <v>45035.3125</v>
      </c>
      <c r="I72" s="147">
        <v>10.916756999999899</v>
      </c>
      <c r="J72" s="147">
        <v>0.63628065999999905</v>
      </c>
      <c r="K72" s="2">
        <v>228</v>
      </c>
    </row>
    <row r="73" spans="1:11" x14ac:dyDescent="0.25">
      <c r="A73" s="2" t="s">
        <v>201</v>
      </c>
      <c r="B73" s="149">
        <v>4.3750000000000382</v>
      </c>
      <c r="C73" s="236"/>
      <c r="D73" s="2">
        <v>3.226</v>
      </c>
      <c r="E73" s="274"/>
      <c r="F73" s="274"/>
      <c r="G73" s="274"/>
      <c r="H73" s="233">
        <v>45035.520833333336</v>
      </c>
      <c r="I73" s="147">
        <v>12.41495316</v>
      </c>
      <c r="J73" s="147">
        <v>0.60410145599999998</v>
      </c>
      <c r="K73" s="2">
        <v>229</v>
      </c>
    </row>
    <row r="74" spans="1:11" x14ac:dyDescent="0.25">
      <c r="A74" s="2" t="s">
        <v>202</v>
      </c>
      <c r="B74" s="149"/>
      <c r="C74" s="236"/>
      <c r="D74" s="2">
        <v>3.552</v>
      </c>
      <c r="E74" s="274"/>
      <c r="F74" s="274"/>
      <c r="G74" s="274"/>
      <c r="H74" s="233">
        <v>45036.666666666664</v>
      </c>
      <c r="I74" s="147">
        <v>10.38733716</v>
      </c>
      <c r="J74" s="147">
        <v>0.59383253599999997</v>
      </c>
      <c r="K74" s="2">
        <v>230</v>
      </c>
    </row>
    <row r="75" spans="1:11" x14ac:dyDescent="0.25">
      <c r="A75" s="2" t="s">
        <v>203</v>
      </c>
      <c r="B75" s="149">
        <v>5.6249999999999005</v>
      </c>
      <c r="C75" s="236"/>
      <c r="D75" s="2">
        <v>3.323</v>
      </c>
      <c r="E75" s="274"/>
      <c r="F75" s="274"/>
      <c r="G75" s="274"/>
      <c r="H75" s="233">
        <v>45036.770833333336</v>
      </c>
      <c r="I75" s="147">
        <v>9.4103997199999991</v>
      </c>
      <c r="J75" s="147">
        <v>0.61654414000000002</v>
      </c>
      <c r="K75" s="2">
        <v>231</v>
      </c>
    </row>
    <row r="76" spans="1:11" x14ac:dyDescent="0.25">
      <c r="A76" s="2" t="s">
        <v>204</v>
      </c>
      <c r="B76" s="149">
        <v>6.6666666666666723</v>
      </c>
      <c r="C76" s="236"/>
      <c r="D76" s="2">
        <v>3.3159999999999998</v>
      </c>
      <c r="E76" s="274"/>
      <c r="F76" s="274"/>
      <c r="G76" s="274"/>
      <c r="H76" s="233">
        <v>45036.979166666664</v>
      </c>
      <c r="I76" s="147">
        <v>8.6639274400000001</v>
      </c>
      <c r="J76" s="147">
        <v>0.59535333199999996</v>
      </c>
      <c r="K76" s="2">
        <v>232</v>
      </c>
    </row>
    <row r="77" spans="1:11" x14ac:dyDescent="0.25">
      <c r="A77" s="2" t="s">
        <v>205</v>
      </c>
      <c r="B77" s="149"/>
      <c r="C77" s="236"/>
      <c r="D77" s="2">
        <v>3.2069999999999999</v>
      </c>
      <c r="E77" s="274"/>
      <c r="F77" s="274"/>
      <c r="G77" s="274"/>
      <c r="H77" s="233">
        <v>45037.1875</v>
      </c>
      <c r="I77" s="147">
        <v>8.1745655151999994</v>
      </c>
      <c r="J77" s="147">
        <v>0.57885261200000004</v>
      </c>
      <c r="K77" s="2">
        <v>233</v>
      </c>
    </row>
    <row r="78" spans="1:11" x14ac:dyDescent="0.25">
      <c r="A78" s="2" t="s">
        <v>206</v>
      </c>
      <c r="B78" s="149"/>
      <c r="C78" s="236"/>
      <c r="D78" s="2">
        <v>3.153</v>
      </c>
      <c r="E78" s="274"/>
      <c r="F78" s="274"/>
      <c r="G78" s="274"/>
      <c r="H78" s="233">
        <v>45037.395833333336</v>
      </c>
      <c r="I78" s="147">
        <v>8.8986113000000007</v>
      </c>
      <c r="J78" s="147">
        <v>0.56270766400000005</v>
      </c>
      <c r="K78" s="2">
        <v>234</v>
      </c>
    </row>
    <row r="79" spans="1:11" x14ac:dyDescent="0.25">
      <c r="A79" s="2" t="s">
        <v>207</v>
      </c>
      <c r="B79" s="149"/>
      <c r="C79" s="236"/>
      <c r="D79" s="2">
        <v>3.2869999999999999</v>
      </c>
      <c r="E79" s="274"/>
      <c r="F79" s="274"/>
      <c r="G79" s="274"/>
      <c r="H79" s="233">
        <v>45037.604166666664</v>
      </c>
      <c r="I79" s="147">
        <v>8.95110431999999</v>
      </c>
      <c r="J79" s="147">
        <v>0.55456220000000001</v>
      </c>
      <c r="K79" s="2">
        <v>235</v>
      </c>
    </row>
    <row r="80" spans="1:11" x14ac:dyDescent="0.25">
      <c r="A80" s="2" t="s">
        <v>208</v>
      </c>
      <c r="B80" s="149">
        <v>10.344827586206906</v>
      </c>
      <c r="C80" s="236"/>
      <c r="D80" s="2">
        <v>3.2440000000000002</v>
      </c>
      <c r="E80" s="274"/>
      <c r="F80" s="274"/>
      <c r="G80" s="274"/>
      <c r="H80" s="233">
        <v>45039.666666666664</v>
      </c>
      <c r="I80" s="147">
        <v>9.3171799199999992</v>
      </c>
      <c r="J80" s="147">
        <v>0.60670676400000001</v>
      </c>
      <c r="K80" s="2">
        <v>254</v>
      </c>
    </row>
    <row r="81" spans="1:11" x14ac:dyDescent="0.25">
      <c r="A81" s="2" t="s">
        <v>209</v>
      </c>
      <c r="B81" s="149">
        <v>5.3333333333333011</v>
      </c>
      <c r="C81" s="236"/>
      <c r="D81" s="2">
        <v>3.3380000000000001</v>
      </c>
      <c r="E81" s="274"/>
      <c r="F81" s="274"/>
      <c r="G81" s="274"/>
      <c r="H81" s="233">
        <v>45039.875</v>
      </c>
      <c r="I81" s="147">
        <v>9.2401945999999899</v>
      </c>
      <c r="J81" s="147">
        <v>0.64345100399999999</v>
      </c>
      <c r="K81" s="2">
        <v>255</v>
      </c>
    </row>
    <row r="82" spans="1:11" x14ac:dyDescent="0.25">
      <c r="A82" s="2" t="s">
        <v>210</v>
      </c>
      <c r="B82" s="149">
        <v>6.4285714285715132</v>
      </c>
      <c r="C82" s="236"/>
      <c r="D82" s="2">
        <v>3.2010000000000001</v>
      </c>
      <c r="E82" s="274"/>
      <c r="F82" s="274"/>
      <c r="G82" s="274"/>
      <c r="H82" s="233">
        <v>45040.083333333336</v>
      </c>
      <c r="I82" s="147">
        <v>6.6271815599999897</v>
      </c>
      <c r="J82" s="147">
        <v>0.61361535199999995</v>
      </c>
      <c r="K82" s="2">
        <v>256</v>
      </c>
    </row>
    <row r="83" spans="1:11" x14ac:dyDescent="0.25">
      <c r="A83" s="2" t="s">
        <v>211</v>
      </c>
      <c r="B83" s="149">
        <v>6.4285714285713151</v>
      </c>
      <c r="C83" s="236"/>
      <c r="D83" s="2">
        <v>3.056</v>
      </c>
      <c r="E83" s="274"/>
      <c r="F83" s="274"/>
      <c r="G83" s="274"/>
      <c r="H83" s="233">
        <v>45040.291666666664</v>
      </c>
      <c r="I83" s="147">
        <v>6.83403183999999</v>
      </c>
      <c r="J83" s="147">
        <v>0.59474124799999994</v>
      </c>
      <c r="K83" s="2">
        <v>257</v>
      </c>
    </row>
    <row r="84" spans="1:11" x14ac:dyDescent="0.25">
      <c r="A84" s="2" t="s">
        <v>212</v>
      </c>
      <c r="B84" s="149">
        <v>14.193548387096822</v>
      </c>
      <c r="C84" s="236"/>
      <c r="D84" s="2">
        <v>3.0910000000000002</v>
      </c>
      <c r="E84" s="274"/>
      <c r="F84" s="274"/>
      <c r="G84" s="274"/>
      <c r="H84" s="233">
        <v>45040.5</v>
      </c>
      <c r="I84" s="147">
        <v>8.1550506400000007</v>
      </c>
      <c r="J84" s="147">
        <v>0.54444331199999996</v>
      </c>
      <c r="K84" s="2">
        <v>258</v>
      </c>
    </row>
    <row r="85" spans="1:11" x14ac:dyDescent="0.25">
      <c r="A85" s="2" t="s">
        <v>213</v>
      </c>
      <c r="B85" s="149">
        <v>14.736842105263287</v>
      </c>
      <c r="C85" s="236"/>
      <c r="D85" s="2">
        <v>3.26</v>
      </c>
      <c r="E85" s="274"/>
      <c r="F85" s="274"/>
      <c r="G85" s="274"/>
      <c r="H85" s="233">
        <v>45040.708333333336</v>
      </c>
      <c r="I85" s="147">
        <v>13.7088416</v>
      </c>
      <c r="J85" s="147">
        <v>0.67745766399999996</v>
      </c>
      <c r="K85" s="2">
        <v>259</v>
      </c>
    </row>
    <row r="86" spans="1:11" x14ac:dyDescent="0.25">
      <c r="A86" s="2" t="s">
        <v>214</v>
      </c>
      <c r="B86" s="149">
        <v>18.947368421052882</v>
      </c>
      <c r="C86" s="236"/>
      <c r="D86" s="2">
        <v>3.37</v>
      </c>
      <c r="E86" s="274"/>
      <c r="F86" s="274"/>
      <c r="G86" s="274"/>
      <c r="H86" s="233">
        <v>45040.916666666664</v>
      </c>
      <c r="I86" s="147">
        <v>10.1428473999999</v>
      </c>
      <c r="J86" s="147">
        <v>0.69879289999999905</v>
      </c>
      <c r="K86" s="2">
        <v>260</v>
      </c>
    </row>
    <row r="87" spans="1:11" x14ac:dyDescent="0.25">
      <c r="A87" s="2" t="s">
        <v>215</v>
      </c>
      <c r="B87" s="149">
        <v>26.086956521739157</v>
      </c>
      <c r="C87" s="236"/>
      <c r="D87" s="2">
        <v>3.246</v>
      </c>
      <c r="E87" s="274"/>
      <c r="F87" s="274"/>
      <c r="G87" s="274"/>
      <c r="H87" s="233">
        <v>45041.125</v>
      </c>
      <c r="I87" s="147">
        <v>8.9488770800000008</v>
      </c>
      <c r="J87" s="147">
        <v>0.63710624000000005</v>
      </c>
      <c r="K87" s="2">
        <v>261</v>
      </c>
    </row>
    <row r="88" spans="1:11" x14ac:dyDescent="0.25">
      <c r="A88" s="2" t="s">
        <v>216</v>
      </c>
      <c r="B88" s="149">
        <v>7.2727272727274812</v>
      </c>
      <c r="C88" s="236"/>
      <c r="D88" s="2">
        <v>2.9489999999999998</v>
      </c>
      <c r="E88" s="274"/>
      <c r="F88" s="274"/>
      <c r="G88" s="274"/>
      <c r="H88" s="233">
        <v>45041.333333333336</v>
      </c>
      <c r="I88" s="147">
        <v>8.6484638799999995</v>
      </c>
      <c r="J88" s="147">
        <v>0.61671400399999998</v>
      </c>
      <c r="K88" s="2">
        <v>262</v>
      </c>
    </row>
    <row r="89" spans="1:11" x14ac:dyDescent="0.25">
      <c r="A89" s="2" t="s">
        <v>217</v>
      </c>
      <c r="B89" s="149"/>
      <c r="C89" s="236"/>
      <c r="D89" s="2">
        <v>3.0939999999999999</v>
      </c>
      <c r="E89" s="274"/>
      <c r="F89" s="274"/>
      <c r="G89" s="274"/>
      <c r="H89" s="233">
        <v>45041.541666666664</v>
      </c>
      <c r="I89" s="147">
        <v>9.1187322399999999</v>
      </c>
      <c r="J89" s="147">
        <v>0.59804602399999995</v>
      </c>
      <c r="K89" s="2">
        <v>263</v>
      </c>
    </row>
    <row r="90" spans="1:11" x14ac:dyDescent="0.25">
      <c r="A90" s="2" t="s">
        <v>218</v>
      </c>
      <c r="B90" s="149">
        <v>5.3333333333333011</v>
      </c>
      <c r="C90" s="236"/>
      <c r="D90" s="2">
        <v>3.32</v>
      </c>
      <c r="E90" s="274"/>
      <c r="F90" s="274"/>
      <c r="G90" s="274"/>
      <c r="H90" s="233">
        <v>45041.75</v>
      </c>
      <c r="I90" s="147">
        <v>8.1289062039999997</v>
      </c>
      <c r="J90" s="147">
        <v>0.61784086400000005</v>
      </c>
      <c r="K90" s="2">
        <v>264</v>
      </c>
    </row>
    <row r="91" spans="1:11" x14ac:dyDescent="0.25">
      <c r="A91" s="2" t="s">
        <v>219</v>
      </c>
      <c r="B91" s="149">
        <v>5.0000000000000444</v>
      </c>
      <c r="C91" s="236"/>
      <c r="D91" s="2">
        <v>2.996</v>
      </c>
      <c r="E91" s="274"/>
      <c r="F91" s="274"/>
      <c r="G91" s="274"/>
      <c r="H91" s="233">
        <v>45041.958333333336</v>
      </c>
      <c r="I91" s="147">
        <v>7.2309412399999999</v>
      </c>
      <c r="J91" s="147">
        <v>0.60023069200000001</v>
      </c>
      <c r="K91" s="2">
        <v>265</v>
      </c>
    </row>
    <row r="92" spans="1:11" x14ac:dyDescent="0.25">
      <c r="A92" s="2" t="s">
        <v>220</v>
      </c>
      <c r="B92" s="149"/>
      <c r="C92" s="236"/>
      <c r="D92" s="2">
        <v>2.8530000000000002</v>
      </c>
      <c r="E92" s="274"/>
      <c r="F92" s="274"/>
      <c r="G92" s="274"/>
      <c r="H92" s="233">
        <v>45042.166666666664</v>
      </c>
      <c r="I92" s="147">
        <v>6.1800801999999999</v>
      </c>
      <c r="J92" s="147">
        <v>0.58027925199999997</v>
      </c>
      <c r="K92" s="2">
        <v>266</v>
      </c>
    </row>
    <row r="93" spans="1:11" x14ac:dyDescent="0.25">
      <c r="A93" s="2" t="s">
        <v>221</v>
      </c>
      <c r="B93" s="149">
        <v>22.012578616352222</v>
      </c>
      <c r="C93" s="236"/>
      <c r="D93" s="2">
        <v>3.2490000000000001</v>
      </c>
      <c r="E93" s="274"/>
      <c r="F93" s="274"/>
      <c r="G93" s="274"/>
      <c r="H93" s="233">
        <v>45042.583333333336</v>
      </c>
      <c r="I93" s="147">
        <v>7.1972571599999897</v>
      </c>
      <c r="J93" s="147">
        <v>0.55574581999999995</v>
      </c>
      <c r="K93" s="2">
        <v>267</v>
      </c>
    </row>
    <row r="94" spans="1:11" x14ac:dyDescent="0.25">
      <c r="A94" s="2" t="s">
        <v>222</v>
      </c>
      <c r="B94" s="149">
        <v>12.142857142857194</v>
      </c>
      <c r="C94" s="236"/>
      <c r="D94" s="2">
        <v>3.1539999999999999</v>
      </c>
      <c r="E94" s="274"/>
      <c r="F94" s="274"/>
      <c r="G94" s="274"/>
      <c r="H94" s="233">
        <v>45042.791666666664</v>
      </c>
      <c r="I94" s="147">
        <v>7.6360871199999902</v>
      </c>
      <c r="J94" s="147">
        <v>0.59034808000000005</v>
      </c>
      <c r="K94" s="2">
        <v>268</v>
      </c>
    </row>
    <row r="95" spans="1:11" x14ac:dyDescent="0.25">
      <c r="A95" s="2" t="s">
        <v>223</v>
      </c>
      <c r="B95" s="149">
        <v>10.666666666666602</v>
      </c>
      <c r="C95" s="236"/>
      <c r="D95" s="2">
        <v>3.069</v>
      </c>
      <c r="E95" s="274"/>
      <c r="F95" s="274"/>
      <c r="G95" s="274"/>
      <c r="H95" s="233">
        <v>45043</v>
      </c>
      <c r="I95" s="147">
        <v>6.68355736</v>
      </c>
      <c r="J95" s="147">
        <v>0.57754375599999996</v>
      </c>
      <c r="K95" s="2">
        <v>292</v>
      </c>
    </row>
    <row r="96" spans="1:11" x14ac:dyDescent="0.25">
      <c r="A96" s="2" t="s">
        <v>224</v>
      </c>
      <c r="B96" s="149">
        <v>5.2941176470588935</v>
      </c>
      <c r="C96" s="236"/>
      <c r="D96" s="2">
        <v>2.8119999999999998</v>
      </c>
      <c r="E96" s="274"/>
      <c r="F96" s="274"/>
      <c r="G96" s="274"/>
      <c r="H96" s="233">
        <v>45043.208333333336</v>
      </c>
      <c r="I96" s="147">
        <v>6.0356489199999999</v>
      </c>
      <c r="J96" s="147">
        <v>0.56059426400000001</v>
      </c>
      <c r="K96" s="2">
        <v>293</v>
      </c>
    </row>
    <row r="97" spans="1:11" x14ac:dyDescent="0.25">
      <c r="A97" s="2" t="s">
        <v>225</v>
      </c>
      <c r="B97" s="149">
        <v>4.1176470588235654</v>
      </c>
      <c r="C97" s="236"/>
      <c r="D97" s="2">
        <v>2.774</v>
      </c>
      <c r="E97" s="274"/>
      <c r="F97" s="274"/>
      <c r="G97" s="274"/>
      <c r="H97" s="233">
        <v>45043.416666666664</v>
      </c>
      <c r="I97" s="147">
        <v>7.2851257199999999</v>
      </c>
      <c r="J97" s="147">
        <v>0.542822888</v>
      </c>
      <c r="K97" s="2">
        <v>294</v>
      </c>
    </row>
    <row r="98" spans="1:11" x14ac:dyDescent="0.25">
      <c r="A98" s="2" t="s">
        <v>226</v>
      </c>
      <c r="B98" s="149">
        <v>8.1250000000001457</v>
      </c>
      <c r="C98" s="236"/>
      <c r="D98" s="2">
        <v>3.0510000000000002</v>
      </c>
      <c r="E98" s="274"/>
      <c r="F98" s="274"/>
      <c r="G98" s="274"/>
      <c r="H98" s="233">
        <v>45043.625</v>
      </c>
      <c r="I98" s="147">
        <v>8.6648960400000004</v>
      </c>
      <c r="J98" s="147">
        <v>0.57702389599999904</v>
      </c>
      <c r="K98" s="2">
        <v>295</v>
      </c>
    </row>
    <row r="99" spans="1:11" x14ac:dyDescent="0.25">
      <c r="A99" s="2" t="s">
        <v>227</v>
      </c>
      <c r="B99" s="149">
        <v>6.8750000000001101</v>
      </c>
      <c r="C99" s="236"/>
      <c r="D99" s="2">
        <v>3.2709999999999999</v>
      </c>
      <c r="E99" s="274"/>
      <c r="F99" s="274"/>
      <c r="G99" s="274"/>
      <c r="H99" s="233">
        <v>45043.833333333336</v>
      </c>
      <c r="I99" s="147">
        <v>10.076955359999999</v>
      </c>
      <c r="J99" s="147">
        <v>0.69683061199999896</v>
      </c>
      <c r="K99" s="2">
        <v>296</v>
      </c>
    </row>
    <row r="100" spans="1:11" x14ac:dyDescent="0.25">
      <c r="A100" s="2" t="s">
        <v>228</v>
      </c>
      <c r="B100" s="149">
        <v>4.8275862068965933</v>
      </c>
      <c r="C100" s="236"/>
      <c r="D100" s="2">
        <v>3.2989999999999999</v>
      </c>
      <c r="E100" s="274"/>
      <c r="F100" s="274"/>
      <c r="G100" s="274"/>
      <c r="H100" s="233">
        <v>45044.041666666664</v>
      </c>
      <c r="I100" s="147">
        <v>7.5388328024</v>
      </c>
      <c r="J100" s="147">
        <v>0.649056788</v>
      </c>
      <c r="K100" s="2">
        <v>297</v>
      </c>
    </row>
    <row r="101" spans="1:11" x14ac:dyDescent="0.25">
      <c r="A101" s="2" t="s">
        <v>229</v>
      </c>
      <c r="B101" s="149">
        <v>2.3529411764706558</v>
      </c>
      <c r="C101" s="236"/>
      <c r="D101" s="2">
        <v>2.8559999999999999</v>
      </c>
      <c r="E101" s="274"/>
      <c r="F101" s="274"/>
      <c r="G101" s="274"/>
      <c r="H101" s="233">
        <v>45044.25</v>
      </c>
      <c r="I101" s="147">
        <v>8.1453577599999996</v>
      </c>
      <c r="J101" s="147">
        <v>0.61863771199999995</v>
      </c>
      <c r="K101" s="2">
        <v>298</v>
      </c>
    </row>
    <row r="102" spans="1:11" x14ac:dyDescent="0.25">
      <c r="A102" s="2" t="s">
        <v>230</v>
      </c>
      <c r="B102" s="149">
        <v>5.3333333333333011</v>
      </c>
      <c r="C102" s="236"/>
      <c r="D102" s="2">
        <v>2.7429999999999999</v>
      </c>
      <c r="E102" s="274"/>
      <c r="F102" s="274"/>
      <c r="G102" s="274"/>
      <c r="H102" s="233">
        <v>45044.458333333336</v>
      </c>
      <c r="I102" s="147">
        <v>7.4115104000000001</v>
      </c>
      <c r="J102" s="147">
        <v>0.55664535599999998</v>
      </c>
      <c r="K102" s="2">
        <v>299</v>
      </c>
    </row>
    <row r="103" spans="1:11" x14ac:dyDescent="0.25">
      <c r="A103" s="2" t="s">
        <v>231</v>
      </c>
      <c r="B103" s="149">
        <v>5.2941176470587292</v>
      </c>
      <c r="C103" s="236"/>
      <c r="D103" s="2">
        <v>2.7890000000000001</v>
      </c>
      <c r="E103" s="274"/>
      <c r="F103" s="274"/>
      <c r="G103" s="274"/>
      <c r="H103" s="233">
        <v>45044.666666666664</v>
      </c>
      <c r="I103" s="147">
        <v>6.8345387903999999</v>
      </c>
      <c r="J103" s="147">
        <v>0.59644744000000005</v>
      </c>
      <c r="K103" s="2">
        <v>300</v>
      </c>
    </row>
    <row r="104" spans="1:11" x14ac:dyDescent="0.25">
      <c r="A104" s="2" t="s">
        <v>232</v>
      </c>
      <c r="B104" s="149">
        <v>3.2258064516129061</v>
      </c>
      <c r="C104" s="236"/>
      <c r="D104" s="2">
        <v>2.8090000000000002</v>
      </c>
      <c r="E104" s="274"/>
      <c r="F104" s="274"/>
      <c r="G104" s="274"/>
      <c r="H104" s="233">
        <v>45044.875</v>
      </c>
      <c r="I104" s="147">
        <v>7.9445271199999903</v>
      </c>
      <c r="J104" s="147">
        <v>0.61181387599999904</v>
      </c>
      <c r="K104" s="2">
        <v>301</v>
      </c>
    </row>
    <row r="105" spans="1:11" x14ac:dyDescent="0.25">
      <c r="A105" s="2" t="s">
        <v>233</v>
      </c>
      <c r="B105" s="149">
        <v>0</v>
      </c>
      <c r="C105" s="236"/>
      <c r="D105" s="2">
        <v>2.6989999999999998</v>
      </c>
      <c r="E105" s="274"/>
      <c r="F105" s="274"/>
      <c r="G105" s="274"/>
      <c r="H105" s="233">
        <v>45045.083333333336</v>
      </c>
      <c r="I105" s="147">
        <v>7.4290512799999897</v>
      </c>
      <c r="J105" s="147">
        <v>0.59254014799999999</v>
      </c>
      <c r="K105" s="2">
        <v>315</v>
      </c>
    </row>
    <row r="106" spans="1:11" x14ac:dyDescent="0.25">
      <c r="A106" s="2" t="s">
        <v>234</v>
      </c>
      <c r="B106" s="149">
        <v>3.3333333333333361</v>
      </c>
      <c r="C106" s="236"/>
      <c r="D106" s="2">
        <v>2.8239999999999998</v>
      </c>
      <c r="E106" s="274"/>
      <c r="F106" s="274"/>
      <c r="G106" s="274"/>
      <c r="H106" s="233">
        <v>45045.291666666664</v>
      </c>
      <c r="I106" s="147">
        <v>5.25875556</v>
      </c>
      <c r="J106" s="147">
        <v>0.57737382399999904</v>
      </c>
      <c r="K106" s="2">
        <v>316</v>
      </c>
    </row>
    <row r="107" spans="1:11" x14ac:dyDescent="0.25">
      <c r="A107" s="2" t="s">
        <v>235</v>
      </c>
      <c r="B107" s="149">
        <v>5.3333333333333011</v>
      </c>
      <c r="C107" s="236"/>
      <c r="D107" s="2">
        <v>2.6429999999999998</v>
      </c>
      <c r="E107" s="274"/>
      <c r="F107" s="274"/>
      <c r="G107" s="274"/>
      <c r="H107" s="233">
        <v>45045.5</v>
      </c>
      <c r="I107" s="147">
        <v>6.4666904799999898</v>
      </c>
      <c r="J107" s="147">
        <v>0.53414629599999996</v>
      </c>
      <c r="K107" s="2">
        <v>317</v>
      </c>
    </row>
    <row r="108" spans="1:11" x14ac:dyDescent="0.25">
      <c r="A108" s="2" t="s">
        <v>236</v>
      </c>
      <c r="B108" s="149">
        <v>12.666666666666567</v>
      </c>
      <c r="C108" s="236"/>
      <c r="D108" s="2">
        <v>2.9510000000000001</v>
      </c>
      <c r="E108" s="274"/>
      <c r="F108" s="274"/>
      <c r="G108" s="274"/>
      <c r="H108" s="233">
        <v>45045.708333333336</v>
      </c>
      <c r="I108" s="147">
        <v>14.551988908</v>
      </c>
      <c r="J108" s="147">
        <v>0.66348383200000005</v>
      </c>
      <c r="K108" s="2">
        <v>318</v>
      </c>
    </row>
    <row r="109" spans="1:11" x14ac:dyDescent="0.25">
      <c r="A109" s="2" t="s">
        <v>237</v>
      </c>
      <c r="B109" s="149">
        <v>10.666666666666787</v>
      </c>
      <c r="C109" s="236"/>
      <c r="D109" s="2">
        <v>3.1309999999999998</v>
      </c>
      <c r="E109" s="274"/>
      <c r="F109" s="274"/>
      <c r="G109" s="274"/>
      <c r="H109" s="233">
        <v>45045.916666666664</v>
      </c>
      <c r="I109" s="147">
        <v>8.8853135287999994</v>
      </c>
      <c r="J109" s="147">
        <v>0.83292446799999997</v>
      </c>
      <c r="K109" s="2">
        <v>319</v>
      </c>
    </row>
    <row r="110" spans="1:11" x14ac:dyDescent="0.25">
      <c r="A110" s="2" t="s">
        <v>238</v>
      </c>
      <c r="B110" s="149">
        <v>7.8571428571427848</v>
      </c>
      <c r="C110" s="236"/>
      <c r="D110" s="2">
        <v>2.8330000000000002</v>
      </c>
      <c r="E110" s="274"/>
      <c r="F110" s="274"/>
      <c r="G110" s="274"/>
      <c r="H110" s="233">
        <v>45046.125</v>
      </c>
      <c r="I110" s="147">
        <v>11.209641884</v>
      </c>
      <c r="J110" s="147">
        <v>0.71647227599999996</v>
      </c>
      <c r="K110" s="2">
        <v>320</v>
      </c>
    </row>
    <row r="111" spans="1:11" x14ac:dyDescent="0.25">
      <c r="A111" s="2" t="s">
        <v>239</v>
      </c>
      <c r="B111" s="149">
        <v>8.6666666666666377</v>
      </c>
      <c r="C111" s="236"/>
      <c r="D111" s="2">
        <v>2.7509999999999999</v>
      </c>
      <c r="E111" s="274"/>
      <c r="F111" s="274"/>
      <c r="G111" s="274"/>
      <c r="H111" s="233">
        <v>45046.333333333336</v>
      </c>
      <c r="I111" s="147">
        <v>10.423064119999999</v>
      </c>
      <c r="J111" s="147">
        <v>0.64374088399999996</v>
      </c>
      <c r="K111" s="2">
        <v>321</v>
      </c>
    </row>
    <row r="112" spans="1:11" x14ac:dyDescent="0.25">
      <c r="A112" s="2" t="s">
        <v>240</v>
      </c>
      <c r="B112" s="149">
        <v>9.3750000000000089</v>
      </c>
      <c r="C112" s="236"/>
      <c r="D112" s="2">
        <v>2.8889999999999998</v>
      </c>
      <c r="E112" s="274"/>
      <c r="F112" s="274"/>
      <c r="G112" s="274"/>
      <c r="H112" s="233">
        <v>45046.541666666664</v>
      </c>
      <c r="I112" s="147">
        <v>8.3597602844000001</v>
      </c>
      <c r="J112" s="147">
        <v>0.60178064399999998</v>
      </c>
      <c r="K112" s="2">
        <v>322</v>
      </c>
    </row>
    <row r="113" spans="1:11" x14ac:dyDescent="0.25">
      <c r="A113" s="2" t="s">
        <v>241</v>
      </c>
      <c r="B113" s="149">
        <v>41.999999999999993</v>
      </c>
      <c r="C113" s="236"/>
      <c r="D113" s="2">
        <v>3.7759999999999998</v>
      </c>
      <c r="E113" s="274"/>
      <c r="F113" s="274"/>
      <c r="G113" s="274"/>
      <c r="H113" s="233">
        <v>45046.75</v>
      </c>
      <c r="I113" s="147">
        <v>43.856735999999998</v>
      </c>
      <c r="J113" s="147">
        <v>0.91321567999999997</v>
      </c>
      <c r="K113" s="2">
        <v>323</v>
      </c>
    </row>
    <row r="114" spans="1:11" x14ac:dyDescent="0.25">
      <c r="A114" s="2" t="s">
        <v>242</v>
      </c>
      <c r="B114" s="149">
        <v>17.419354838709729</v>
      </c>
      <c r="C114" s="236"/>
      <c r="D114" s="2">
        <v>3.4470000000000001</v>
      </c>
      <c r="E114" s="274"/>
      <c r="F114" s="274"/>
      <c r="G114" s="274"/>
      <c r="H114" s="233">
        <v>45046.958333333336</v>
      </c>
      <c r="I114" s="147">
        <v>16.958527199999999</v>
      </c>
      <c r="J114" s="147">
        <v>0.98583381199999998</v>
      </c>
      <c r="K114" s="2">
        <v>324</v>
      </c>
    </row>
    <row r="115" spans="1:11" x14ac:dyDescent="0.25">
      <c r="A115" s="2" t="s">
        <v>243</v>
      </c>
      <c r="B115" s="149">
        <v>6.6666666666666723</v>
      </c>
      <c r="C115" s="236"/>
      <c r="D115" s="2">
        <v>3.1629999999999998</v>
      </c>
      <c r="E115" s="274"/>
      <c r="F115" s="274"/>
      <c r="G115" s="274"/>
      <c r="H115" s="233">
        <v>45047.166666666664</v>
      </c>
      <c r="I115" s="147">
        <v>12.384886399999999</v>
      </c>
      <c r="J115" s="147">
        <v>0.82808364799999901</v>
      </c>
      <c r="K115" s="2">
        <v>325</v>
      </c>
    </row>
    <row r="116" spans="1:11" x14ac:dyDescent="0.25">
      <c r="A116" s="2" t="s">
        <v>244</v>
      </c>
      <c r="B116" s="149">
        <v>2.5000000000000715</v>
      </c>
      <c r="C116" s="236"/>
      <c r="D116" s="2">
        <v>2.9590000000000001</v>
      </c>
      <c r="E116" s="274"/>
      <c r="F116" s="274"/>
      <c r="G116" s="274"/>
      <c r="H116" s="233">
        <v>45047.375</v>
      </c>
      <c r="I116" s="147">
        <v>11.245605614480001</v>
      </c>
      <c r="J116" s="147">
        <v>0.70318841200000004</v>
      </c>
      <c r="K116" s="2">
        <v>326</v>
      </c>
    </row>
    <row r="117" spans="1:11" x14ac:dyDescent="0.25">
      <c r="A117" s="2" t="s">
        <v>245</v>
      </c>
      <c r="B117" s="149">
        <v>6.000000000000079</v>
      </c>
      <c r="C117" s="236"/>
      <c r="D117" s="2">
        <v>3.1480000000000001</v>
      </c>
      <c r="E117" s="274"/>
      <c r="F117" s="274"/>
      <c r="G117" s="274"/>
      <c r="H117" s="233">
        <v>45047.583333333336</v>
      </c>
      <c r="I117" s="147">
        <v>13.655055599999899</v>
      </c>
      <c r="J117" s="147">
        <v>0.67487072000000004</v>
      </c>
      <c r="K117" s="2">
        <v>327</v>
      </c>
    </row>
    <row r="118" spans="1:11" x14ac:dyDescent="0.25">
      <c r="A118" s="2" t="s">
        <v>246</v>
      </c>
      <c r="B118" s="149">
        <v>22.142857142857082</v>
      </c>
      <c r="C118" s="236">
        <v>2.2897902812448567</v>
      </c>
      <c r="D118" s="2">
        <v>3.5409999999999999</v>
      </c>
      <c r="E118" s="274"/>
      <c r="F118" s="274"/>
      <c r="G118" s="274"/>
      <c r="H118" s="233">
        <v>45047.833333333336</v>
      </c>
      <c r="I118" s="147">
        <v>22.0529236</v>
      </c>
      <c r="J118" s="147">
        <v>0.97117030400000004</v>
      </c>
      <c r="K118" s="2">
        <v>343</v>
      </c>
    </row>
    <row r="119" spans="1:11" x14ac:dyDescent="0.25">
      <c r="A119" s="2" t="s">
        <v>247</v>
      </c>
      <c r="B119" s="149">
        <v>10.000000000000009</v>
      </c>
      <c r="C119" s="236"/>
      <c r="D119" s="2">
        <v>3.0760000000000001</v>
      </c>
      <c r="E119" s="274"/>
      <c r="F119" s="274"/>
      <c r="G119" s="274"/>
      <c r="H119" s="233">
        <v>45048.125</v>
      </c>
      <c r="I119" s="147">
        <v>12.440960799999999</v>
      </c>
      <c r="J119" s="147">
        <v>0.82063311999999999</v>
      </c>
      <c r="K119" s="2">
        <v>344</v>
      </c>
    </row>
    <row r="120" spans="1:11" x14ac:dyDescent="0.25">
      <c r="A120" s="2" t="s">
        <v>248</v>
      </c>
      <c r="B120" s="149">
        <v>6.4285714285713151</v>
      </c>
      <c r="C120" s="236"/>
      <c r="D120" s="2">
        <v>2.8559999999999999</v>
      </c>
      <c r="E120" s="274"/>
      <c r="F120" s="274"/>
      <c r="G120" s="274"/>
      <c r="H120" s="233">
        <v>45048.416666666664</v>
      </c>
      <c r="I120" s="147">
        <v>9.0430761999999998</v>
      </c>
      <c r="J120" s="147">
        <v>0.66461490000000001</v>
      </c>
      <c r="K120" s="2">
        <v>345</v>
      </c>
    </row>
    <row r="121" spans="1:11" x14ac:dyDescent="0.25">
      <c r="A121" s="2" t="s">
        <v>249</v>
      </c>
      <c r="B121" s="239">
        <v>18.000000000000053</v>
      </c>
      <c r="C121" s="240"/>
      <c r="D121" s="39">
        <v>2.9209999999999998</v>
      </c>
      <c r="E121" s="274"/>
      <c r="F121" s="274"/>
      <c r="G121" s="274"/>
      <c r="H121" s="242">
        <v>45048.708333333336</v>
      </c>
      <c r="I121" s="147">
        <v>11.007816999999999</v>
      </c>
      <c r="J121" s="147">
        <v>0.72370817200000004</v>
      </c>
      <c r="K121" s="39">
        <v>346</v>
      </c>
    </row>
    <row r="122" spans="1:11" x14ac:dyDescent="0.25">
      <c r="A122" s="2" t="s">
        <v>250</v>
      </c>
      <c r="B122" s="239">
        <v>9.3333333333334156</v>
      </c>
      <c r="C122" s="240"/>
      <c r="D122" s="39">
        <v>3.0609999999999999</v>
      </c>
      <c r="E122" s="274"/>
      <c r="F122" s="274"/>
      <c r="G122" s="274"/>
      <c r="H122" s="242">
        <v>45049</v>
      </c>
      <c r="I122" s="147">
        <v>9.7772273199999997</v>
      </c>
      <c r="J122" s="147">
        <v>0.771403536</v>
      </c>
      <c r="K122" s="39">
        <v>347</v>
      </c>
    </row>
    <row r="123" spans="1:11" x14ac:dyDescent="0.25">
      <c r="A123" s="2" t="s">
        <v>251</v>
      </c>
      <c r="B123" s="239">
        <v>5.7142857142856798</v>
      </c>
      <c r="C123" s="240"/>
      <c r="D123" s="39">
        <v>2.823</v>
      </c>
      <c r="E123" s="274"/>
      <c r="F123" s="274"/>
      <c r="G123" s="274"/>
      <c r="H123" s="242">
        <v>45049.291666666664</v>
      </c>
      <c r="I123" s="147">
        <v>8.0378636399999994</v>
      </c>
      <c r="J123" s="147">
        <v>0.65167801599999997</v>
      </c>
      <c r="K123" s="39">
        <v>348</v>
      </c>
    </row>
    <row r="124" spans="1:11" x14ac:dyDescent="0.25">
      <c r="A124" s="2" t="s">
        <v>252</v>
      </c>
      <c r="B124" s="149">
        <v>2.8571428571429389</v>
      </c>
      <c r="C124" s="236"/>
      <c r="D124" s="2">
        <v>2.923</v>
      </c>
      <c r="E124" s="274"/>
      <c r="F124" s="274"/>
      <c r="G124" s="274"/>
      <c r="H124" s="233">
        <v>45049.583333333336</v>
      </c>
      <c r="I124" s="147">
        <v>10.11803948328</v>
      </c>
      <c r="J124" s="147">
        <v>0.62427880800000002</v>
      </c>
      <c r="K124" s="2">
        <v>349</v>
      </c>
    </row>
    <row r="125" spans="1:11" x14ac:dyDescent="0.25">
      <c r="A125" s="2" t="s">
        <v>253</v>
      </c>
      <c r="B125" s="149">
        <v>20.666666666666611</v>
      </c>
      <c r="C125" s="236">
        <v>3.1546349152673332</v>
      </c>
      <c r="D125" s="2">
        <v>3.5110000000000001</v>
      </c>
      <c r="E125" s="274"/>
      <c r="F125" s="274"/>
      <c r="G125" s="274"/>
      <c r="H125" s="233">
        <v>45049.833333333336</v>
      </c>
      <c r="I125" s="147">
        <v>20.03069</v>
      </c>
      <c r="J125" s="147">
        <v>0.93434271999999996</v>
      </c>
      <c r="K125" s="2">
        <v>350</v>
      </c>
    </row>
    <row r="126" spans="1:11" x14ac:dyDescent="0.25">
      <c r="A126" s="2" t="s">
        <v>254</v>
      </c>
      <c r="B126" s="149">
        <v>11.87500000000008</v>
      </c>
      <c r="C126" s="236">
        <v>2.2311544928160623</v>
      </c>
      <c r="D126" s="2">
        <v>3.1459999999999999</v>
      </c>
      <c r="E126" s="274"/>
      <c r="F126" s="274"/>
      <c r="G126" s="274"/>
      <c r="H126" s="233">
        <v>45050.083333333336</v>
      </c>
      <c r="I126" s="147">
        <v>10.664316599999999</v>
      </c>
      <c r="J126" s="147">
        <v>0.81794674000000001</v>
      </c>
      <c r="K126" s="2">
        <v>351</v>
      </c>
    </row>
    <row r="127" spans="1:11" x14ac:dyDescent="0.25">
      <c r="A127" s="2" t="s">
        <v>255</v>
      </c>
      <c r="B127" s="149">
        <v>2.8571428571429389</v>
      </c>
      <c r="C127" s="236"/>
      <c r="D127" s="2">
        <v>2.8879999999999999</v>
      </c>
      <c r="E127" s="274"/>
      <c r="F127" s="274"/>
      <c r="G127" s="274"/>
      <c r="H127" s="233">
        <v>45050.333333333336</v>
      </c>
      <c r="I127" s="147">
        <v>9.0879493359999994</v>
      </c>
      <c r="J127" s="147">
        <v>0.69204235599999997</v>
      </c>
      <c r="K127" s="2">
        <v>352</v>
      </c>
    </row>
    <row r="128" spans="1:11" x14ac:dyDescent="0.25">
      <c r="A128" s="2" t="s">
        <v>256</v>
      </c>
      <c r="B128" s="149">
        <v>4.6666666666667078</v>
      </c>
      <c r="C128" s="236"/>
      <c r="D128" s="2">
        <v>2.9329999999999998</v>
      </c>
      <c r="E128" s="274"/>
      <c r="F128" s="274"/>
      <c r="G128" s="274"/>
      <c r="H128" s="233">
        <v>45050.083333333336</v>
      </c>
      <c r="I128" s="147">
        <v>10.664316599999999</v>
      </c>
      <c r="J128" s="147">
        <v>0.81794674000000001</v>
      </c>
      <c r="K128" s="2">
        <v>353</v>
      </c>
    </row>
    <row r="129" spans="1:11" x14ac:dyDescent="0.25">
      <c r="A129" s="2" t="s">
        <v>257</v>
      </c>
      <c r="B129" s="149">
        <v>8.7500000000000764</v>
      </c>
      <c r="C129" s="236"/>
      <c r="D129" s="2">
        <v>3.1819999999999999</v>
      </c>
      <c r="E129" s="274"/>
      <c r="F129" s="274"/>
      <c r="G129" s="274"/>
      <c r="H129" s="233">
        <v>45050.708333333336</v>
      </c>
      <c r="I129" s="147">
        <v>15.2589617119999</v>
      </c>
      <c r="J129" s="147">
        <v>0.78517861599999905</v>
      </c>
      <c r="K129" s="2">
        <v>354</v>
      </c>
    </row>
    <row r="130" spans="1:11" x14ac:dyDescent="0.25">
      <c r="A130" s="2" t="s">
        <v>258</v>
      </c>
      <c r="B130" s="149">
        <v>9.3333333333334156</v>
      </c>
      <c r="C130" s="236"/>
      <c r="D130" s="2">
        <v>3.2719999999999998</v>
      </c>
      <c r="E130" s="274"/>
      <c r="F130" s="274"/>
      <c r="G130" s="274"/>
      <c r="H130" s="233">
        <v>45050.958333333336</v>
      </c>
      <c r="I130" s="147">
        <v>9.9651312127999994</v>
      </c>
      <c r="J130" s="147">
        <v>0.80451119999999998</v>
      </c>
      <c r="K130" s="2">
        <v>355</v>
      </c>
    </row>
    <row r="131" spans="1:11" x14ac:dyDescent="0.25">
      <c r="A131" s="2" t="s">
        <v>259</v>
      </c>
      <c r="B131" s="149">
        <v>7.1428571428571495</v>
      </c>
      <c r="C131" s="236"/>
      <c r="D131" s="2">
        <v>3.0419999999999998</v>
      </c>
      <c r="E131" s="274"/>
      <c r="F131" s="274"/>
      <c r="G131" s="274"/>
      <c r="H131" s="233">
        <v>45051.083333333336</v>
      </c>
      <c r="I131" s="147">
        <v>8.4859850784000006</v>
      </c>
      <c r="J131" s="147">
        <v>0.72139595199999995</v>
      </c>
      <c r="K131" s="2">
        <v>356</v>
      </c>
    </row>
    <row r="132" spans="1:11" x14ac:dyDescent="0.25">
      <c r="A132" s="1" t="s">
        <v>343</v>
      </c>
      <c r="B132" s="164">
        <v>3.4553255204584259</v>
      </c>
      <c r="C132" s="12">
        <v>1.1019061775871013</v>
      </c>
      <c r="D132" s="1">
        <v>2.1269999999999998</v>
      </c>
      <c r="E132" s="1">
        <v>5.1576641217063925E-5</v>
      </c>
      <c r="F132" s="1">
        <v>2.3E-2</v>
      </c>
      <c r="G132" s="1">
        <v>0.03</v>
      </c>
      <c r="H132" s="267">
        <v>0.72638888888888886</v>
      </c>
      <c r="I132" s="252"/>
      <c r="J132" s="252"/>
      <c r="K132" s="1" t="s">
        <v>359</v>
      </c>
    </row>
    <row r="133" spans="1:11" x14ac:dyDescent="0.25">
      <c r="A133" s="1" t="s">
        <v>344</v>
      </c>
      <c r="B133" s="164">
        <v>19.697185438321707</v>
      </c>
      <c r="C133" s="12">
        <v>0.74367490551410131</v>
      </c>
      <c r="D133" s="1">
        <v>1.3859999999999999</v>
      </c>
      <c r="E133" s="1">
        <v>2.9040962645844913E-4</v>
      </c>
      <c r="F133" s="1">
        <v>2.1999999999999999E-2</v>
      </c>
      <c r="G133" s="1">
        <v>3.9E-2</v>
      </c>
      <c r="H133" s="267">
        <v>0.72849999999999882</v>
      </c>
      <c r="I133" s="252"/>
      <c r="J133" s="252"/>
      <c r="K133" s="1" t="s">
        <v>360</v>
      </c>
    </row>
    <row r="134" spans="1:11" x14ac:dyDescent="0.25">
      <c r="A134" s="1" t="s">
        <v>345</v>
      </c>
      <c r="B134" s="164">
        <v>52.651576833306279</v>
      </c>
      <c r="C134" s="12">
        <v>8.5089648231025521</v>
      </c>
      <c r="D134" s="1">
        <v>1.5820000000000001</v>
      </c>
      <c r="E134" s="1">
        <v>6.6106276627512963E-4</v>
      </c>
      <c r="F134" s="1">
        <v>2.4E-2</v>
      </c>
      <c r="G134" s="1">
        <v>4.5999999999999999E-2</v>
      </c>
      <c r="H134" s="267">
        <v>0.73061111111110877</v>
      </c>
      <c r="I134" s="252"/>
      <c r="J134" s="252"/>
      <c r="K134" s="1" t="s">
        <v>361</v>
      </c>
    </row>
    <row r="135" spans="1:11" x14ac:dyDescent="0.25">
      <c r="A135" s="1" t="s">
        <v>346</v>
      </c>
      <c r="B135" s="164">
        <v>89.933968747198861</v>
      </c>
      <c r="C135" s="12">
        <v>10.416461895026821</v>
      </c>
      <c r="D135" s="1">
        <v>1.643</v>
      </c>
      <c r="E135" s="1">
        <v>2.2224172067829232E-3</v>
      </c>
      <c r="F135" s="1">
        <v>2.1999999999999999E-2</v>
      </c>
      <c r="G135" s="1">
        <v>7.1999999999999995E-2</v>
      </c>
      <c r="H135" s="267">
        <v>0.73272222222221872</v>
      </c>
      <c r="I135" s="252"/>
      <c r="J135" s="252"/>
      <c r="K135" s="1" t="s">
        <v>362</v>
      </c>
    </row>
    <row r="136" spans="1:11" x14ac:dyDescent="0.25">
      <c r="A136" s="1" t="s">
        <v>347</v>
      </c>
      <c r="B136" s="164">
        <v>73.619940199502565</v>
      </c>
      <c r="C136" s="12">
        <v>9.7361003162332729</v>
      </c>
      <c r="D136" s="1">
        <v>1.5389999999999999</v>
      </c>
      <c r="E136" s="1">
        <v>2.0552078586848492E-3</v>
      </c>
      <c r="F136" s="1">
        <v>1.9E-2</v>
      </c>
      <c r="G136" s="1">
        <v>8.1000000000000003E-2</v>
      </c>
      <c r="H136" s="267">
        <v>0.73483333333332868</v>
      </c>
      <c r="I136" s="252"/>
      <c r="J136" s="252"/>
      <c r="K136" s="1" t="s">
        <v>363</v>
      </c>
    </row>
    <row r="137" spans="1:11" x14ac:dyDescent="0.25">
      <c r="A137" s="1" t="s">
        <v>348</v>
      </c>
      <c r="B137" s="164">
        <v>240.0916933100078</v>
      </c>
      <c r="C137" s="12">
        <v>38.658748032082819</v>
      </c>
      <c r="D137" s="1">
        <v>1.502</v>
      </c>
      <c r="E137" s="1">
        <v>2.3927254516111322E-3</v>
      </c>
      <c r="F137" s="1">
        <v>1.7999999999999999E-2</v>
      </c>
      <c r="G137" s="1">
        <v>0.11799999999999999</v>
      </c>
      <c r="H137" s="267">
        <v>0.73694444444443863</v>
      </c>
      <c r="I137" s="252"/>
      <c r="J137" s="252"/>
      <c r="K137" s="1" t="s">
        <v>364</v>
      </c>
    </row>
    <row r="138" spans="1:11" x14ac:dyDescent="0.25">
      <c r="A138" s="1" t="s">
        <v>349</v>
      </c>
      <c r="B138" s="164">
        <v>73.574494175352541</v>
      </c>
      <c r="C138" s="12">
        <v>6.3447902158703471</v>
      </c>
      <c r="D138" s="1">
        <v>1.46</v>
      </c>
      <c r="E138" s="1">
        <v>2.5382950090458741E-4</v>
      </c>
      <c r="F138" s="1">
        <v>1.9E-2</v>
      </c>
      <c r="G138" s="1">
        <v>0.05</v>
      </c>
      <c r="H138" s="267">
        <v>0.73905555555554858</v>
      </c>
      <c r="I138" s="252"/>
      <c r="J138" s="252"/>
      <c r="K138" s="1" t="s">
        <v>365</v>
      </c>
    </row>
    <row r="139" spans="1:11" x14ac:dyDescent="0.25">
      <c r="A139" s="1" t="s">
        <v>350</v>
      </c>
      <c r="B139" s="164">
        <v>20.816385127051692</v>
      </c>
      <c r="C139" s="12">
        <v>1.9795058998944075</v>
      </c>
      <c r="D139" s="1">
        <v>1.4370000000000001</v>
      </c>
      <c r="E139" s="1">
        <v>3.8420401139033575E-4</v>
      </c>
      <c r="F139" s="1">
        <v>1.9E-2</v>
      </c>
      <c r="G139" s="1">
        <v>3.3000000000000002E-2</v>
      </c>
      <c r="H139" s="267">
        <v>0.74116666666665854</v>
      </c>
      <c r="I139" s="252"/>
      <c r="J139" s="252"/>
      <c r="K139" s="1" t="s">
        <v>366</v>
      </c>
    </row>
    <row r="140" spans="1:11" x14ac:dyDescent="0.25">
      <c r="A140" s="1" t="s">
        <v>351</v>
      </c>
      <c r="B140" s="164">
        <v>17.667101333445487</v>
      </c>
      <c r="C140" s="12">
        <v>3.219264329662352</v>
      </c>
      <c r="D140" s="1">
        <v>1.6559999999999999</v>
      </c>
      <c r="E140" s="1">
        <v>4.6887855651876298E-5</v>
      </c>
      <c r="F140" s="1">
        <v>1.9E-2</v>
      </c>
      <c r="G140" s="1">
        <v>0.03</v>
      </c>
      <c r="H140" s="267">
        <v>0.74327777777776849</v>
      </c>
      <c r="I140" s="252"/>
      <c r="J140" s="252"/>
      <c r="K140" s="1" t="s">
        <v>367</v>
      </c>
    </row>
    <row r="141" spans="1:11" x14ac:dyDescent="0.25">
      <c r="A141" s="1" t="s">
        <v>352</v>
      </c>
      <c r="B141" s="164">
        <v>15.963635379745167</v>
      </c>
      <c r="C141" s="12">
        <v>3.005177966008191</v>
      </c>
      <c r="D141" s="1">
        <v>1.7370000000000001</v>
      </c>
      <c r="E141" s="1">
        <v>1.2779120936401461E-4</v>
      </c>
      <c r="F141" s="1">
        <v>2.1000000000000001E-2</v>
      </c>
      <c r="G141" s="1">
        <v>2.7E-2</v>
      </c>
      <c r="H141" s="267">
        <v>0.74538888888887844</v>
      </c>
      <c r="I141" s="252"/>
      <c r="J141" s="252"/>
      <c r="K141" s="1" t="s">
        <v>368</v>
      </c>
    </row>
    <row r="142" spans="1:11" x14ac:dyDescent="0.25">
      <c r="A142" s="1" t="s">
        <v>353</v>
      </c>
      <c r="B142" s="164">
        <v>7.0668603509873824</v>
      </c>
      <c r="C142" s="12">
        <v>1.5626443518739146</v>
      </c>
      <c r="D142" s="1">
        <v>1.4590000000000001</v>
      </c>
      <c r="E142" s="1">
        <v>4.4474966741118462E-6</v>
      </c>
      <c r="F142" s="1">
        <v>2.1999999999999999E-2</v>
      </c>
      <c r="G142" s="1">
        <v>2.7E-2</v>
      </c>
      <c r="H142" s="267">
        <v>0.7474999999999884</v>
      </c>
      <c r="I142" s="252"/>
      <c r="J142" s="252"/>
      <c r="K142" s="1" t="s">
        <v>369</v>
      </c>
    </row>
    <row r="143" spans="1:11" x14ac:dyDescent="0.25">
      <c r="A143" s="1" t="s">
        <v>354</v>
      </c>
      <c r="B143" s="164">
        <v>12.436951564983044</v>
      </c>
      <c r="C143" s="12">
        <v>2.8765823670330759</v>
      </c>
      <c r="D143" s="1">
        <v>1.6379999999999999</v>
      </c>
      <c r="E143" s="1">
        <v>4.6887855651876298E-5</v>
      </c>
      <c r="F143" s="1">
        <v>1.9E-2</v>
      </c>
      <c r="G143" s="1">
        <v>2.5999999999999999E-2</v>
      </c>
      <c r="H143" s="267">
        <v>0.74961111111109835</v>
      </c>
      <c r="I143" s="252"/>
      <c r="J143" s="252"/>
      <c r="K143" s="1" t="s">
        <v>370</v>
      </c>
    </row>
    <row r="144" spans="1:11" x14ac:dyDescent="0.25">
      <c r="A144" s="1" t="s">
        <v>355</v>
      </c>
      <c r="B144" s="164">
        <v>8.095527221210272</v>
      </c>
      <c r="C144" s="12">
        <v>2.2126150321267626</v>
      </c>
      <c r="D144" s="1">
        <v>1.7050000000000001</v>
      </c>
      <c r="E144" s="1">
        <v>1.4986210786444661E-4</v>
      </c>
      <c r="F144" s="1">
        <v>0.02</v>
      </c>
      <c r="G144" s="1">
        <v>3.1E-2</v>
      </c>
      <c r="H144" s="267">
        <v>0.7517222222222083</v>
      </c>
      <c r="I144" s="252"/>
      <c r="J144" s="252"/>
      <c r="K144" s="1" t="s">
        <v>371</v>
      </c>
    </row>
    <row r="145" spans="1:11" x14ac:dyDescent="0.25">
      <c r="A145" s="1" t="s">
        <v>356</v>
      </c>
      <c r="B145" s="164">
        <v>10.855405992184116</v>
      </c>
      <c r="C145" s="12">
        <v>2.5675322748057079</v>
      </c>
      <c r="D145" s="1">
        <v>1.7070000000000001</v>
      </c>
      <c r="E145" s="1">
        <v>5.1576641217063925E-5</v>
      </c>
      <c r="F145" s="1">
        <v>0.02</v>
      </c>
      <c r="G145" s="1">
        <v>2.4E-2</v>
      </c>
      <c r="H145" s="267">
        <v>0.75383333333331826</v>
      </c>
      <c r="I145" s="252"/>
      <c r="J145" s="252"/>
      <c r="K145" s="1" t="s">
        <v>372</v>
      </c>
    </row>
    <row r="146" spans="1:11" x14ac:dyDescent="0.25">
      <c r="A146" s="1" t="s">
        <v>357</v>
      </c>
      <c r="B146" s="164">
        <v>6.0885448377837434</v>
      </c>
      <c r="C146" s="12">
        <v>2.2312408401110861</v>
      </c>
      <c r="D146" s="1">
        <v>1.681</v>
      </c>
      <c r="E146" s="1">
        <v>4.8981773007164672E-4</v>
      </c>
      <c r="F146" s="1">
        <v>2.1999999999999999E-2</v>
      </c>
      <c r="G146" s="1">
        <v>2.5000000000000001E-2</v>
      </c>
      <c r="H146" s="267">
        <v>0.75594444444442821</v>
      </c>
      <c r="I146" s="252"/>
      <c r="J146" s="252"/>
      <c r="K146" s="1" t="s">
        <v>373</v>
      </c>
    </row>
    <row r="147" spans="1:11" x14ac:dyDescent="0.25">
      <c r="A147" s="1" t="s">
        <v>358</v>
      </c>
      <c r="B147" s="164">
        <v>11.464181780769531</v>
      </c>
      <c r="C147" s="12">
        <v>2.7825557685143458</v>
      </c>
      <c r="D147" s="1">
        <v>1.262</v>
      </c>
      <c r="E147" s="1">
        <v>4.9120610682918029E-5</v>
      </c>
      <c r="F147" s="1">
        <v>2.1000000000000001E-2</v>
      </c>
      <c r="G147" s="1">
        <v>0.03</v>
      </c>
      <c r="H147" s="267">
        <v>0.75805555555553816</v>
      </c>
      <c r="I147" s="252"/>
      <c r="J147" s="252"/>
      <c r="K147" s="1" t="s">
        <v>374</v>
      </c>
    </row>
    <row r="148" spans="1:11" ht="15.75" x14ac:dyDescent="0.25">
      <c r="A148" s="2" t="s">
        <v>479</v>
      </c>
      <c r="B148" s="147">
        <v>167.04416761041898</v>
      </c>
      <c r="C148" s="14">
        <v>10.974524206225087</v>
      </c>
      <c r="D148" s="254">
        <v>2.64</v>
      </c>
      <c r="E148" s="254">
        <v>1.003934430437827E-2</v>
      </c>
      <c r="F148" s="254">
        <v>2.45715E-2</v>
      </c>
      <c r="G148" s="254">
        <v>6.0180800000000007E-2</v>
      </c>
      <c r="H148" s="266">
        <v>0.49802083333333336</v>
      </c>
      <c r="I148" s="274"/>
      <c r="J148" s="274"/>
      <c r="K148" s="255">
        <v>1</v>
      </c>
    </row>
    <row r="149" spans="1:11" ht="15.75" x14ac:dyDescent="0.25">
      <c r="A149" s="2" t="s">
        <v>479</v>
      </c>
      <c r="B149" s="147">
        <v>145.07862045000454</v>
      </c>
      <c r="C149" s="14">
        <v>12.330497071523524</v>
      </c>
      <c r="D149" s="254">
        <v>2.3839999999999999</v>
      </c>
      <c r="E149" s="254">
        <v>2.2338385851655443E-2</v>
      </c>
      <c r="F149" s="254">
        <v>1.7498300000000022E-2</v>
      </c>
      <c r="G149" s="254">
        <v>3.6531200000000014E-2</v>
      </c>
      <c r="H149" s="266">
        <v>0.49815972222222221</v>
      </c>
      <c r="I149" s="274"/>
      <c r="J149" s="274"/>
      <c r="K149" s="255">
        <v>2</v>
      </c>
    </row>
    <row r="150" spans="1:11" ht="15.75" x14ac:dyDescent="0.25">
      <c r="A150" s="2" t="s">
        <v>479</v>
      </c>
      <c r="B150" s="147">
        <v>76.137884872824614</v>
      </c>
      <c r="C150" s="14"/>
      <c r="D150" s="254">
        <v>2.2839999999999998</v>
      </c>
      <c r="E150" s="254">
        <v>9.8099758295017991E-3</v>
      </c>
      <c r="F150" s="254">
        <v>2.1034899999999995E-2</v>
      </c>
      <c r="G150" s="254">
        <v>3.28928E-2</v>
      </c>
      <c r="H150" s="266">
        <v>0.49828703703703708</v>
      </c>
      <c r="I150" s="274"/>
      <c r="J150" s="274"/>
      <c r="K150" s="255">
        <v>3</v>
      </c>
    </row>
    <row r="151" spans="1:11" ht="15.75" x14ac:dyDescent="0.25">
      <c r="A151" s="2" t="s">
        <v>479</v>
      </c>
      <c r="B151" s="147">
        <v>47.967684928048556</v>
      </c>
      <c r="C151" s="14">
        <v>4.9671491115903788</v>
      </c>
      <c r="D151" s="254">
        <v>2.423</v>
      </c>
      <c r="E151" s="254">
        <v>1.031870116219955E-2</v>
      </c>
      <c r="F151" s="254">
        <v>2.9876399999999997E-2</v>
      </c>
      <c r="G151" s="254">
        <v>3.28928E-2</v>
      </c>
      <c r="H151" s="266">
        <v>0.49840277777777775</v>
      </c>
      <c r="I151" s="274"/>
      <c r="J151" s="274"/>
      <c r="K151" s="255">
        <v>4</v>
      </c>
    </row>
    <row r="152" spans="1:11" ht="15.75" x14ac:dyDescent="0.25">
      <c r="A152" s="2" t="s">
        <v>479</v>
      </c>
      <c r="B152" s="147">
        <v>67.326074308037519</v>
      </c>
      <c r="C152" s="14">
        <v>8.8903535000293825</v>
      </c>
      <c r="D152" s="254">
        <v>2.488</v>
      </c>
      <c r="E152" s="254">
        <v>6.2101564483107649E-3</v>
      </c>
      <c r="F152" s="254">
        <v>2.6339799999999997E-2</v>
      </c>
      <c r="G152" s="254">
        <v>3.4711999999999993E-2</v>
      </c>
      <c r="H152" s="266">
        <v>0.49853009259259262</v>
      </c>
      <c r="I152" s="274"/>
      <c r="J152" s="274"/>
      <c r="K152" s="255">
        <v>5</v>
      </c>
    </row>
    <row r="153" spans="1:11" ht="15.75" x14ac:dyDescent="0.25">
      <c r="A153" s="2" t="s">
        <v>479</v>
      </c>
      <c r="B153" s="147">
        <v>61.268421924159554</v>
      </c>
      <c r="C153" s="14"/>
      <c r="D153" s="254">
        <v>2.4729999999999999</v>
      </c>
      <c r="E153" s="254">
        <v>5.2426659536415413E-3</v>
      </c>
      <c r="F153" s="254">
        <v>2.8108099999999997E-2</v>
      </c>
      <c r="G153" s="254">
        <v>8.9288000000000034E-2</v>
      </c>
      <c r="H153" s="266">
        <v>0.49865740740740744</v>
      </c>
      <c r="I153" s="274"/>
      <c r="J153" s="274"/>
      <c r="K153" s="255">
        <v>6</v>
      </c>
    </row>
    <row r="154" spans="1:11" ht="15.75" x14ac:dyDescent="0.25">
      <c r="A154" s="2" t="s">
        <v>479</v>
      </c>
      <c r="B154" s="147">
        <v>40.782355389096857</v>
      </c>
      <c r="C154" s="14"/>
      <c r="D154" s="254">
        <v>2.3140000000000001</v>
      </c>
      <c r="E154" s="254">
        <v>3.2996877945532998E-3</v>
      </c>
      <c r="F154" s="254">
        <v>2.8108099999999997E-2</v>
      </c>
      <c r="G154" s="254">
        <v>3.8350400000000007E-2</v>
      </c>
      <c r="H154" s="266">
        <v>0.49877314814814816</v>
      </c>
      <c r="I154" s="274"/>
      <c r="J154" s="274"/>
      <c r="K154" s="255">
        <v>7</v>
      </c>
    </row>
    <row r="155" spans="1:11" ht="15.75" x14ac:dyDescent="0.25">
      <c r="A155" s="2" t="s">
        <v>479</v>
      </c>
      <c r="B155" s="147">
        <v>43.350237199411083</v>
      </c>
      <c r="C155" s="14"/>
      <c r="D155" s="254">
        <v>2.4020000000000001</v>
      </c>
      <c r="E155" s="254">
        <v>2.600539216633088E-3</v>
      </c>
      <c r="F155" s="254">
        <v>2.9876399999999997E-2</v>
      </c>
      <c r="G155" s="254">
        <v>3.4711999999999993E-2</v>
      </c>
      <c r="H155" s="266">
        <v>0.49890046296296298</v>
      </c>
      <c r="I155" s="274"/>
      <c r="J155" s="274"/>
      <c r="K155" s="255">
        <v>8</v>
      </c>
    </row>
    <row r="156" spans="1:11" ht="15.75" x14ac:dyDescent="0.25">
      <c r="A156" s="2" t="s">
        <v>479</v>
      </c>
      <c r="B156" s="147">
        <v>37.341299477221838</v>
      </c>
      <c r="C156" s="14"/>
      <c r="D156" s="254">
        <v>2.278</v>
      </c>
      <c r="E156" s="254">
        <v>2.618500653426792E-3</v>
      </c>
      <c r="F156" s="254">
        <v>2.4571499999999996E-2</v>
      </c>
      <c r="G156" s="254">
        <v>4.01696E-2</v>
      </c>
      <c r="H156" s="266">
        <v>0.4990046296296296</v>
      </c>
      <c r="I156" s="274"/>
      <c r="J156" s="274"/>
      <c r="K156" s="255">
        <v>9</v>
      </c>
    </row>
    <row r="157" spans="1:11" ht="15.75" x14ac:dyDescent="0.25">
      <c r="A157" s="2" t="s">
        <v>479</v>
      </c>
      <c r="B157" s="147">
        <v>22.213081036610511</v>
      </c>
      <c r="C157" s="14"/>
      <c r="D157" s="254">
        <v>2.2730000000000001</v>
      </c>
      <c r="E157" s="254">
        <v>4.3689279273505278E-3</v>
      </c>
      <c r="F157" s="254">
        <v>2.8108099999999997E-2</v>
      </c>
      <c r="G157" s="254">
        <v>3.8350400000000007E-2</v>
      </c>
      <c r="H157" s="266">
        <v>0.49912037037037038</v>
      </c>
      <c r="I157" s="274"/>
      <c r="J157" s="274"/>
      <c r="K157" s="255">
        <v>10</v>
      </c>
    </row>
    <row r="158" spans="1:11" ht="15.75" x14ac:dyDescent="0.25">
      <c r="A158" s="2" t="s">
        <v>479</v>
      </c>
      <c r="B158" s="147">
        <v>20.673116679070553</v>
      </c>
      <c r="C158" s="14"/>
      <c r="D158" s="254">
        <v>2.3010000000000002</v>
      </c>
      <c r="E158" s="254">
        <v>3.1173927792587626E-3</v>
      </c>
      <c r="F158" s="254">
        <v>2.6339799999999997E-2</v>
      </c>
      <c r="G158" s="254">
        <v>3.28928E-2</v>
      </c>
      <c r="H158" s="266">
        <v>0.49923611111111116</v>
      </c>
      <c r="I158" s="274"/>
      <c r="J158" s="274"/>
      <c r="K158" s="255">
        <v>11</v>
      </c>
    </row>
    <row r="159" spans="1:11" ht="15.75" x14ac:dyDescent="0.25">
      <c r="A159" s="2" t="s">
        <v>479</v>
      </c>
      <c r="B159" s="147">
        <v>12.548101054040499</v>
      </c>
      <c r="C159" s="14">
        <v>3.2415982125782183</v>
      </c>
      <c r="D159" s="254">
        <v>2.3130000000000002</v>
      </c>
      <c r="E159" s="254">
        <v>2.5711583887521052E-3</v>
      </c>
      <c r="F159" s="254">
        <v>1.9266599999999995E-2</v>
      </c>
      <c r="G159" s="254">
        <v>3.6531200000000014E-2</v>
      </c>
      <c r="H159" s="266">
        <v>0.49935185185185182</v>
      </c>
      <c r="I159" s="274"/>
      <c r="J159" s="274"/>
      <c r="K159" s="255">
        <v>12</v>
      </c>
    </row>
    <row r="160" spans="1:11" ht="15.75" x14ac:dyDescent="0.25">
      <c r="A160" s="2" t="s">
        <v>479</v>
      </c>
      <c r="B160" s="147">
        <v>10.726957669774698</v>
      </c>
      <c r="C160" s="14"/>
      <c r="D160" s="254">
        <v>2.3079999999999998</v>
      </c>
      <c r="E160" s="254">
        <v>2.600539216633088E-3</v>
      </c>
      <c r="F160" s="254">
        <v>2.1034899999999995E-2</v>
      </c>
      <c r="G160" s="254">
        <v>3.4711999999999993E-2</v>
      </c>
      <c r="H160" s="266">
        <v>0.49945601851851856</v>
      </c>
      <c r="I160" s="274"/>
      <c r="J160" s="274"/>
      <c r="K160" s="255">
        <v>13</v>
      </c>
    </row>
    <row r="161" spans="1:11" ht="15.75" x14ac:dyDescent="0.25">
      <c r="A161" s="2" t="s">
        <v>479</v>
      </c>
      <c r="B161" s="147">
        <v>6.584362139917884</v>
      </c>
      <c r="C161" s="14"/>
      <c r="D161" s="254">
        <v>2.214</v>
      </c>
      <c r="E161" s="254">
        <v>2.2886277341208801E-3</v>
      </c>
      <c r="F161" s="254">
        <v>2.2803199999999996E-2</v>
      </c>
      <c r="G161" s="254">
        <v>3.8350400000000007E-2</v>
      </c>
      <c r="H161" s="266">
        <v>0.49958333333333332</v>
      </c>
      <c r="I161" s="274"/>
      <c r="J161" s="274"/>
      <c r="K161" s="255">
        <v>14</v>
      </c>
    </row>
    <row r="162" spans="1:11" ht="15.75" x14ac:dyDescent="0.25">
      <c r="A162" s="6" t="s">
        <v>480</v>
      </c>
      <c r="B162" s="192">
        <v>22.819885900570469</v>
      </c>
      <c r="C162" s="7">
        <v>3.3278897667339491</v>
      </c>
      <c r="D162" s="256">
        <v>2.718</v>
      </c>
      <c r="E162" s="243"/>
      <c r="F162" s="243"/>
      <c r="G162" s="243"/>
      <c r="H162" s="268">
        <v>7.8923611111111111E-2</v>
      </c>
      <c r="I162" s="243"/>
      <c r="J162" s="243"/>
      <c r="K162" s="194">
        <v>15</v>
      </c>
    </row>
    <row r="163" spans="1:11" ht="15.75" x14ac:dyDescent="0.25">
      <c r="A163" s="6" t="s">
        <v>480</v>
      </c>
      <c r="B163" s="192">
        <v>66.633761105626817</v>
      </c>
      <c r="C163" s="7">
        <v>6.6628506349267198</v>
      </c>
      <c r="D163" s="256">
        <v>2.6819999999999999</v>
      </c>
      <c r="E163" s="243"/>
      <c r="F163" s="243"/>
      <c r="G163" s="243"/>
      <c r="H163" s="268">
        <v>7.9050925925925927E-2</v>
      </c>
      <c r="I163" s="243"/>
      <c r="J163" s="243"/>
      <c r="K163" s="194">
        <v>16</v>
      </c>
    </row>
    <row r="164" spans="1:11" ht="15.75" x14ac:dyDescent="0.25">
      <c r="A164" s="6" t="s">
        <v>480</v>
      </c>
      <c r="B164" s="192">
        <v>162.54186065506821</v>
      </c>
      <c r="C164" s="7">
        <v>12.041210880553001</v>
      </c>
      <c r="D164" s="256">
        <v>2.6440000000000001</v>
      </c>
      <c r="E164" s="243"/>
      <c r="F164" s="243"/>
      <c r="G164" s="243"/>
      <c r="H164" s="268">
        <v>7.9166666666666663E-2</v>
      </c>
      <c r="I164" s="243"/>
      <c r="J164" s="243"/>
      <c r="K164" s="194">
        <v>17</v>
      </c>
    </row>
    <row r="165" spans="1:11" ht="15.75" x14ac:dyDescent="0.25">
      <c r="A165" s="6" t="s">
        <v>480</v>
      </c>
      <c r="B165" s="192">
        <v>89.561960592737421</v>
      </c>
      <c r="C165" s="7"/>
      <c r="D165" s="256">
        <v>2.7519999999999998</v>
      </c>
      <c r="E165" s="243"/>
      <c r="F165" s="243"/>
      <c r="G165" s="243"/>
      <c r="H165" s="268">
        <v>7.9282407407407399E-2</v>
      </c>
      <c r="I165" s="243"/>
      <c r="J165" s="243"/>
      <c r="K165" s="194">
        <v>18</v>
      </c>
    </row>
    <row r="166" spans="1:11" ht="15.75" x14ac:dyDescent="0.25">
      <c r="A166" s="6" t="s">
        <v>480</v>
      </c>
      <c r="B166" s="192">
        <v>87.538194731191894</v>
      </c>
      <c r="C166" s="7">
        <v>8.058197301683574</v>
      </c>
      <c r="D166" s="256">
        <v>2.8079999999999998</v>
      </c>
      <c r="E166" s="243"/>
      <c r="F166" s="243"/>
      <c r="G166" s="243"/>
      <c r="H166" s="268">
        <v>7.9398148148148148E-2</v>
      </c>
      <c r="I166" s="243"/>
      <c r="J166" s="243"/>
      <c r="K166" s="194">
        <v>19</v>
      </c>
    </row>
    <row r="167" spans="1:11" ht="15.75" x14ac:dyDescent="0.25">
      <c r="A167" s="6" t="s">
        <v>480</v>
      </c>
      <c r="B167" s="192">
        <v>67.359667359667327</v>
      </c>
      <c r="C167" s="7"/>
      <c r="D167" s="256">
        <v>3.0089999999999999</v>
      </c>
      <c r="E167" s="243"/>
      <c r="F167" s="243"/>
      <c r="G167" s="243"/>
      <c r="H167" s="268">
        <v>7.9513888888888884E-2</v>
      </c>
      <c r="I167" s="243"/>
      <c r="J167" s="243"/>
      <c r="K167" s="194">
        <v>20</v>
      </c>
    </row>
    <row r="168" spans="1:11" ht="15.75" x14ac:dyDescent="0.25">
      <c r="A168" s="6" t="s">
        <v>480</v>
      </c>
      <c r="B168" s="192">
        <v>61.637080867850159</v>
      </c>
      <c r="C168" s="7"/>
      <c r="D168" s="256">
        <v>2.7839999999999998</v>
      </c>
      <c r="E168" s="243"/>
      <c r="F168" s="243"/>
      <c r="G168" s="243"/>
      <c r="H168" s="268">
        <v>7.962962962962962E-2</v>
      </c>
      <c r="I168" s="243"/>
      <c r="J168" s="243"/>
      <c r="K168" s="194">
        <v>21</v>
      </c>
    </row>
    <row r="169" spans="1:11" ht="15.75" x14ac:dyDescent="0.25">
      <c r="A169" s="6" t="s">
        <v>480</v>
      </c>
      <c r="B169" s="192">
        <v>37.633968747443511</v>
      </c>
      <c r="C169" s="7">
        <v>5.0565465878568743</v>
      </c>
      <c r="D169" s="256">
        <v>2.7559999999999998</v>
      </c>
      <c r="E169" s="243"/>
      <c r="F169" s="243"/>
      <c r="G169" s="243"/>
      <c r="H169" s="268">
        <v>7.9745370370370369E-2</v>
      </c>
      <c r="I169" s="243"/>
      <c r="J169" s="243"/>
      <c r="K169" s="194">
        <v>22</v>
      </c>
    </row>
    <row r="170" spans="1:11" ht="15.75" x14ac:dyDescent="0.25">
      <c r="A170" s="6" t="s">
        <v>480</v>
      </c>
      <c r="B170" s="192">
        <v>49.685326266975864</v>
      </c>
      <c r="C170" s="7">
        <v>3.7364280370951577</v>
      </c>
      <c r="D170" s="256">
        <v>2.8039999999999998</v>
      </c>
      <c r="E170" s="243"/>
      <c r="F170" s="243"/>
      <c r="G170" s="243"/>
      <c r="H170" s="268">
        <v>7.9861111111111105E-2</v>
      </c>
      <c r="I170" s="243"/>
      <c r="J170" s="243"/>
      <c r="K170" s="194">
        <v>23</v>
      </c>
    </row>
    <row r="171" spans="1:11" ht="15.75" x14ac:dyDescent="0.25">
      <c r="A171" s="6" t="s">
        <v>480</v>
      </c>
      <c r="B171" s="192">
        <v>30.50037095045758</v>
      </c>
      <c r="C171" s="7"/>
      <c r="D171" s="256">
        <v>2.8039999999999998</v>
      </c>
      <c r="E171" s="243"/>
      <c r="F171" s="243"/>
      <c r="G171" s="243"/>
      <c r="H171" s="268">
        <v>7.9976851851851841E-2</v>
      </c>
      <c r="I171" s="243"/>
      <c r="J171" s="243"/>
      <c r="K171" s="194">
        <v>24</v>
      </c>
    </row>
    <row r="172" spans="1:11" ht="15.75" x14ac:dyDescent="0.25">
      <c r="A172" s="6" t="s">
        <v>480</v>
      </c>
      <c r="B172" s="192">
        <v>27.990450316950803</v>
      </c>
      <c r="C172" s="7"/>
      <c r="D172" s="256">
        <v>2.8639999999999999</v>
      </c>
      <c r="E172" s="243"/>
      <c r="F172" s="243"/>
      <c r="G172" s="243"/>
      <c r="H172" s="268">
        <v>8.009259259259259E-2</v>
      </c>
      <c r="I172" s="243"/>
      <c r="J172" s="243"/>
      <c r="K172" s="194">
        <v>25</v>
      </c>
    </row>
    <row r="173" spans="1:11" ht="15.75" x14ac:dyDescent="0.25">
      <c r="A173" s="6" t="s">
        <v>480</v>
      </c>
      <c r="B173" s="192">
        <v>16.572754391779927</v>
      </c>
      <c r="C173" s="7">
        <v>2.7714442809806075</v>
      </c>
      <c r="D173" s="256">
        <v>2.76</v>
      </c>
      <c r="E173" s="243"/>
      <c r="F173" s="243"/>
      <c r="G173" s="243"/>
      <c r="H173" s="268">
        <v>8.020833333333334E-2</v>
      </c>
      <c r="I173" s="243"/>
      <c r="J173" s="243"/>
      <c r="K173" s="194">
        <v>26</v>
      </c>
    </row>
    <row r="174" spans="1:11" ht="15.75" x14ac:dyDescent="0.25">
      <c r="A174" s="6" t="s">
        <v>480</v>
      </c>
      <c r="B174" s="192">
        <v>18.36853970109383</v>
      </c>
      <c r="C174" s="7"/>
      <c r="D174" s="256">
        <v>2.7690000000000001</v>
      </c>
      <c r="E174" s="243"/>
      <c r="F174" s="243"/>
      <c r="G174" s="243"/>
      <c r="H174" s="268">
        <v>8.0324074074074062E-2</v>
      </c>
      <c r="I174" s="243"/>
      <c r="J174" s="243"/>
      <c r="K174" s="194">
        <v>27</v>
      </c>
    </row>
    <row r="175" spans="1:11" ht="15.75" x14ac:dyDescent="0.25">
      <c r="A175" s="6" t="s">
        <v>480</v>
      </c>
      <c r="B175" s="192">
        <v>6.4583837894566489</v>
      </c>
      <c r="C175" s="7"/>
      <c r="D175" s="256">
        <v>2.7410000000000001</v>
      </c>
      <c r="E175" s="243"/>
      <c r="F175" s="243"/>
      <c r="G175" s="243"/>
      <c r="H175" s="268">
        <v>8.0439814814814811E-2</v>
      </c>
      <c r="I175" s="243"/>
      <c r="J175" s="243"/>
      <c r="K175" s="194">
        <v>28</v>
      </c>
    </row>
    <row r="176" spans="1:11" ht="15.75" x14ac:dyDescent="0.25">
      <c r="A176" s="6" t="s">
        <v>480</v>
      </c>
      <c r="B176" s="192">
        <v>11.361791916896708</v>
      </c>
      <c r="C176" s="7"/>
      <c r="D176" s="256">
        <v>2.7519999999999998</v>
      </c>
      <c r="E176" s="243"/>
      <c r="F176" s="243"/>
      <c r="G176" s="243"/>
      <c r="H176" s="268">
        <v>8.0555555555555561E-2</v>
      </c>
      <c r="I176" s="243"/>
      <c r="J176" s="243"/>
      <c r="K176" s="194">
        <v>29</v>
      </c>
    </row>
    <row r="177" spans="1:11" ht="15.75" x14ac:dyDescent="0.25">
      <c r="A177" s="6" t="s">
        <v>480</v>
      </c>
      <c r="B177" s="192">
        <v>11.501807426881468</v>
      </c>
      <c r="C177" s="7"/>
      <c r="D177" s="256">
        <v>2.7389999999999999</v>
      </c>
      <c r="E177" s="243"/>
      <c r="F177" s="243"/>
      <c r="G177" s="243"/>
      <c r="H177" s="268">
        <v>8.0671296296296297E-2</v>
      </c>
      <c r="I177" s="243"/>
      <c r="J177" s="243"/>
      <c r="K177" s="194">
        <v>30</v>
      </c>
    </row>
    <row r="178" spans="1:11" ht="15.75" x14ac:dyDescent="0.25">
      <c r="A178" s="4" t="s">
        <v>481</v>
      </c>
      <c r="B178" s="181">
        <v>52.169592580324611</v>
      </c>
      <c r="C178" s="10">
        <v>4.595228517796305</v>
      </c>
      <c r="D178" s="183">
        <v>2.8980000000000001</v>
      </c>
      <c r="E178" s="261"/>
      <c r="F178" s="261"/>
      <c r="G178" s="261"/>
      <c r="H178" s="269">
        <v>0.10474537037037036</v>
      </c>
      <c r="I178" s="261"/>
      <c r="J178" s="261"/>
      <c r="K178" s="184">
        <v>31</v>
      </c>
    </row>
    <row r="179" spans="1:11" ht="15.75" x14ac:dyDescent="0.25">
      <c r="A179" s="4" t="s">
        <v>481</v>
      </c>
      <c r="B179" s="181">
        <v>174.67613873798578</v>
      </c>
      <c r="C179" s="10">
        <v>10.930144320508324</v>
      </c>
      <c r="D179" s="183">
        <v>2.7160000000000002</v>
      </c>
      <c r="E179" s="261"/>
      <c r="F179" s="261"/>
      <c r="G179" s="261"/>
      <c r="H179" s="269">
        <v>0.10486111111111111</v>
      </c>
      <c r="I179" s="261"/>
      <c r="J179" s="261"/>
      <c r="K179" s="184">
        <v>32</v>
      </c>
    </row>
    <row r="180" spans="1:11" ht="15.75" x14ac:dyDescent="0.25">
      <c r="A180" s="4" t="s">
        <v>481</v>
      </c>
      <c r="B180" s="181">
        <v>78.177538668460016</v>
      </c>
      <c r="C180" s="10"/>
      <c r="D180" s="183">
        <v>2.7010000000000001</v>
      </c>
      <c r="E180" s="261"/>
      <c r="F180" s="261"/>
      <c r="G180" s="261"/>
      <c r="H180" s="269">
        <v>0.10497685185185185</v>
      </c>
      <c r="I180" s="261"/>
      <c r="J180" s="261"/>
      <c r="K180" s="184">
        <v>33</v>
      </c>
    </row>
    <row r="181" spans="1:11" ht="15.75" x14ac:dyDescent="0.25">
      <c r="A181" s="4" t="s">
        <v>481</v>
      </c>
      <c r="B181" s="181">
        <v>74.758733179285102</v>
      </c>
      <c r="C181" s="10">
        <v>8.9789966308393812</v>
      </c>
      <c r="D181" s="183">
        <v>2.7810000000000001</v>
      </c>
      <c r="E181" s="261"/>
      <c r="F181" s="261"/>
      <c r="G181" s="261"/>
      <c r="H181" s="269">
        <v>0.10509259259259258</v>
      </c>
      <c r="I181" s="261"/>
      <c r="J181" s="261"/>
      <c r="K181" s="184">
        <v>34</v>
      </c>
    </row>
    <row r="182" spans="1:11" ht="15.75" x14ac:dyDescent="0.25">
      <c r="A182" s="4" t="s">
        <v>481</v>
      </c>
      <c r="B182" s="181">
        <v>52.974735126324418</v>
      </c>
      <c r="C182" s="10"/>
      <c r="D182" s="183">
        <v>2.831</v>
      </c>
      <c r="E182" s="261"/>
      <c r="F182" s="261"/>
      <c r="G182" s="261"/>
      <c r="H182" s="269">
        <v>0.10520833333333333</v>
      </c>
      <c r="I182" s="261"/>
      <c r="J182" s="261"/>
      <c r="K182" s="184">
        <v>35</v>
      </c>
    </row>
    <row r="183" spans="1:11" ht="15.75" x14ac:dyDescent="0.25">
      <c r="A183" s="4" t="s">
        <v>481</v>
      </c>
      <c r="B183" s="181">
        <v>40.183696900114938</v>
      </c>
      <c r="C183" s="10"/>
      <c r="D183" s="183">
        <v>2.7629999999999999</v>
      </c>
      <c r="E183" s="261"/>
      <c r="F183" s="261"/>
      <c r="G183" s="261"/>
      <c r="H183" s="269">
        <v>0.10532407407407407</v>
      </c>
      <c r="I183" s="261"/>
      <c r="J183" s="261"/>
      <c r="K183" s="184">
        <v>36</v>
      </c>
    </row>
    <row r="184" spans="1:11" ht="15.75" x14ac:dyDescent="0.25">
      <c r="A184" s="4" t="s">
        <v>481</v>
      </c>
      <c r="B184" s="181">
        <v>43.398430979802896</v>
      </c>
      <c r="C184" s="10">
        <v>4.599424686865893</v>
      </c>
      <c r="D184" s="183">
        <v>2.8140000000000001</v>
      </c>
      <c r="E184" s="261"/>
      <c r="F184" s="261"/>
      <c r="G184" s="261"/>
      <c r="H184" s="269">
        <v>0.10543981481481481</v>
      </c>
      <c r="I184" s="261"/>
      <c r="J184" s="261"/>
      <c r="K184" s="184">
        <v>37</v>
      </c>
    </row>
    <row r="185" spans="1:11" ht="15.75" x14ac:dyDescent="0.25">
      <c r="A185" s="4" t="s">
        <v>481</v>
      </c>
      <c r="B185" s="181">
        <v>77.334430275606678</v>
      </c>
      <c r="C185" s="10"/>
      <c r="D185" s="183">
        <v>2.7469999999999999</v>
      </c>
      <c r="E185" s="261"/>
      <c r="F185" s="261"/>
      <c r="G185" s="261"/>
      <c r="H185" s="269">
        <v>0.10555555555555556</v>
      </c>
      <c r="I185" s="261"/>
      <c r="J185" s="261"/>
      <c r="K185" s="184">
        <v>38</v>
      </c>
    </row>
    <row r="186" spans="1:11" ht="15.75" x14ac:dyDescent="0.25">
      <c r="A186" s="4" t="s">
        <v>481</v>
      </c>
      <c r="B186" s="181">
        <v>58.595361888256129</v>
      </c>
      <c r="C186" s="10"/>
      <c r="D186" s="183">
        <v>2.7410000000000001</v>
      </c>
      <c r="E186" s="261"/>
      <c r="F186" s="261"/>
      <c r="G186" s="261"/>
      <c r="H186" s="269">
        <v>0.10567129629629629</v>
      </c>
      <c r="I186" s="261"/>
      <c r="J186" s="261"/>
      <c r="K186" s="184">
        <v>39</v>
      </c>
    </row>
    <row r="187" spans="1:11" ht="15.75" x14ac:dyDescent="0.25">
      <c r="A187" s="4" t="s">
        <v>481</v>
      </c>
      <c r="B187" s="181">
        <v>23.829087921117384</v>
      </c>
      <c r="C187" s="10"/>
      <c r="D187" s="183">
        <v>2.7749999999999999</v>
      </c>
      <c r="E187" s="261"/>
      <c r="F187" s="261"/>
      <c r="G187" s="261"/>
      <c r="H187" s="269">
        <v>0.10578703703703703</v>
      </c>
      <c r="I187" s="261"/>
      <c r="J187" s="261"/>
      <c r="K187" s="184">
        <v>40</v>
      </c>
    </row>
    <row r="188" spans="1:11" ht="15.75" x14ac:dyDescent="0.25">
      <c r="A188" s="4" t="s">
        <v>481</v>
      </c>
      <c r="B188" s="181">
        <v>26.223059903302538</v>
      </c>
      <c r="C188" s="10"/>
      <c r="D188" s="183">
        <v>2.7330000000000001</v>
      </c>
      <c r="E188" s="261"/>
      <c r="F188" s="261"/>
      <c r="G188" s="261"/>
      <c r="H188" s="269">
        <v>0.10590277777777778</v>
      </c>
      <c r="I188" s="261"/>
      <c r="J188" s="261"/>
      <c r="K188" s="184">
        <v>41</v>
      </c>
    </row>
    <row r="189" spans="1:11" ht="15.75" x14ac:dyDescent="0.25">
      <c r="A189" s="4" t="s">
        <v>481</v>
      </c>
      <c r="B189" s="181">
        <v>17.731993582707005</v>
      </c>
      <c r="C189" s="10">
        <v>3.2584248138189293</v>
      </c>
      <c r="D189" s="183">
        <v>2.7559999999999998</v>
      </c>
      <c r="E189" s="261"/>
      <c r="F189" s="261"/>
      <c r="G189" s="261"/>
      <c r="H189" s="269">
        <v>0.10601851851851851</v>
      </c>
      <c r="I189" s="261"/>
      <c r="J189" s="261"/>
      <c r="K189" s="184">
        <v>42</v>
      </c>
    </row>
    <row r="190" spans="1:11" ht="15.75" x14ac:dyDescent="0.25">
      <c r="A190" s="4" t="s">
        <v>481</v>
      </c>
      <c r="B190" s="181">
        <v>18.922254216371837</v>
      </c>
      <c r="C190" s="10"/>
      <c r="D190" s="183">
        <v>2.7850000000000001</v>
      </c>
      <c r="E190" s="261"/>
      <c r="F190" s="261"/>
      <c r="G190" s="261"/>
      <c r="H190" s="269">
        <v>0.10613425925925928</v>
      </c>
      <c r="I190" s="261"/>
      <c r="J190" s="261"/>
      <c r="K190" s="184">
        <v>43</v>
      </c>
    </row>
    <row r="191" spans="1:11" ht="15.75" x14ac:dyDescent="0.25">
      <c r="A191" s="1" t="s">
        <v>482</v>
      </c>
      <c r="B191" s="164">
        <v>70.55388857351403</v>
      </c>
      <c r="C191" s="12">
        <v>8.3572964290100931</v>
      </c>
      <c r="D191" s="166">
        <v>2.1829999999999998</v>
      </c>
      <c r="E191" s="252"/>
      <c r="F191" s="252"/>
      <c r="G191" s="252"/>
      <c r="H191" s="267">
        <v>0.4397685185185185</v>
      </c>
      <c r="I191" s="252"/>
      <c r="J191" s="252"/>
      <c r="K191" s="167">
        <v>44</v>
      </c>
    </row>
    <row r="192" spans="1:11" ht="15.75" x14ac:dyDescent="0.25">
      <c r="A192" s="1" t="s">
        <v>482</v>
      </c>
      <c r="B192" s="164">
        <v>287.82894736842087</v>
      </c>
      <c r="C192" s="12">
        <v>24.660150936233205</v>
      </c>
      <c r="D192" s="166">
        <v>2.1179999999999999</v>
      </c>
      <c r="E192" s="252"/>
      <c r="F192" s="252"/>
      <c r="G192" s="252"/>
      <c r="H192" s="267">
        <v>0.44150462962962966</v>
      </c>
      <c r="I192" s="252"/>
      <c r="J192" s="252"/>
      <c r="K192" s="167">
        <v>45</v>
      </c>
    </row>
    <row r="193" spans="1:11" ht="15.75" x14ac:dyDescent="0.25">
      <c r="A193" s="1" t="s">
        <v>482</v>
      </c>
      <c r="B193" s="164">
        <v>200.049804930688</v>
      </c>
      <c r="C193" s="12">
        <v>16.604665163366334</v>
      </c>
      <c r="D193" s="166">
        <v>2.073</v>
      </c>
      <c r="E193" s="252"/>
      <c r="F193" s="252"/>
      <c r="G193" s="252"/>
      <c r="H193" s="267">
        <v>0.44156250000000002</v>
      </c>
      <c r="I193" s="252"/>
      <c r="J193" s="252"/>
      <c r="K193" s="167">
        <v>46</v>
      </c>
    </row>
    <row r="194" spans="1:11" ht="15.75" x14ac:dyDescent="0.25">
      <c r="A194" s="1" t="s">
        <v>482</v>
      </c>
      <c r="B194" s="164">
        <v>112.46027218645594</v>
      </c>
      <c r="C194" s="12">
        <v>10.359493646922049</v>
      </c>
      <c r="D194" s="166">
        <v>2.0289999999999999</v>
      </c>
      <c r="E194" s="252"/>
      <c r="F194" s="252"/>
      <c r="G194" s="252"/>
      <c r="H194" s="267">
        <v>0.44162037037037033</v>
      </c>
      <c r="I194" s="252"/>
      <c r="J194" s="252"/>
      <c r="K194" s="167">
        <v>47</v>
      </c>
    </row>
    <row r="195" spans="1:11" ht="15.75" x14ac:dyDescent="0.25">
      <c r="A195" s="1" t="s">
        <v>482</v>
      </c>
      <c r="B195" s="164">
        <v>111.46627325629046</v>
      </c>
      <c r="C195" s="12"/>
      <c r="D195" s="166">
        <v>2.0779999999999998</v>
      </c>
      <c r="E195" s="252"/>
      <c r="F195" s="252"/>
      <c r="G195" s="252"/>
      <c r="H195" s="267">
        <v>0.44167824074074075</v>
      </c>
      <c r="I195" s="252"/>
      <c r="J195" s="252"/>
      <c r="K195" s="167">
        <v>48</v>
      </c>
    </row>
    <row r="196" spans="1:11" ht="15.75" x14ac:dyDescent="0.25">
      <c r="A196" s="1" t="s">
        <v>482</v>
      </c>
      <c r="B196" s="164">
        <v>79.809116340299596</v>
      </c>
      <c r="C196" s="12">
        <v>9.283897155762066</v>
      </c>
      <c r="D196" s="166">
        <v>2.1640000000000001</v>
      </c>
      <c r="E196" s="252"/>
      <c r="F196" s="252"/>
      <c r="G196" s="252"/>
      <c r="H196" s="267">
        <v>0.4417476851851852</v>
      </c>
      <c r="I196" s="252"/>
      <c r="J196" s="252"/>
      <c r="K196" s="167">
        <v>49</v>
      </c>
    </row>
    <row r="197" spans="1:11" ht="15.75" x14ac:dyDescent="0.25">
      <c r="A197" s="1" t="s">
        <v>482</v>
      </c>
      <c r="B197" s="164">
        <v>80.492813141683797</v>
      </c>
      <c r="C197" s="12"/>
      <c r="D197" s="166">
        <v>2.1720000000000002</v>
      </c>
      <c r="E197" s="252"/>
      <c r="F197" s="252"/>
      <c r="G197" s="252"/>
      <c r="H197" s="267">
        <v>0.44184027777777773</v>
      </c>
      <c r="I197" s="252"/>
      <c r="J197" s="252"/>
      <c r="K197" s="167">
        <v>50</v>
      </c>
    </row>
    <row r="198" spans="1:11" ht="15.75" x14ac:dyDescent="0.25">
      <c r="A198" s="1" t="s">
        <v>482</v>
      </c>
      <c r="B198" s="164">
        <v>69.473161855926037</v>
      </c>
      <c r="C198" s="12"/>
      <c r="D198" s="166">
        <v>2.3029999999999999</v>
      </c>
      <c r="E198" s="252"/>
      <c r="F198" s="252"/>
      <c r="G198" s="252"/>
      <c r="H198" s="267">
        <v>0.44195601851851851</v>
      </c>
      <c r="I198" s="252"/>
      <c r="J198" s="252"/>
      <c r="K198" s="167">
        <v>51</v>
      </c>
    </row>
    <row r="199" spans="1:11" ht="15.75" x14ac:dyDescent="0.25">
      <c r="A199" s="1" t="s">
        <v>482</v>
      </c>
      <c r="B199" s="164">
        <v>54.027504911591542</v>
      </c>
      <c r="C199" s="12"/>
      <c r="D199" s="166">
        <v>2.2890000000000001</v>
      </c>
      <c r="E199" s="252"/>
      <c r="F199" s="252"/>
      <c r="G199" s="252"/>
      <c r="H199" s="267">
        <v>0.44208333333333333</v>
      </c>
      <c r="I199" s="252"/>
      <c r="J199" s="252"/>
      <c r="K199" s="167">
        <v>52</v>
      </c>
    </row>
    <row r="200" spans="1:11" ht="15.75" x14ac:dyDescent="0.25">
      <c r="A200" s="1" t="s">
        <v>482</v>
      </c>
      <c r="B200" s="164">
        <v>44.106836559666647</v>
      </c>
      <c r="C200" s="12">
        <v>5.2546784274057234</v>
      </c>
      <c r="D200" s="166">
        <v>2.1890000000000001</v>
      </c>
      <c r="E200" s="252"/>
      <c r="F200" s="252"/>
      <c r="G200" s="252"/>
      <c r="H200" s="267">
        <v>0.4422106481481482</v>
      </c>
      <c r="I200" s="252"/>
      <c r="J200" s="252"/>
      <c r="K200" s="167">
        <v>53</v>
      </c>
    </row>
    <row r="201" spans="1:11" ht="15.75" x14ac:dyDescent="0.25">
      <c r="A201" s="1" t="s">
        <v>482</v>
      </c>
      <c r="B201" s="164">
        <v>33.532346446389077</v>
      </c>
      <c r="C201" s="12"/>
      <c r="D201" s="166">
        <v>2.2829999999999999</v>
      </c>
      <c r="E201" s="252"/>
      <c r="F201" s="252"/>
      <c r="G201" s="252"/>
      <c r="H201" s="267">
        <v>0.44232638888888887</v>
      </c>
      <c r="I201" s="252"/>
      <c r="J201" s="252"/>
      <c r="K201" s="167">
        <v>54</v>
      </c>
    </row>
    <row r="202" spans="1:11" ht="15.75" x14ac:dyDescent="0.25">
      <c r="A202" s="1" t="s">
        <v>482</v>
      </c>
      <c r="B202" s="164">
        <v>23.144321375433929</v>
      </c>
      <c r="C202" s="12"/>
      <c r="D202" s="166">
        <v>2.202</v>
      </c>
      <c r="E202" s="252"/>
      <c r="F202" s="252"/>
      <c r="G202" s="252"/>
      <c r="H202" s="267">
        <v>0.44244212962962964</v>
      </c>
      <c r="I202" s="252"/>
      <c r="J202" s="252"/>
      <c r="K202" s="167">
        <v>55</v>
      </c>
    </row>
    <row r="203" spans="1:11" ht="15.75" x14ac:dyDescent="0.25">
      <c r="A203" s="2" t="s">
        <v>483</v>
      </c>
      <c r="B203" s="147">
        <v>62.139769452449464</v>
      </c>
      <c r="C203" s="14">
        <v>5.3161272316566057</v>
      </c>
      <c r="D203" s="254">
        <v>2.6309999999999998</v>
      </c>
      <c r="E203" s="254">
        <v>8.0744786331715737E-3</v>
      </c>
      <c r="F203" s="254">
        <v>2.2803199999999996E-2</v>
      </c>
      <c r="G203" s="254">
        <v>2.9254399999999986E-2</v>
      </c>
      <c r="H203" s="266">
        <v>0.46828703703703706</v>
      </c>
      <c r="I203" s="274"/>
      <c r="J203" s="274"/>
      <c r="K203" s="255">
        <v>56</v>
      </c>
    </row>
    <row r="204" spans="1:11" ht="15.75" x14ac:dyDescent="0.25">
      <c r="A204" s="2" t="s">
        <v>483</v>
      </c>
      <c r="B204" s="147">
        <v>243.34662651582957</v>
      </c>
      <c r="C204" s="14">
        <v>20.726107961901139</v>
      </c>
      <c r="D204" s="254">
        <v>2.581</v>
      </c>
      <c r="E204" s="254">
        <v>2.3321471582393793E-2</v>
      </c>
      <c r="F204" s="254">
        <v>1.9266599999999995E-2</v>
      </c>
      <c r="G204" s="254">
        <v>5.47232E-2</v>
      </c>
      <c r="H204" s="266">
        <v>0.47123842592592591</v>
      </c>
      <c r="I204" s="274"/>
      <c r="J204" s="274"/>
      <c r="K204" s="255">
        <v>57</v>
      </c>
    </row>
    <row r="205" spans="1:11" ht="15.75" x14ac:dyDescent="0.25">
      <c r="A205" s="2" t="s">
        <v>483</v>
      </c>
      <c r="B205" s="147">
        <v>134.52914798206268</v>
      </c>
      <c r="C205" s="14"/>
      <c r="D205" s="254">
        <v>2.5630000000000002</v>
      </c>
      <c r="E205" s="254">
        <v>1.9203510472240316E-2</v>
      </c>
      <c r="F205" s="254">
        <v>2.2803199999999996E-2</v>
      </c>
      <c r="G205" s="254">
        <v>3.28928E-2</v>
      </c>
      <c r="H205" s="266">
        <v>0.47129629629629632</v>
      </c>
      <c r="I205" s="274"/>
      <c r="J205" s="274"/>
      <c r="K205" s="255">
        <v>58</v>
      </c>
    </row>
    <row r="206" spans="1:11" ht="15.75" x14ac:dyDescent="0.25">
      <c r="A206" s="2" t="s">
        <v>483</v>
      </c>
      <c r="B206" s="147">
        <v>135.40290620871883</v>
      </c>
      <c r="C206" s="14">
        <v>11.667976217862849</v>
      </c>
      <c r="D206" s="254">
        <v>2.6619999999999999</v>
      </c>
      <c r="E206" s="254">
        <v>1.15146880608244E-2</v>
      </c>
      <c r="F206" s="254">
        <v>2.2803199999999996E-2</v>
      </c>
      <c r="G206" s="254">
        <v>3.4711999999999993E-2</v>
      </c>
      <c r="H206" s="266">
        <v>0.47135416666666669</v>
      </c>
      <c r="I206" s="274"/>
      <c r="J206" s="274"/>
      <c r="K206" s="255">
        <v>59</v>
      </c>
    </row>
    <row r="207" spans="1:11" ht="15.75" x14ac:dyDescent="0.25">
      <c r="A207" s="2" t="s">
        <v>483</v>
      </c>
      <c r="B207" s="147">
        <v>99.901735997379532</v>
      </c>
      <c r="C207" s="14"/>
      <c r="D207" s="254">
        <v>2.6960000000000002</v>
      </c>
      <c r="E207" s="254">
        <v>9.856082656835876E-3</v>
      </c>
      <c r="F207" s="254">
        <v>2.1034899999999995E-2</v>
      </c>
      <c r="G207" s="254">
        <v>4.5627200000000007E-2</v>
      </c>
      <c r="H207" s="266">
        <v>0.47141203703703699</v>
      </c>
      <c r="I207" s="274"/>
      <c r="J207" s="274"/>
      <c r="K207" s="255">
        <v>60</v>
      </c>
    </row>
    <row r="208" spans="1:11" ht="15.75" x14ac:dyDescent="0.25">
      <c r="A208" s="2" t="s">
        <v>483</v>
      </c>
      <c r="B208" s="147">
        <v>98.606470540298261</v>
      </c>
      <c r="C208" s="14">
        <v>6.6757924819308254</v>
      </c>
      <c r="D208" s="254">
        <v>2.6989999999999998</v>
      </c>
      <c r="E208" s="254">
        <v>1.16917712529308E-2</v>
      </c>
      <c r="F208" s="254">
        <v>2.1034899999999995E-2</v>
      </c>
      <c r="G208" s="254">
        <v>7.109600000000002E-2</v>
      </c>
      <c r="H208" s="266">
        <v>0.47152777777777777</v>
      </c>
      <c r="I208" s="274"/>
      <c r="J208" s="274"/>
      <c r="K208" s="255">
        <v>61</v>
      </c>
    </row>
    <row r="209" spans="1:11" ht="15.75" x14ac:dyDescent="0.25">
      <c r="A209" s="2" t="s">
        <v>483</v>
      </c>
      <c r="B209" s="147">
        <v>93.938898872733063</v>
      </c>
      <c r="C209" s="14"/>
      <c r="D209" s="254">
        <v>2.742</v>
      </c>
      <c r="E209" s="254">
        <v>1.2283480760895546E-2</v>
      </c>
      <c r="F209" s="254">
        <v>1.7498300000000022E-2</v>
      </c>
      <c r="G209" s="254">
        <v>8.2011200000000006E-2</v>
      </c>
      <c r="H209" s="266">
        <v>0.47164351851851855</v>
      </c>
      <c r="I209" s="274"/>
      <c r="J209" s="274"/>
      <c r="K209" s="255">
        <v>62</v>
      </c>
    </row>
    <row r="210" spans="1:11" ht="15.75" x14ac:dyDescent="0.25">
      <c r="A210" s="2" t="s">
        <v>483</v>
      </c>
      <c r="B210" s="147">
        <v>56.216392374124084</v>
      </c>
      <c r="C210" s="14"/>
      <c r="D210" s="254">
        <v>2.7610000000000001</v>
      </c>
      <c r="E210" s="254">
        <v>8.7555621153478178E-3</v>
      </c>
      <c r="F210" s="254">
        <v>2.4571499999999996E-2</v>
      </c>
      <c r="G210" s="254">
        <v>4.1988800000000021E-2</v>
      </c>
      <c r="H210" s="266">
        <v>0.47175925925925927</v>
      </c>
      <c r="I210" s="274"/>
      <c r="J210" s="274"/>
      <c r="K210" s="255">
        <v>63</v>
      </c>
    </row>
    <row r="211" spans="1:11" ht="15.75" x14ac:dyDescent="0.25">
      <c r="A211" s="2" t="s">
        <v>483</v>
      </c>
      <c r="B211" s="147">
        <v>56.813503499382371</v>
      </c>
      <c r="C211" s="14"/>
      <c r="D211" s="254">
        <v>2.8210000000000002</v>
      </c>
      <c r="E211" s="254">
        <v>5.741883910742567E-3</v>
      </c>
      <c r="F211" s="254">
        <v>2.4571499999999996E-2</v>
      </c>
      <c r="G211" s="254">
        <v>2.9254399999999986E-2</v>
      </c>
      <c r="H211" s="266">
        <v>0.47187499999999999</v>
      </c>
      <c r="I211" s="274"/>
      <c r="J211" s="274"/>
      <c r="K211" s="255">
        <v>64</v>
      </c>
    </row>
    <row r="212" spans="1:11" ht="15.75" x14ac:dyDescent="0.25">
      <c r="A212" s="2" t="s">
        <v>483</v>
      </c>
      <c r="B212" s="147">
        <v>48.527718374732594</v>
      </c>
      <c r="C212" s="14">
        <v>5.6309098454195041</v>
      </c>
      <c r="D212" s="254">
        <v>2.7829999999999999</v>
      </c>
      <c r="E212" s="254">
        <v>4.5804950914437453E-3</v>
      </c>
      <c r="F212" s="254">
        <v>2.6339799999999997E-2</v>
      </c>
      <c r="G212" s="254">
        <v>2.7435199999999993E-2</v>
      </c>
      <c r="H212" s="266">
        <v>0.47199074074074071</v>
      </c>
      <c r="I212" s="274"/>
      <c r="J212" s="274"/>
      <c r="K212" s="255">
        <v>65</v>
      </c>
    </row>
    <row r="213" spans="1:11" ht="15.75" x14ac:dyDescent="0.25">
      <c r="A213" s="2" t="s">
        <v>483</v>
      </c>
      <c r="B213" s="147">
        <v>41.608876560333044</v>
      </c>
      <c r="C213" s="14"/>
      <c r="D213" s="254">
        <v>2.7559999999999998</v>
      </c>
      <c r="E213" s="254">
        <v>4.0576794789688791E-3</v>
      </c>
      <c r="F213" s="254">
        <v>2.1034899999999995E-2</v>
      </c>
      <c r="G213" s="254">
        <v>4.3808000000000014E-2</v>
      </c>
      <c r="H213" s="266">
        <v>0.47210648148148149</v>
      </c>
      <c r="I213" s="274"/>
      <c r="J213" s="274"/>
      <c r="K213" s="255">
        <v>66</v>
      </c>
    </row>
    <row r="214" spans="1:11" ht="15.75" x14ac:dyDescent="0.25">
      <c r="A214" s="2" t="s">
        <v>483</v>
      </c>
      <c r="B214" s="147">
        <v>27.029240724056002</v>
      </c>
      <c r="C214" s="14"/>
      <c r="D214" s="254">
        <v>2.883</v>
      </c>
      <c r="E214" s="254">
        <v>3.3758505307597045E-3</v>
      </c>
      <c r="F214" s="254">
        <v>2.2803199999999996E-2</v>
      </c>
      <c r="G214" s="254">
        <v>2.7435199999999993E-2</v>
      </c>
      <c r="H214" s="266">
        <v>0.47222222222222227</v>
      </c>
      <c r="I214" s="274"/>
      <c r="J214" s="274"/>
      <c r="K214" s="255">
        <v>67</v>
      </c>
    </row>
    <row r="215" spans="1:11" ht="15.75" x14ac:dyDescent="0.25">
      <c r="A215" s="2" t="s">
        <v>483</v>
      </c>
      <c r="B215" s="147">
        <v>22.118456623249024</v>
      </c>
      <c r="C215" s="14"/>
      <c r="D215" s="254">
        <v>2.84</v>
      </c>
      <c r="E215" s="254">
        <v>3.4794954752049401E-3</v>
      </c>
      <c r="F215" s="254">
        <v>2.4571499999999996E-2</v>
      </c>
      <c r="G215" s="254">
        <v>3.1073600000000007E-2</v>
      </c>
      <c r="H215" s="266">
        <v>0.47233796296296293</v>
      </c>
      <c r="I215" s="274"/>
      <c r="J215" s="274"/>
      <c r="K215" s="255">
        <v>68</v>
      </c>
    </row>
    <row r="216" spans="1:11" ht="15.75" x14ac:dyDescent="0.25">
      <c r="A216" s="6" t="s">
        <v>484</v>
      </c>
      <c r="B216" s="192">
        <v>25.420254202541958</v>
      </c>
      <c r="C216" s="7">
        <v>3.6469399778041134</v>
      </c>
      <c r="D216" s="256">
        <v>2.9359999999999999</v>
      </c>
      <c r="E216" s="243"/>
      <c r="F216" s="243"/>
      <c r="G216" s="243"/>
      <c r="H216" s="268">
        <v>8.261574074074074E-2</v>
      </c>
      <c r="I216" s="243"/>
      <c r="J216" s="243"/>
      <c r="K216" s="194">
        <v>69</v>
      </c>
    </row>
    <row r="217" spans="1:11" ht="15.75" x14ac:dyDescent="0.25">
      <c r="A217" s="6" t="s">
        <v>484</v>
      </c>
      <c r="B217" s="192">
        <v>9.0053213262383771</v>
      </c>
      <c r="C217" s="7"/>
      <c r="D217" s="256">
        <v>3.0289999999999999</v>
      </c>
      <c r="E217" s="243"/>
      <c r="F217" s="243"/>
      <c r="G217" s="243"/>
      <c r="H217" s="268">
        <v>8.396990740740741E-2</v>
      </c>
      <c r="I217" s="243"/>
      <c r="J217" s="243"/>
      <c r="K217" s="194">
        <v>70</v>
      </c>
    </row>
    <row r="218" spans="1:11" ht="15.75" x14ac:dyDescent="0.25">
      <c r="A218" s="6" t="s">
        <v>484</v>
      </c>
      <c r="B218" s="192">
        <v>7.4868979286247752</v>
      </c>
      <c r="C218" s="7">
        <v>2.3834166495325055</v>
      </c>
      <c r="D218" s="256">
        <v>2.923</v>
      </c>
      <c r="E218" s="243"/>
      <c r="F218" s="243"/>
      <c r="G218" s="243"/>
      <c r="H218" s="268">
        <v>8.4004629629629624E-2</v>
      </c>
      <c r="I218" s="243"/>
      <c r="J218" s="243"/>
      <c r="K218" s="194">
        <v>71</v>
      </c>
    </row>
    <row r="219" spans="1:11" ht="15.75" x14ac:dyDescent="0.25">
      <c r="A219" s="6" t="s">
        <v>484</v>
      </c>
      <c r="B219" s="192">
        <v>4.9549921545958968</v>
      </c>
      <c r="C219" s="7"/>
      <c r="D219" s="256">
        <v>2.976</v>
      </c>
      <c r="E219" s="243"/>
      <c r="F219" s="243"/>
      <c r="G219" s="243"/>
      <c r="H219" s="268">
        <v>8.4039351851851851E-2</v>
      </c>
      <c r="I219" s="243"/>
      <c r="J219" s="243"/>
      <c r="K219" s="194">
        <v>72</v>
      </c>
    </row>
    <row r="220" spans="1:11" ht="15.75" x14ac:dyDescent="0.25">
      <c r="A220" s="6" t="s">
        <v>484</v>
      </c>
      <c r="B220" s="192">
        <v>7.3004542504865686</v>
      </c>
      <c r="C220" s="7">
        <v>2.1756635953794543</v>
      </c>
      <c r="D220" s="256">
        <v>3.641</v>
      </c>
      <c r="E220" s="243"/>
      <c r="F220" s="243"/>
      <c r="G220" s="243"/>
      <c r="H220" s="268">
        <v>8.4074074074074079E-2</v>
      </c>
      <c r="I220" s="243"/>
      <c r="J220" s="243"/>
      <c r="K220" s="194">
        <v>73</v>
      </c>
    </row>
    <row r="221" spans="1:11" ht="15.75" x14ac:dyDescent="0.25">
      <c r="A221" s="6" t="s">
        <v>484</v>
      </c>
      <c r="B221" s="192">
        <v>31.924724859279156</v>
      </c>
      <c r="C221" s="7"/>
      <c r="D221" s="256">
        <v>3.0539999999999998</v>
      </c>
      <c r="E221" s="243"/>
      <c r="F221" s="243"/>
      <c r="G221" s="243"/>
      <c r="H221" s="268">
        <v>8.4108796296296293E-2</v>
      </c>
      <c r="I221" s="243"/>
      <c r="J221" s="243"/>
      <c r="K221" s="194">
        <v>74</v>
      </c>
    </row>
    <row r="222" spans="1:11" ht="15.75" x14ac:dyDescent="0.25">
      <c r="A222" s="6" t="s">
        <v>484</v>
      </c>
      <c r="B222" s="192">
        <v>41.421588932151479</v>
      </c>
      <c r="C222" s="7"/>
      <c r="D222" s="256">
        <v>3.0379999999999998</v>
      </c>
      <c r="E222" s="243"/>
      <c r="F222" s="243"/>
      <c r="G222" s="243"/>
      <c r="H222" s="268">
        <v>8.414351851851852E-2</v>
      </c>
      <c r="I222" s="243"/>
      <c r="J222" s="243"/>
      <c r="K222" s="194">
        <v>75</v>
      </c>
    </row>
    <row r="223" spans="1:11" ht="15.75" x14ac:dyDescent="0.25">
      <c r="A223" s="6" t="s">
        <v>484</v>
      </c>
      <c r="B223" s="192">
        <v>44.890630101208011</v>
      </c>
      <c r="C223" s="7">
        <v>4.7777531047551749</v>
      </c>
      <c r="D223" s="256">
        <v>3.5790000000000002</v>
      </c>
      <c r="E223" s="243"/>
      <c r="F223" s="243"/>
      <c r="G223" s="243"/>
      <c r="H223" s="268">
        <v>8.4178240740740748E-2</v>
      </c>
      <c r="I223" s="243"/>
      <c r="J223" s="243"/>
      <c r="K223" s="194">
        <v>76</v>
      </c>
    </row>
    <row r="224" spans="1:11" ht="15.75" x14ac:dyDescent="0.25">
      <c r="A224" s="6" t="s">
        <v>484</v>
      </c>
      <c r="B224" s="192">
        <v>33.18400530944087</v>
      </c>
      <c r="C224" s="7"/>
      <c r="D224" s="256">
        <v>3.1509999999999998</v>
      </c>
      <c r="E224" s="243"/>
      <c r="F224" s="243"/>
      <c r="G224" s="243"/>
      <c r="H224" s="268">
        <v>8.4212962962962976E-2</v>
      </c>
      <c r="I224" s="243"/>
      <c r="J224" s="243"/>
      <c r="K224" s="194">
        <v>77</v>
      </c>
    </row>
    <row r="225" spans="1:11" ht="15.75" x14ac:dyDescent="0.25">
      <c r="A225" s="6" t="s">
        <v>484</v>
      </c>
      <c r="B225" s="192">
        <v>25.368248772504021</v>
      </c>
      <c r="C225" s="7">
        <v>4.932223506380244</v>
      </c>
      <c r="D225" s="256">
        <v>3.0059999999999998</v>
      </c>
      <c r="E225" s="243"/>
      <c r="F225" s="243"/>
      <c r="G225" s="243"/>
      <c r="H225" s="268">
        <v>8.4247685185185175E-2</v>
      </c>
      <c r="I225" s="243"/>
      <c r="J225" s="243"/>
      <c r="K225" s="194">
        <v>78</v>
      </c>
    </row>
    <row r="226" spans="1:11" ht="15.75" x14ac:dyDescent="0.25">
      <c r="A226" s="6" t="s">
        <v>484</v>
      </c>
      <c r="B226" s="192">
        <v>6.545573555882795</v>
      </c>
      <c r="C226" s="7"/>
      <c r="D226" s="256">
        <v>3.5510000000000002</v>
      </c>
      <c r="E226" s="243"/>
      <c r="F226" s="243"/>
      <c r="G226" s="243"/>
      <c r="H226" s="268">
        <v>8.4282407407407403E-2</v>
      </c>
      <c r="I226" s="243"/>
      <c r="J226" s="243"/>
      <c r="K226" s="194">
        <v>79</v>
      </c>
    </row>
    <row r="227" spans="1:11" ht="15.75" x14ac:dyDescent="0.25">
      <c r="A227" s="1" t="s">
        <v>485</v>
      </c>
      <c r="B227" s="164">
        <v>46.454767726161229</v>
      </c>
      <c r="C227" s="12">
        <v>5.5154976968149203</v>
      </c>
      <c r="D227" s="166">
        <v>3.0339999999999998</v>
      </c>
      <c r="E227" s="252"/>
      <c r="F227" s="252"/>
      <c r="G227" s="252"/>
      <c r="H227" s="267">
        <v>0.46894675925925927</v>
      </c>
      <c r="I227" s="252"/>
      <c r="J227" s="252"/>
      <c r="K227" s="167">
        <v>85</v>
      </c>
    </row>
    <row r="228" spans="1:11" ht="15.75" x14ac:dyDescent="0.25">
      <c r="A228" s="1" t="s">
        <v>485</v>
      </c>
      <c r="B228" s="164">
        <v>42.016806722689026</v>
      </c>
      <c r="C228" s="12"/>
      <c r="D228" s="166">
        <v>3.0539999999999998</v>
      </c>
      <c r="E228" s="252"/>
      <c r="F228" s="252"/>
      <c r="G228" s="252"/>
      <c r="H228" s="267">
        <v>0.4689814814814815</v>
      </c>
      <c r="I228" s="252"/>
      <c r="J228" s="252"/>
      <c r="K228" s="167">
        <v>86</v>
      </c>
    </row>
    <row r="229" spans="1:11" ht="15.75" x14ac:dyDescent="0.25">
      <c r="A229" s="1" t="s">
        <v>485</v>
      </c>
      <c r="B229" s="164">
        <v>43.243243243243327</v>
      </c>
      <c r="C229" s="12">
        <v>3.9275319064876912</v>
      </c>
      <c r="D229" s="166">
        <v>2.4729999999999999</v>
      </c>
      <c r="E229" s="252"/>
      <c r="F229" s="252"/>
      <c r="G229" s="252"/>
      <c r="H229" s="267">
        <v>0.46901620370370373</v>
      </c>
      <c r="I229" s="252"/>
      <c r="J229" s="252"/>
      <c r="K229" s="167">
        <v>87</v>
      </c>
    </row>
    <row r="230" spans="1:11" ht="15.75" x14ac:dyDescent="0.25">
      <c r="A230" s="1" t="s">
        <v>485</v>
      </c>
      <c r="B230" s="164">
        <v>144.48979591836752</v>
      </c>
      <c r="C230" s="12"/>
      <c r="D230" s="166">
        <v>2.6160000000000001</v>
      </c>
      <c r="E230" s="252"/>
      <c r="F230" s="252"/>
      <c r="G230" s="252"/>
      <c r="H230" s="267">
        <v>0.4690509259259259</v>
      </c>
      <c r="I230" s="252"/>
      <c r="J230" s="252"/>
      <c r="K230" s="167">
        <v>88</v>
      </c>
    </row>
    <row r="231" spans="1:11" ht="15.75" x14ac:dyDescent="0.25">
      <c r="A231" s="1" t="s">
        <v>485</v>
      </c>
      <c r="B231" s="164">
        <v>240.01979544704733</v>
      </c>
      <c r="C231" s="12">
        <v>15.122709800124632</v>
      </c>
      <c r="D231" s="166">
        <v>3.1349999999999998</v>
      </c>
      <c r="E231" s="252"/>
      <c r="F231" s="252"/>
      <c r="G231" s="252"/>
      <c r="H231" s="267">
        <v>0.46908564814814818</v>
      </c>
      <c r="I231" s="252"/>
      <c r="J231" s="252"/>
      <c r="K231" s="167">
        <v>89</v>
      </c>
    </row>
    <row r="232" spans="1:11" ht="15.75" x14ac:dyDescent="0.25">
      <c r="A232" s="1" t="s">
        <v>485</v>
      </c>
      <c r="B232" s="164">
        <v>191.19209085709622</v>
      </c>
      <c r="C232" s="12"/>
      <c r="D232" s="166">
        <v>2.9359999999999999</v>
      </c>
      <c r="E232" s="252"/>
      <c r="F232" s="252"/>
      <c r="G232" s="252"/>
      <c r="H232" s="267">
        <v>0.46912037037037035</v>
      </c>
      <c r="I232" s="252"/>
      <c r="J232" s="252"/>
      <c r="K232" s="167">
        <v>90</v>
      </c>
    </row>
    <row r="233" spans="1:11" ht="15.75" x14ac:dyDescent="0.25">
      <c r="A233" s="1" t="s">
        <v>485</v>
      </c>
      <c r="B233" s="164">
        <v>164.10842586544723</v>
      </c>
      <c r="C233" s="12">
        <v>17.196570691909024</v>
      </c>
      <c r="D233" s="166">
        <v>2.9329999999999998</v>
      </c>
      <c r="E233" s="252"/>
      <c r="F233" s="252"/>
      <c r="G233" s="252"/>
      <c r="H233" s="267">
        <v>0.46915509259259264</v>
      </c>
      <c r="I233" s="252"/>
      <c r="J233" s="252"/>
      <c r="K233" s="167">
        <v>91</v>
      </c>
    </row>
    <row r="234" spans="1:11" ht="15.75" x14ac:dyDescent="0.25">
      <c r="A234" s="1" t="s">
        <v>485</v>
      </c>
      <c r="B234" s="164">
        <v>119.19751531939913</v>
      </c>
      <c r="C234" s="12">
        <v>9.506040177851494</v>
      </c>
      <c r="D234" s="166">
        <v>2.6339999999999999</v>
      </c>
      <c r="E234" s="252"/>
      <c r="F234" s="252"/>
      <c r="G234" s="252"/>
      <c r="H234" s="267">
        <v>0.46918981481481481</v>
      </c>
      <c r="I234" s="252"/>
      <c r="J234" s="252"/>
      <c r="K234" s="167">
        <v>92</v>
      </c>
    </row>
    <row r="235" spans="1:11" ht="15.75" x14ac:dyDescent="0.25">
      <c r="A235" s="1" t="s">
        <v>485</v>
      </c>
      <c r="B235" s="164">
        <v>96.298777424216894</v>
      </c>
      <c r="C235" s="12">
        <v>6.3675166712568405</v>
      </c>
      <c r="D235" s="166">
        <v>2.97</v>
      </c>
      <c r="E235" s="252"/>
      <c r="F235" s="252"/>
      <c r="G235" s="252"/>
      <c r="H235" s="267">
        <v>0.46925925925925926</v>
      </c>
      <c r="I235" s="252"/>
      <c r="J235" s="252"/>
      <c r="K235" s="167">
        <v>93</v>
      </c>
    </row>
    <row r="236" spans="1:11" ht="15.75" x14ac:dyDescent="0.25">
      <c r="A236" s="1" t="s">
        <v>485</v>
      </c>
      <c r="B236" s="164">
        <v>96.842105263158203</v>
      </c>
      <c r="C236" s="12"/>
      <c r="D236" s="166">
        <v>2.4969999999999999</v>
      </c>
      <c r="E236" s="252"/>
      <c r="F236" s="252"/>
      <c r="G236" s="252"/>
      <c r="H236" s="267">
        <v>0.46929398148148144</v>
      </c>
      <c r="I236" s="252"/>
      <c r="J236" s="252"/>
      <c r="K236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C1" zoomScaleNormal="100" workbookViewId="0">
      <selection activeCell="L2" sqref="L2:L3"/>
    </sheetView>
    <sheetView topLeftCell="A17" workbookViewId="1">
      <selection activeCell="K32" sqref="K32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173</v>
      </c>
      <c r="M1" s="146" t="s">
        <v>118</v>
      </c>
      <c r="N1" s="146" t="s">
        <v>61</v>
      </c>
      <c r="O1" s="146" t="s">
        <v>67</v>
      </c>
      <c r="P1" s="251" t="s">
        <v>336</v>
      </c>
      <c r="Q1" s="248" t="s">
        <v>341</v>
      </c>
      <c r="R1" s="251" t="s">
        <v>337</v>
      </c>
      <c r="S1" s="248" t="s">
        <v>339</v>
      </c>
      <c r="T1" s="251" t="s">
        <v>338</v>
      </c>
      <c r="U1" s="248" t="s">
        <v>340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3.6945714904795007E-2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5.0585795410334304E-2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2.3866610111074854E-2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1.5604214566257921E-2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2.9612697020832686E-3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55" t="s">
        <v>478</v>
      </c>
      <c r="B7" s="55">
        <v>272.58000000000004</v>
      </c>
      <c r="C7" s="55">
        <v>0.23980000000000001</v>
      </c>
      <c r="D7" s="55">
        <v>0.24579999999999999</v>
      </c>
      <c r="E7" s="55">
        <f t="shared" si="0"/>
        <v>5.9999999999999776E-3</v>
      </c>
      <c r="F7" s="56">
        <f t="shared" si="2"/>
        <v>22.011886418665991</v>
      </c>
      <c r="G7" s="55">
        <v>17.7</v>
      </c>
      <c r="H7" s="57">
        <v>1.3097205793723499</v>
      </c>
      <c r="I7" s="58">
        <f t="shared" si="1"/>
        <v>4.8049034388889487</v>
      </c>
      <c r="J7" s="59">
        <v>11.551</v>
      </c>
      <c r="K7" s="55">
        <v>2.196020992868742E-3</v>
      </c>
      <c r="L7" s="55">
        <v>4.7E-2</v>
      </c>
      <c r="M7" s="55">
        <v>7.6999999999999999E-2</v>
      </c>
      <c r="N7" s="55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90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4.7293217722559986E-3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91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8.6458459025525909E-3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92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5.1272530793992542E-2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93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1.1685573981331491E-2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94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3.9307138434865746E-3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95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1.8697689558986495E-3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97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1.4822795047059564E-2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98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1.2251002525840798E-2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99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4.2785937557953402E-3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100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101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102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2.4609459226812001E-3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103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104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105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2.9850936095853161E-3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106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107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5.2553679903234417E-3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108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109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9.1131643713273404E-3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110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3.3189019617674057E-3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111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112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113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114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115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1.875785042347305E-3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  <sheetView tabSelected="1" topLeftCell="A132" workbookViewId="1">
      <selection activeCell="G166" sqref="G16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336</v>
      </c>
      <c r="N1" s="248" t="s">
        <v>341</v>
      </c>
      <c r="O1" s="251" t="s">
        <v>337</v>
      </c>
      <c r="P1" s="248" t="s">
        <v>339</v>
      </c>
      <c r="Q1" s="251" t="s">
        <v>338</v>
      </c>
      <c r="R1" s="248" t="s">
        <v>340</v>
      </c>
      <c r="AG1" s="5" t="s">
        <v>172</v>
      </c>
      <c r="AH1" s="5" t="s">
        <v>342</v>
      </c>
      <c r="AI1" s="251" t="s">
        <v>336</v>
      </c>
      <c r="AJ1" s="251" t="s">
        <v>337</v>
      </c>
      <c r="AK1" s="251" t="s">
        <v>338</v>
      </c>
    </row>
    <row r="2" spans="1:37" x14ac:dyDescent="0.25">
      <c r="A2" s="231" t="s">
        <v>181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179</v>
      </c>
      <c r="AF2" t="s">
        <v>191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182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180</v>
      </c>
      <c r="AF3" t="s">
        <v>192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183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194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184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193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185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197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186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198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187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199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188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201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189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241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190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242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191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245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192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246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194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247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193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248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195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249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196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253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197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254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198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258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199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259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200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260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201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261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202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262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203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266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204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267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205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268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206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269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207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272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208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273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209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276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210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279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211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281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212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283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213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284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214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289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215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292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216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298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217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307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218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315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219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316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220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321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221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327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222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328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223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331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224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332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225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334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226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227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228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229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230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231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232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233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234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235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236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237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238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239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240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241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242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243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244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245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246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247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248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249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250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251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252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253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254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255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256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257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258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259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260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261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262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263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264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265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266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267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268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269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270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271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272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273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274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275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276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277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278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279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280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281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282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283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284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285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286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287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288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289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290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291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292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298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293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294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295</v>
      </c>
      <c r="B120" s="6" t="s">
        <v>178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296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297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299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300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301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302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303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304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305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306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307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308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309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310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311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312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313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314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315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316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317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318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319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320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321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322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323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324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325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326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327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328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329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330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331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332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333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334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335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N32" sqref="N32"/>
    </sheetView>
    <sheetView workbookViewId="1"/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119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226" t="s">
        <v>61</v>
      </c>
      <c r="O1" s="146" t="s">
        <v>67</v>
      </c>
      <c r="P1" s="227" t="s">
        <v>170</v>
      </c>
    </row>
    <row r="2" spans="1:24" x14ac:dyDescent="0.25">
      <c r="A2" s="2" t="s">
        <v>128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120</v>
      </c>
      <c r="O2" s="228">
        <v>44394</v>
      </c>
      <c r="P2" s="222" t="s">
        <v>165</v>
      </c>
    </row>
    <row r="3" spans="1:24" x14ac:dyDescent="0.25">
      <c r="A3" s="2" t="s">
        <v>129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121</v>
      </c>
      <c r="O3" s="151">
        <v>44394</v>
      </c>
      <c r="P3" s="221" t="s">
        <v>168</v>
      </c>
    </row>
    <row r="4" spans="1:24" x14ac:dyDescent="0.25">
      <c r="A4" s="2" t="s">
        <v>130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122</v>
      </c>
      <c r="O4" s="151">
        <v>44396</v>
      </c>
      <c r="P4" s="219" t="s">
        <v>166</v>
      </c>
    </row>
    <row r="5" spans="1:24" x14ac:dyDescent="0.25">
      <c r="A5" s="2" t="s">
        <v>131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123</v>
      </c>
      <c r="O5" s="151">
        <v>44396</v>
      </c>
      <c r="P5" s="201" t="s">
        <v>169</v>
      </c>
    </row>
    <row r="6" spans="1:24" x14ac:dyDescent="0.25">
      <c r="A6" s="2" t="s">
        <v>132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124</v>
      </c>
      <c r="O6" s="151">
        <v>44413</v>
      </c>
      <c r="P6" s="225" t="s">
        <v>167</v>
      </c>
    </row>
    <row r="7" spans="1:24" x14ac:dyDescent="0.25">
      <c r="A7" s="2" t="s">
        <v>134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125</v>
      </c>
      <c r="O7" s="151">
        <v>44413</v>
      </c>
    </row>
    <row r="8" spans="1:24" x14ac:dyDescent="0.25">
      <c r="A8" s="2" t="s">
        <v>135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126</v>
      </c>
      <c r="O8" s="151">
        <v>44421</v>
      </c>
    </row>
    <row r="9" spans="1:24" ht="15.75" thickBot="1" x14ac:dyDescent="0.3">
      <c r="A9" s="114" t="s">
        <v>133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127</v>
      </c>
      <c r="O9" s="156">
        <v>44421</v>
      </c>
      <c r="Q9" t="s">
        <v>177</v>
      </c>
    </row>
    <row r="10" spans="1:24" ht="15.75" x14ac:dyDescent="0.25">
      <c r="A10" s="157" t="s">
        <v>136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171</v>
      </c>
      <c r="S10" t="s">
        <v>172</v>
      </c>
      <c r="T10" t="s">
        <v>173</v>
      </c>
      <c r="U10" t="s">
        <v>174</v>
      </c>
      <c r="V10" t="s">
        <v>116</v>
      </c>
      <c r="W10" t="s">
        <v>175</v>
      </c>
      <c r="X10" t="s">
        <v>176</v>
      </c>
    </row>
    <row r="11" spans="1:24" ht="15.75" x14ac:dyDescent="0.25">
      <c r="A11" s="1" t="s">
        <v>137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138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139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140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141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142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143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144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145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146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147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148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149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150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151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152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153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154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155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156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157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158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159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160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161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162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164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163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S111"/>
  <sheetViews>
    <sheetView workbookViewId="0">
      <selection activeCell="L2" sqref="L2"/>
    </sheetView>
    <sheetView workbookViewId="1"/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3" width="11.85546875" customWidth="1"/>
    <col min="14" max="14" width="15.28515625" customWidth="1"/>
    <col min="15" max="15" width="22.7109375" customWidth="1"/>
    <col min="17" max="17" width="12" customWidth="1"/>
    <col min="18" max="18" width="11.85546875" customWidth="1"/>
    <col min="19" max="19" width="11" customWidth="1"/>
  </cols>
  <sheetData>
    <row r="1" spans="1:19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146" t="s">
        <v>61</v>
      </c>
      <c r="O1" s="146" t="s">
        <v>67</v>
      </c>
    </row>
    <row r="2" spans="1:19" x14ac:dyDescent="0.25">
      <c r="A2" s="1" t="s">
        <v>343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1">
        <v>2.1269999999999998</v>
      </c>
      <c r="K2" s="1">
        <v>5.1576641217063925E-5</v>
      </c>
      <c r="L2" s="1">
        <v>2.3E-2</v>
      </c>
      <c r="M2" s="1">
        <v>0.03</v>
      </c>
      <c r="N2" s="1" t="s">
        <v>359</v>
      </c>
      <c r="O2" s="267">
        <v>0.72638888888888886</v>
      </c>
      <c r="Q2" s="270" t="s">
        <v>375</v>
      </c>
      <c r="R2" s="270"/>
      <c r="S2" s="270"/>
    </row>
    <row r="3" spans="1:19" x14ac:dyDescent="0.25">
      <c r="A3" s="1" t="s">
        <v>344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1">
        <v>1.3859999999999999</v>
      </c>
      <c r="K3" s="1">
        <v>2.9040962645844913E-4</v>
      </c>
      <c r="L3" s="1">
        <v>2.1999999999999999E-2</v>
      </c>
      <c r="M3" s="1">
        <v>3.9E-2</v>
      </c>
      <c r="N3" s="1" t="s">
        <v>360</v>
      </c>
      <c r="O3" s="267">
        <v>0.72849999999999882</v>
      </c>
      <c r="Q3" s="222" t="s">
        <v>470</v>
      </c>
      <c r="R3" s="5"/>
      <c r="S3" s="5"/>
    </row>
    <row r="4" spans="1:19" x14ac:dyDescent="0.25">
      <c r="A4" s="1" t="s">
        <v>345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1">
        <v>1.5820000000000001</v>
      </c>
      <c r="K4" s="1">
        <v>6.6106276627512963E-4</v>
      </c>
      <c r="L4" s="1">
        <v>2.4E-2</v>
      </c>
      <c r="M4" s="1">
        <v>4.5999999999999999E-2</v>
      </c>
      <c r="N4" s="1" t="s">
        <v>361</v>
      </c>
      <c r="O4" s="267">
        <v>0.73061111111110877</v>
      </c>
      <c r="Q4" s="201" t="s">
        <v>471</v>
      </c>
      <c r="R4" s="5"/>
      <c r="S4" s="5"/>
    </row>
    <row r="5" spans="1:19" x14ac:dyDescent="0.25">
      <c r="A5" s="1" t="s">
        <v>346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1">
        <v>1.643</v>
      </c>
      <c r="K5" s="1">
        <v>2.2224172067829232E-3</v>
      </c>
      <c r="L5" s="1">
        <v>2.1999999999999999E-2</v>
      </c>
      <c r="M5" s="1">
        <v>7.1999999999999995E-2</v>
      </c>
      <c r="N5" s="1" t="s">
        <v>362</v>
      </c>
      <c r="O5" s="267">
        <v>0.73272222222221872</v>
      </c>
      <c r="Q5" s="219" t="s">
        <v>472</v>
      </c>
      <c r="R5" s="5"/>
      <c r="S5" s="5"/>
    </row>
    <row r="6" spans="1:19" x14ac:dyDescent="0.25">
      <c r="A6" s="1" t="s">
        <v>347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1">
        <v>1.5389999999999999</v>
      </c>
      <c r="K6" s="1">
        <v>2.0552078586848492E-3</v>
      </c>
      <c r="L6" s="1">
        <v>1.9E-2</v>
      </c>
      <c r="M6" s="1">
        <v>8.1000000000000003E-2</v>
      </c>
      <c r="N6" s="1" t="s">
        <v>363</v>
      </c>
      <c r="O6" s="267">
        <v>0.73483333333332868</v>
      </c>
      <c r="Q6" s="221" t="s">
        <v>473</v>
      </c>
      <c r="R6" s="5"/>
      <c r="S6" s="5"/>
    </row>
    <row r="7" spans="1:19" x14ac:dyDescent="0.25">
      <c r="A7" s="1" t="s">
        <v>348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1">
        <v>1.502</v>
      </c>
      <c r="K7" s="1">
        <v>2.3927254516111322E-3</v>
      </c>
      <c r="L7" s="1">
        <v>1.7999999999999999E-2</v>
      </c>
      <c r="M7" s="1">
        <v>0.11799999999999999</v>
      </c>
      <c r="N7" s="1" t="s">
        <v>364</v>
      </c>
      <c r="O7" s="267">
        <v>0.73694444444443863</v>
      </c>
      <c r="Q7" s="222" t="s">
        <v>474</v>
      </c>
      <c r="R7" s="5"/>
      <c r="S7" s="5"/>
    </row>
    <row r="8" spans="1:19" x14ac:dyDescent="0.25">
      <c r="A8" s="1" t="s">
        <v>349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1">
        <v>1.46</v>
      </c>
      <c r="K8" s="1">
        <v>2.5382950090458741E-4</v>
      </c>
      <c r="L8" s="1">
        <v>1.9E-2</v>
      </c>
      <c r="M8" s="1">
        <v>0.05</v>
      </c>
      <c r="N8" s="1" t="s">
        <v>365</v>
      </c>
      <c r="O8" s="267">
        <v>0.73905555555554858</v>
      </c>
      <c r="Q8" s="201" t="s">
        <v>475</v>
      </c>
      <c r="R8" s="5"/>
      <c r="S8" s="5"/>
    </row>
    <row r="9" spans="1:19" x14ac:dyDescent="0.25">
      <c r="A9" s="1" t="s">
        <v>350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1">
        <v>1.4370000000000001</v>
      </c>
      <c r="K9" s="1">
        <v>3.8420401139033575E-4</v>
      </c>
      <c r="L9" s="1">
        <v>1.9E-2</v>
      </c>
      <c r="M9" s="1">
        <v>3.3000000000000002E-2</v>
      </c>
      <c r="N9" s="1" t="s">
        <v>366</v>
      </c>
      <c r="O9" s="267">
        <v>0.74116666666665854</v>
      </c>
      <c r="Q9" s="219" t="s">
        <v>477</v>
      </c>
      <c r="R9" s="5"/>
      <c r="S9" s="5"/>
    </row>
    <row r="10" spans="1:19" x14ac:dyDescent="0.25">
      <c r="A10" s="1" t="s">
        <v>351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1">
        <v>1.6559999999999999</v>
      </c>
      <c r="K10" s="1">
        <v>4.6887855651876298E-5</v>
      </c>
      <c r="L10" s="1">
        <v>1.9E-2</v>
      </c>
      <c r="M10" s="1">
        <v>0.03</v>
      </c>
      <c r="N10" s="1" t="s">
        <v>367</v>
      </c>
      <c r="O10" s="267">
        <v>0.74327777777776849</v>
      </c>
      <c r="Q10" s="221" t="s">
        <v>476</v>
      </c>
      <c r="R10" s="5"/>
      <c r="S10" s="5"/>
    </row>
    <row r="11" spans="1:19" x14ac:dyDescent="0.25">
      <c r="A11" s="1" t="s">
        <v>352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1">
        <v>1.7370000000000001</v>
      </c>
      <c r="K11" s="1">
        <v>1.2779120936401461E-4</v>
      </c>
      <c r="L11" s="1">
        <v>2.1000000000000001E-2</v>
      </c>
      <c r="M11" s="1">
        <v>2.7E-2</v>
      </c>
      <c r="N11" s="1" t="s">
        <v>368</v>
      </c>
      <c r="O11" s="267">
        <v>0.74538888888887844</v>
      </c>
    </row>
    <row r="12" spans="1:19" x14ac:dyDescent="0.25">
      <c r="A12" s="1" t="s">
        <v>353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1">
        <v>1.4590000000000001</v>
      </c>
      <c r="K12" s="1">
        <v>4.4474966741118462E-6</v>
      </c>
      <c r="L12" s="1">
        <v>2.1999999999999999E-2</v>
      </c>
      <c r="M12" s="1">
        <v>2.7E-2</v>
      </c>
      <c r="N12" s="1" t="s">
        <v>369</v>
      </c>
      <c r="O12" s="267">
        <v>0.7474999999999884</v>
      </c>
    </row>
    <row r="13" spans="1:19" x14ac:dyDescent="0.25">
      <c r="A13" s="1" t="s">
        <v>354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1">
        <v>1.6379999999999999</v>
      </c>
      <c r="K13" s="1">
        <v>4.6887855651876298E-5</v>
      </c>
      <c r="L13" s="1">
        <v>1.9E-2</v>
      </c>
      <c r="M13" s="1">
        <v>2.5999999999999999E-2</v>
      </c>
      <c r="N13" s="1" t="s">
        <v>370</v>
      </c>
      <c r="O13" s="267">
        <v>0.74961111111109835</v>
      </c>
    </row>
    <row r="14" spans="1:19" x14ac:dyDescent="0.25">
      <c r="A14" s="1" t="s">
        <v>355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1">
        <v>1.7050000000000001</v>
      </c>
      <c r="K14" s="1">
        <v>1.4986210786444661E-4</v>
      </c>
      <c r="L14" s="1">
        <v>0.02</v>
      </c>
      <c r="M14" s="1">
        <v>3.1E-2</v>
      </c>
      <c r="N14" s="1" t="s">
        <v>371</v>
      </c>
      <c r="O14" s="267">
        <v>0.7517222222222083</v>
      </c>
    </row>
    <row r="15" spans="1:19" x14ac:dyDescent="0.25">
      <c r="A15" s="1" t="s">
        <v>356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1">
        <v>1.7070000000000001</v>
      </c>
      <c r="K15" s="1">
        <v>5.1576641217063925E-5</v>
      </c>
      <c r="L15" s="1">
        <v>0.02</v>
      </c>
      <c r="M15" s="1">
        <v>2.4E-2</v>
      </c>
      <c r="N15" s="1" t="s">
        <v>372</v>
      </c>
      <c r="O15" s="267">
        <v>0.75383333333331826</v>
      </c>
    </row>
    <row r="16" spans="1:19" x14ac:dyDescent="0.25">
      <c r="A16" s="1" t="s">
        <v>357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1">
        <v>1.681</v>
      </c>
      <c r="K16" s="1">
        <v>4.8981773007164672E-4</v>
      </c>
      <c r="L16" s="1">
        <v>2.1999999999999999E-2</v>
      </c>
      <c r="M16" s="1">
        <v>2.5000000000000001E-2</v>
      </c>
      <c r="N16" s="1" t="s">
        <v>373</v>
      </c>
      <c r="O16" s="267">
        <v>0.75594444444442821</v>
      </c>
    </row>
    <row r="17" spans="1:15" x14ac:dyDescent="0.25">
      <c r="A17" s="1" t="s">
        <v>358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1">
        <v>1.262</v>
      </c>
      <c r="K17" s="1">
        <v>4.9120610682918029E-5</v>
      </c>
      <c r="L17" s="1">
        <v>2.1000000000000001E-2</v>
      </c>
      <c r="M17" s="1">
        <v>0.03</v>
      </c>
      <c r="N17" s="1" t="s">
        <v>374</v>
      </c>
      <c r="O17" s="267">
        <v>0.75805555555553816</v>
      </c>
    </row>
    <row r="18" spans="1:15" ht="15.75" x14ac:dyDescent="0.25">
      <c r="A18" s="2" t="s">
        <v>376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4">
        <v>1.003934430437827E-2</v>
      </c>
      <c r="L18" s="254">
        <v>2.45715E-2</v>
      </c>
      <c r="M18" s="254">
        <v>6.0180800000000007E-2</v>
      </c>
      <c r="N18" s="255">
        <v>1</v>
      </c>
      <c r="O18" s="266">
        <v>0.49802083333333336</v>
      </c>
    </row>
    <row r="19" spans="1:15" ht="15.75" x14ac:dyDescent="0.25">
      <c r="A19" s="2" t="s">
        <v>377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4">
        <v>2.2338385851655443E-2</v>
      </c>
      <c r="L19" s="254">
        <v>1.7498300000000022E-2</v>
      </c>
      <c r="M19" s="254">
        <v>3.6531200000000014E-2</v>
      </c>
      <c r="N19" s="255">
        <v>2</v>
      </c>
      <c r="O19" s="266">
        <v>0.49815972222222221</v>
      </c>
    </row>
    <row r="20" spans="1:15" ht="15.75" x14ac:dyDescent="0.25">
      <c r="A20" s="2" t="s">
        <v>378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4">
        <v>9.8099758295017991E-3</v>
      </c>
      <c r="L20" s="254">
        <v>2.1034899999999995E-2</v>
      </c>
      <c r="M20" s="254">
        <v>3.28928E-2</v>
      </c>
      <c r="N20" s="255">
        <v>3</v>
      </c>
      <c r="O20" s="266">
        <v>0.49828703703703708</v>
      </c>
    </row>
    <row r="21" spans="1:15" ht="15.75" x14ac:dyDescent="0.25">
      <c r="A21" s="2" t="s">
        <v>379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4">
        <v>1.031870116219955E-2</v>
      </c>
      <c r="L21" s="254">
        <v>2.9876399999999997E-2</v>
      </c>
      <c r="M21" s="254">
        <v>3.28928E-2</v>
      </c>
      <c r="N21" s="255">
        <v>4</v>
      </c>
      <c r="O21" s="266">
        <v>0.49840277777777775</v>
      </c>
    </row>
    <row r="22" spans="1:15" ht="15.75" x14ac:dyDescent="0.25">
      <c r="A22" s="2" t="s">
        <v>380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4">
        <v>6.2101564483107649E-3</v>
      </c>
      <c r="L22" s="254">
        <v>2.6339799999999997E-2</v>
      </c>
      <c r="M22" s="254">
        <v>3.4711999999999993E-2</v>
      </c>
      <c r="N22" s="255">
        <v>5</v>
      </c>
      <c r="O22" s="266">
        <v>0.49853009259259262</v>
      </c>
    </row>
    <row r="23" spans="1:15" ht="15.75" x14ac:dyDescent="0.25">
      <c r="A23" s="2" t="s">
        <v>381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4">
        <v>5.2426659536415413E-3</v>
      </c>
      <c r="L23" s="254">
        <v>2.8108099999999997E-2</v>
      </c>
      <c r="M23" s="254">
        <v>8.9288000000000034E-2</v>
      </c>
      <c r="N23" s="255">
        <v>6</v>
      </c>
      <c r="O23" s="266">
        <v>0.49865740740740744</v>
      </c>
    </row>
    <row r="24" spans="1:15" ht="15.75" x14ac:dyDescent="0.25">
      <c r="A24" s="2" t="s">
        <v>382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4">
        <v>3.2996877945532998E-3</v>
      </c>
      <c r="L24" s="254">
        <v>2.8108099999999997E-2</v>
      </c>
      <c r="M24" s="254">
        <v>3.8350400000000007E-2</v>
      </c>
      <c r="N24" s="255">
        <v>7</v>
      </c>
      <c r="O24" s="266">
        <v>0.49877314814814816</v>
      </c>
    </row>
    <row r="25" spans="1:15" ht="15.75" x14ac:dyDescent="0.25">
      <c r="A25" s="2" t="s">
        <v>383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4">
        <v>2.600539216633088E-3</v>
      </c>
      <c r="L25" s="254">
        <v>2.9876399999999997E-2</v>
      </c>
      <c r="M25" s="254">
        <v>3.4711999999999993E-2</v>
      </c>
      <c r="N25" s="255">
        <v>8</v>
      </c>
      <c r="O25" s="266">
        <v>0.49890046296296298</v>
      </c>
    </row>
    <row r="26" spans="1:15" ht="15.75" x14ac:dyDescent="0.25">
      <c r="A26" s="2" t="s">
        <v>384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4">
        <v>2.618500653426792E-3</v>
      </c>
      <c r="L26" s="254">
        <v>2.4571499999999996E-2</v>
      </c>
      <c r="M26" s="254">
        <v>4.01696E-2</v>
      </c>
      <c r="N26" s="255">
        <v>9</v>
      </c>
      <c r="O26" s="266">
        <v>0.4990046296296296</v>
      </c>
    </row>
    <row r="27" spans="1:15" ht="15.75" x14ac:dyDescent="0.25">
      <c r="A27" s="2" t="s">
        <v>385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4">
        <v>4.3689279273505278E-3</v>
      </c>
      <c r="L27" s="254">
        <v>2.8108099999999997E-2</v>
      </c>
      <c r="M27" s="254">
        <v>3.8350400000000007E-2</v>
      </c>
      <c r="N27" s="255">
        <v>10</v>
      </c>
      <c r="O27" s="266">
        <v>0.49912037037037038</v>
      </c>
    </row>
    <row r="28" spans="1:15" ht="15.75" x14ac:dyDescent="0.25">
      <c r="A28" s="2" t="s">
        <v>386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4">
        <v>3.1173927792587626E-3</v>
      </c>
      <c r="L28" s="254">
        <v>2.6339799999999997E-2</v>
      </c>
      <c r="M28" s="254">
        <v>3.28928E-2</v>
      </c>
      <c r="N28" s="255">
        <v>11</v>
      </c>
      <c r="O28" s="266">
        <v>0.49923611111111116</v>
      </c>
    </row>
    <row r="29" spans="1:15" ht="15.75" x14ac:dyDescent="0.25">
      <c r="A29" s="2" t="s">
        <v>387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5">
        <v>0.38750065033160025</v>
      </c>
      <c r="I29" s="14">
        <f t="shared" si="3"/>
        <v>3.2415982125782183</v>
      </c>
      <c r="J29" s="254">
        <v>2.3130000000000002</v>
      </c>
      <c r="K29" s="254">
        <v>2.5711583887521052E-3</v>
      </c>
      <c r="L29" s="254">
        <v>1.9266599999999995E-2</v>
      </c>
      <c r="M29" s="254">
        <v>3.6531200000000014E-2</v>
      </c>
      <c r="N29" s="255">
        <v>12</v>
      </c>
      <c r="O29" s="266">
        <v>0.49935185185185182</v>
      </c>
    </row>
    <row r="30" spans="1:15" ht="15.75" x14ac:dyDescent="0.25">
      <c r="A30" s="2" t="s">
        <v>388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4">
        <v>2.600539216633088E-3</v>
      </c>
      <c r="L30" s="254">
        <v>2.1034899999999995E-2</v>
      </c>
      <c r="M30" s="254">
        <v>3.4711999999999993E-2</v>
      </c>
      <c r="N30" s="255">
        <v>13</v>
      </c>
      <c r="O30" s="266">
        <v>0.49945601851851856</v>
      </c>
    </row>
    <row r="31" spans="1:15" ht="15.75" x14ac:dyDescent="0.25">
      <c r="A31" s="2" t="s">
        <v>389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4">
        <v>2.2886277341208801E-3</v>
      </c>
      <c r="L31" s="254">
        <v>2.2803199999999996E-2</v>
      </c>
      <c r="M31" s="254">
        <v>3.8350400000000007E-2</v>
      </c>
      <c r="N31" s="255">
        <v>14</v>
      </c>
      <c r="O31" s="266">
        <v>0.49958333333333332</v>
      </c>
    </row>
    <row r="32" spans="1:15" ht="15.75" x14ac:dyDescent="0.25">
      <c r="A32" s="6" t="s">
        <v>390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3">
        <v>0.40833207437825553</v>
      </c>
      <c r="I32" s="7">
        <f t="shared" si="3"/>
        <v>3.3278897667339491</v>
      </c>
      <c r="J32" s="256">
        <v>2.718</v>
      </c>
      <c r="K32" s="256"/>
      <c r="L32" s="256"/>
      <c r="M32" s="256"/>
      <c r="N32" s="194">
        <v>15</v>
      </c>
      <c r="O32" s="268">
        <v>7.8923611111111111E-2</v>
      </c>
    </row>
    <row r="33" spans="1:15" ht="15.75" x14ac:dyDescent="0.25">
      <c r="A33" s="6" t="s">
        <v>391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3">
        <v>0.80993612318169206</v>
      </c>
      <c r="I33" s="7">
        <f t="shared" si="3"/>
        <v>6.6628506349267198</v>
      </c>
      <c r="J33" s="256">
        <v>2.6819999999999999</v>
      </c>
      <c r="K33" s="256"/>
      <c r="L33" s="256"/>
      <c r="M33" s="256"/>
      <c r="N33" s="194">
        <v>16</v>
      </c>
      <c r="O33" s="268">
        <v>7.9050925925925927E-2</v>
      </c>
    </row>
    <row r="34" spans="1:15" ht="15.75" x14ac:dyDescent="0.25">
      <c r="A34" s="6" t="s">
        <v>392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3">
        <v>1.474205448106104</v>
      </c>
      <c r="I34" s="7">
        <f t="shared" si="3"/>
        <v>12.041210880553001</v>
      </c>
      <c r="J34" s="256">
        <v>2.6440000000000001</v>
      </c>
      <c r="K34" s="256"/>
      <c r="L34" s="256"/>
      <c r="M34" s="256"/>
      <c r="N34" s="194">
        <v>17</v>
      </c>
      <c r="O34" s="268">
        <v>7.9166666666666663E-2</v>
      </c>
    </row>
    <row r="35" spans="1:15" ht="15.75" x14ac:dyDescent="0.25">
      <c r="A35" s="6" t="s">
        <v>393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256"/>
      <c r="L35" s="256"/>
      <c r="M35" s="256"/>
      <c r="N35" s="194">
        <v>18</v>
      </c>
      <c r="O35" s="268">
        <v>7.9282407407407399E-2</v>
      </c>
    </row>
    <row r="36" spans="1:15" ht="15.75" x14ac:dyDescent="0.25">
      <c r="A36" s="6" t="s">
        <v>394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3">
        <v>0.97576711126086391</v>
      </c>
      <c r="I36" s="7">
        <f t="shared" si="3"/>
        <v>8.058197301683574</v>
      </c>
      <c r="J36" s="256">
        <v>2.8079999999999998</v>
      </c>
      <c r="K36" s="256"/>
      <c r="L36" s="256"/>
      <c r="M36" s="256"/>
      <c r="N36" s="194">
        <v>19</v>
      </c>
      <c r="O36" s="268">
        <v>7.9398148148148148E-2</v>
      </c>
    </row>
    <row r="37" spans="1:15" ht="15.75" x14ac:dyDescent="0.25">
      <c r="A37" s="6" t="s">
        <v>395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256"/>
      <c r="L37" s="256"/>
      <c r="M37" s="256"/>
      <c r="N37" s="194">
        <v>20</v>
      </c>
      <c r="O37" s="268">
        <v>7.9513888888888884E-2</v>
      </c>
    </row>
    <row r="38" spans="1:15" ht="15.75" x14ac:dyDescent="0.25">
      <c r="A38" s="6" t="s">
        <v>396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256"/>
      <c r="L38" s="256"/>
      <c r="M38" s="256"/>
      <c r="N38" s="194">
        <v>21</v>
      </c>
      <c r="O38" s="268">
        <v>7.962962962962962E-2</v>
      </c>
    </row>
    <row r="39" spans="1:15" ht="15.75" x14ac:dyDescent="0.25">
      <c r="A39" s="6" t="s">
        <v>397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3">
        <v>0.61806168943374584</v>
      </c>
      <c r="I39" s="7">
        <f t="shared" si="3"/>
        <v>5.0565465878568743</v>
      </c>
      <c r="J39" s="256">
        <v>2.7559999999999998</v>
      </c>
      <c r="K39" s="256"/>
      <c r="L39" s="256"/>
      <c r="M39" s="256"/>
      <c r="N39" s="194">
        <v>22</v>
      </c>
      <c r="O39" s="268">
        <v>7.9745370370370369E-2</v>
      </c>
    </row>
    <row r="40" spans="1:15" ht="15.75" x14ac:dyDescent="0.25">
      <c r="A40" s="6" t="s">
        <v>398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256"/>
      <c r="L40" s="256"/>
      <c r="M40" s="256"/>
      <c r="N40" s="194">
        <v>23</v>
      </c>
      <c r="O40" s="268">
        <v>7.9861111111111105E-2</v>
      </c>
    </row>
    <row r="41" spans="1:15" ht="15.75" x14ac:dyDescent="0.25">
      <c r="A41" s="6" t="s">
        <v>399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256"/>
      <c r="L41" s="256"/>
      <c r="M41" s="256"/>
      <c r="N41" s="194">
        <v>24</v>
      </c>
      <c r="O41" s="268">
        <v>7.9976851851851841E-2</v>
      </c>
    </row>
    <row r="42" spans="1:15" ht="15.75" x14ac:dyDescent="0.25">
      <c r="A42" s="6" t="s">
        <v>400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256"/>
      <c r="L42" s="256"/>
      <c r="M42" s="256"/>
      <c r="N42" s="194">
        <v>25</v>
      </c>
      <c r="O42" s="268">
        <v>8.009259259259259E-2</v>
      </c>
    </row>
    <row r="43" spans="1:15" ht="15.75" x14ac:dyDescent="0.25">
      <c r="A43" s="6" t="s">
        <v>401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256"/>
      <c r="L43" s="256"/>
      <c r="M43" s="256"/>
      <c r="N43" s="194">
        <v>26</v>
      </c>
      <c r="O43" s="268">
        <v>8.020833333333334E-2</v>
      </c>
    </row>
    <row r="44" spans="1:15" ht="15.75" x14ac:dyDescent="0.25">
      <c r="A44" s="6" t="s">
        <v>402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256"/>
      <c r="L44" s="256"/>
      <c r="M44" s="256"/>
      <c r="N44" s="194">
        <v>27</v>
      </c>
      <c r="O44" s="268">
        <v>8.0324074074074062E-2</v>
      </c>
    </row>
    <row r="45" spans="1:15" ht="15.75" x14ac:dyDescent="0.25">
      <c r="A45" s="6" t="s">
        <v>403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256"/>
      <c r="L45" s="256"/>
      <c r="M45" s="256"/>
      <c r="N45" s="194">
        <v>28</v>
      </c>
      <c r="O45" s="268">
        <v>8.0439814814814811E-2</v>
      </c>
    </row>
    <row r="46" spans="1:15" ht="15.75" x14ac:dyDescent="0.25">
      <c r="A46" s="6" t="s">
        <v>404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256"/>
      <c r="L46" s="256"/>
      <c r="M46" s="256"/>
      <c r="N46" s="194">
        <v>29</v>
      </c>
      <c r="O46" s="268">
        <v>8.0555555555555561E-2</v>
      </c>
    </row>
    <row r="47" spans="1:15" ht="15.75" x14ac:dyDescent="0.25">
      <c r="A47" s="6" t="s">
        <v>405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256"/>
      <c r="L47" s="256"/>
      <c r="M47" s="256"/>
      <c r="N47" s="194">
        <v>30</v>
      </c>
      <c r="O47" s="268">
        <v>8.0671296296296297E-2</v>
      </c>
    </row>
    <row r="48" spans="1:15" ht="15.75" x14ac:dyDescent="0.25">
      <c r="A48" s="257" t="s">
        <v>406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3"/>
      <c r="L48" s="183"/>
      <c r="M48" s="183"/>
      <c r="N48" s="184">
        <v>31</v>
      </c>
      <c r="O48" s="269">
        <v>0.10474537037037036</v>
      </c>
    </row>
    <row r="49" spans="1:15" ht="15.75" x14ac:dyDescent="0.25">
      <c r="A49" s="258" t="s">
        <v>407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3"/>
      <c r="L49" s="183"/>
      <c r="M49" s="183"/>
      <c r="N49" s="184">
        <v>32</v>
      </c>
      <c r="O49" s="269">
        <v>0.10486111111111111</v>
      </c>
    </row>
    <row r="50" spans="1:15" ht="15.75" x14ac:dyDescent="0.25">
      <c r="A50" s="258" t="s">
        <v>408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3"/>
      <c r="L50" s="183"/>
      <c r="M50" s="183"/>
      <c r="N50" s="184">
        <v>33</v>
      </c>
      <c r="O50" s="269">
        <v>0.10497685185185185</v>
      </c>
    </row>
    <row r="51" spans="1:15" ht="15.75" x14ac:dyDescent="0.25">
      <c r="A51" s="258" t="s">
        <v>409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3"/>
      <c r="L51" s="183"/>
      <c r="M51" s="183"/>
      <c r="N51" s="184">
        <v>34</v>
      </c>
      <c r="O51" s="269">
        <v>0.10509259259259258</v>
      </c>
    </row>
    <row r="52" spans="1:15" ht="15.75" x14ac:dyDescent="0.25">
      <c r="A52" s="258" t="s">
        <v>410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3"/>
      <c r="L52" s="183"/>
      <c r="M52" s="183"/>
      <c r="N52" s="184">
        <v>35</v>
      </c>
      <c r="O52" s="269">
        <v>0.10520833333333333</v>
      </c>
    </row>
    <row r="53" spans="1:15" ht="15.75" x14ac:dyDescent="0.25">
      <c r="A53" s="258" t="s">
        <v>411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3"/>
      <c r="L53" s="183"/>
      <c r="M53" s="183"/>
      <c r="N53" s="184">
        <v>36</v>
      </c>
      <c r="O53" s="269">
        <v>0.10532407407407407</v>
      </c>
    </row>
    <row r="54" spans="1:15" ht="15.75" x14ac:dyDescent="0.25">
      <c r="A54" s="258" t="s">
        <v>412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3"/>
      <c r="L54" s="183"/>
      <c r="M54" s="183"/>
      <c r="N54" s="184">
        <v>37</v>
      </c>
      <c r="O54" s="269">
        <v>0.10543981481481481</v>
      </c>
    </row>
    <row r="55" spans="1:15" ht="15.75" x14ac:dyDescent="0.25">
      <c r="A55" s="258" t="s">
        <v>413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3"/>
      <c r="L55" s="183"/>
      <c r="M55" s="183"/>
      <c r="N55" s="184">
        <v>38</v>
      </c>
      <c r="O55" s="269">
        <v>0.10555555555555556</v>
      </c>
    </row>
    <row r="56" spans="1:15" ht="15.75" x14ac:dyDescent="0.25">
      <c r="A56" s="258" t="s">
        <v>414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3"/>
      <c r="L56" s="183"/>
      <c r="M56" s="183"/>
      <c r="N56" s="184">
        <v>39</v>
      </c>
      <c r="O56" s="269">
        <v>0.10567129629629629</v>
      </c>
    </row>
    <row r="57" spans="1:15" ht="15.75" x14ac:dyDescent="0.25">
      <c r="A57" s="258" t="s">
        <v>415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3"/>
      <c r="L57" s="183"/>
      <c r="M57" s="183"/>
      <c r="N57" s="184">
        <v>40</v>
      </c>
      <c r="O57" s="269">
        <v>0.10578703703703703</v>
      </c>
    </row>
    <row r="58" spans="1:15" ht="15.75" x14ac:dyDescent="0.25">
      <c r="A58" s="258" t="s">
        <v>416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3"/>
      <c r="L58" s="183"/>
      <c r="M58" s="183"/>
      <c r="N58" s="184">
        <v>41</v>
      </c>
      <c r="O58" s="269">
        <v>0.10590277777777778</v>
      </c>
    </row>
    <row r="59" spans="1:15" ht="15.75" x14ac:dyDescent="0.25">
      <c r="A59" s="258" t="s">
        <v>417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3"/>
      <c r="L59" s="183"/>
      <c r="M59" s="183"/>
      <c r="N59" s="184">
        <v>42</v>
      </c>
      <c r="O59" s="269">
        <v>0.10601851851851851</v>
      </c>
    </row>
    <row r="60" spans="1:15" ht="15.75" x14ac:dyDescent="0.25">
      <c r="A60" s="258" t="s">
        <v>418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3"/>
      <c r="L60" s="183"/>
      <c r="M60" s="183"/>
      <c r="N60" s="184">
        <v>43</v>
      </c>
      <c r="O60" s="269">
        <v>0.10613425925925928</v>
      </c>
    </row>
    <row r="61" spans="1:15" ht="15.75" x14ac:dyDescent="0.25">
      <c r="A61" s="260" t="s">
        <v>419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6"/>
      <c r="L61" s="166"/>
      <c r="M61" s="166"/>
      <c r="N61" s="167">
        <v>44</v>
      </c>
      <c r="O61" s="267">
        <v>0.4397685185185185</v>
      </c>
    </row>
    <row r="62" spans="1:15" ht="15.75" x14ac:dyDescent="0.25">
      <c r="A62" s="260" t="s">
        <v>420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6"/>
      <c r="L62" s="166"/>
      <c r="M62" s="166"/>
      <c r="N62" s="167">
        <v>45</v>
      </c>
      <c r="O62" s="267">
        <v>0.44150462962962966</v>
      </c>
    </row>
    <row r="63" spans="1:15" ht="15.75" x14ac:dyDescent="0.25">
      <c r="A63" s="260" t="s">
        <v>421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6"/>
      <c r="L63" s="166"/>
      <c r="M63" s="166"/>
      <c r="N63" s="167">
        <v>46</v>
      </c>
      <c r="O63" s="267">
        <v>0.44156250000000002</v>
      </c>
    </row>
    <row r="64" spans="1:15" ht="15.75" x14ac:dyDescent="0.25">
      <c r="A64" s="260" t="s">
        <v>422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6"/>
      <c r="L64" s="166"/>
      <c r="M64" s="166"/>
      <c r="N64" s="167">
        <v>47</v>
      </c>
      <c r="O64" s="267">
        <v>0.44162037037037033</v>
      </c>
    </row>
    <row r="65" spans="1:15" ht="15.75" x14ac:dyDescent="0.25">
      <c r="A65" s="260" t="s">
        <v>423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6"/>
      <c r="L65" s="166"/>
      <c r="M65" s="166"/>
      <c r="N65" s="167">
        <v>48</v>
      </c>
      <c r="O65" s="267">
        <v>0.44167824074074075</v>
      </c>
    </row>
    <row r="66" spans="1:15" ht="15.75" x14ac:dyDescent="0.25">
      <c r="A66" s="260" t="s">
        <v>424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6"/>
      <c r="L66" s="166"/>
      <c r="M66" s="166"/>
      <c r="N66" s="167">
        <v>49</v>
      </c>
      <c r="O66" s="267">
        <v>0.4417476851851852</v>
      </c>
    </row>
    <row r="67" spans="1:15" ht="15.75" x14ac:dyDescent="0.25">
      <c r="A67" s="260" t="s">
        <v>425</v>
      </c>
      <c r="B67" s="1">
        <v>121.75</v>
      </c>
      <c r="C67" s="1">
        <v>0.23380000000000001</v>
      </c>
      <c r="D67" s="1">
        <v>0.24360000000000001</v>
      </c>
      <c r="E67" s="1">
        <f t="shared" ref="E67:E111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6"/>
      <c r="L67" s="166"/>
      <c r="M67" s="166"/>
      <c r="N67" s="167">
        <v>50</v>
      </c>
      <c r="O67" s="267">
        <v>0.44184027777777773</v>
      </c>
    </row>
    <row r="68" spans="1:15" ht="15.75" x14ac:dyDescent="0.25">
      <c r="A68" s="260" t="s">
        <v>426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6"/>
      <c r="L68" s="166"/>
      <c r="M68" s="166"/>
      <c r="N68" s="167">
        <v>51</v>
      </c>
      <c r="O68" s="267">
        <v>0.44195601851851851</v>
      </c>
    </row>
    <row r="69" spans="1:15" ht="15.75" x14ac:dyDescent="0.25">
      <c r="A69" s="260" t="s">
        <v>427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6"/>
      <c r="L69" s="166"/>
      <c r="M69" s="166"/>
      <c r="N69" s="167">
        <v>52</v>
      </c>
      <c r="O69" s="267">
        <v>0.44208333333333333</v>
      </c>
    </row>
    <row r="70" spans="1:15" ht="15.75" x14ac:dyDescent="0.25">
      <c r="A70" s="260" t="s">
        <v>428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6"/>
      <c r="L70" s="166"/>
      <c r="M70" s="166"/>
      <c r="N70" s="167">
        <v>53</v>
      </c>
      <c r="O70" s="267">
        <v>0.4422106481481482</v>
      </c>
    </row>
    <row r="71" spans="1:15" ht="15.75" x14ac:dyDescent="0.25">
      <c r="A71" s="260" t="s">
        <v>429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6"/>
      <c r="L71" s="166"/>
      <c r="M71" s="166"/>
      <c r="N71" s="167">
        <v>54</v>
      </c>
      <c r="O71" s="267">
        <v>0.44232638888888887</v>
      </c>
    </row>
    <row r="72" spans="1:15" ht="15.75" x14ac:dyDescent="0.25">
      <c r="A72" s="260" t="s">
        <v>430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6"/>
      <c r="L72" s="166"/>
      <c r="M72" s="166"/>
      <c r="N72" s="167">
        <v>55</v>
      </c>
      <c r="O72" s="267">
        <v>0.44244212962962964</v>
      </c>
    </row>
    <row r="73" spans="1:15" ht="15.75" x14ac:dyDescent="0.25">
      <c r="A73" s="148" t="s">
        <v>431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4">
        <v>8.0744786331715737E-3</v>
      </c>
      <c r="L73" s="254">
        <v>2.2803199999999996E-2</v>
      </c>
      <c r="M73" s="254">
        <v>2.9254399999999986E-2</v>
      </c>
      <c r="N73" s="255">
        <v>56</v>
      </c>
      <c r="O73" s="266">
        <v>0.46828703703703706</v>
      </c>
    </row>
    <row r="74" spans="1:15" ht="15.75" x14ac:dyDescent="0.25">
      <c r="A74" s="148" t="s">
        <v>432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4">
        <v>2.3321471582393793E-2</v>
      </c>
      <c r="L74" s="254">
        <v>1.9266599999999995E-2</v>
      </c>
      <c r="M74" s="254">
        <v>5.47232E-2</v>
      </c>
      <c r="N74" s="255">
        <v>57</v>
      </c>
      <c r="O74" s="266">
        <v>0.47123842592592591</v>
      </c>
    </row>
    <row r="75" spans="1:15" ht="15.75" x14ac:dyDescent="0.25">
      <c r="A75" s="148" t="s">
        <v>433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4">
        <v>1.9203510472240316E-2</v>
      </c>
      <c r="L75" s="254">
        <v>2.2803199999999996E-2</v>
      </c>
      <c r="M75" s="254">
        <v>3.28928E-2</v>
      </c>
      <c r="N75" s="255">
        <v>58</v>
      </c>
      <c r="O75" s="266">
        <v>0.47129629629629632</v>
      </c>
    </row>
    <row r="76" spans="1:15" ht="15.75" x14ac:dyDescent="0.25">
      <c r="A76" s="148" t="s">
        <v>434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4">
        <v>1.15146880608244E-2</v>
      </c>
      <c r="L76" s="254">
        <v>2.2803199999999996E-2</v>
      </c>
      <c r="M76" s="254">
        <v>3.4711999999999993E-2</v>
      </c>
      <c r="N76" s="255">
        <v>59</v>
      </c>
      <c r="O76" s="266">
        <v>0.47135416666666669</v>
      </c>
    </row>
    <row r="77" spans="1:15" ht="15.75" x14ac:dyDescent="0.25">
      <c r="A77" s="148" t="s">
        <v>435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4">
        <v>9.856082656835876E-3</v>
      </c>
      <c r="L77" s="254">
        <v>2.1034899999999995E-2</v>
      </c>
      <c r="M77" s="254">
        <v>4.5627200000000007E-2</v>
      </c>
      <c r="N77" s="255">
        <v>60</v>
      </c>
      <c r="O77" s="266">
        <v>0.47141203703703699</v>
      </c>
    </row>
    <row r="78" spans="1:15" ht="15.75" x14ac:dyDescent="0.25">
      <c r="A78" s="148" t="s">
        <v>436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4">
        <v>1.16917712529308E-2</v>
      </c>
      <c r="L78" s="254">
        <v>2.1034899999999995E-2</v>
      </c>
      <c r="M78" s="254">
        <v>7.109600000000002E-2</v>
      </c>
      <c r="N78" s="255">
        <v>61</v>
      </c>
      <c r="O78" s="266">
        <v>0.47152777777777777</v>
      </c>
    </row>
    <row r="79" spans="1:15" ht="15.75" x14ac:dyDescent="0.25">
      <c r="A79" s="148" t="s">
        <v>437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4">
        <v>1.2283480760895546E-2</v>
      </c>
      <c r="L79" s="254">
        <v>1.7498300000000022E-2</v>
      </c>
      <c r="M79" s="254">
        <v>8.2011200000000006E-2</v>
      </c>
      <c r="N79" s="255">
        <v>62</v>
      </c>
      <c r="O79" s="266">
        <v>0.47164351851851855</v>
      </c>
    </row>
    <row r="80" spans="1:15" ht="15.75" x14ac:dyDescent="0.25">
      <c r="A80" s="148" t="s">
        <v>438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4">
        <v>8.7555621153478178E-3</v>
      </c>
      <c r="L80" s="254">
        <v>2.4571499999999996E-2</v>
      </c>
      <c r="M80" s="254">
        <v>4.1988800000000021E-2</v>
      </c>
      <c r="N80" s="255">
        <v>63</v>
      </c>
      <c r="O80" s="266">
        <v>0.47175925925925927</v>
      </c>
    </row>
    <row r="81" spans="1:15" ht="15.75" x14ac:dyDescent="0.25">
      <c r="A81" s="148" t="s">
        <v>439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4">
        <v>5.741883910742567E-3</v>
      </c>
      <c r="L81" s="254">
        <v>2.4571499999999996E-2</v>
      </c>
      <c r="M81" s="254">
        <v>2.9254399999999986E-2</v>
      </c>
      <c r="N81" s="255">
        <v>64</v>
      </c>
      <c r="O81" s="266">
        <v>0.47187499999999999</v>
      </c>
    </row>
    <row r="82" spans="1:15" ht="15.75" x14ac:dyDescent="0.25">
      <c r="A82" s="148" t="s">
        <v>440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11" si="6">E82/B82*1000*1000</f>
        <v>48.527718374732594</v>
      </c>
      <c r="G82" s="2">
        <v>88.72</v>
      </c>
      <c r="H82" s="147">
        <v>0.68460601900610329</v>
      </c>
      <c r="I82" s="14">
        <f t="shared" ref="I82:I110" si="7">H82/B82*1000</f>
        <v>5.6309098454195041</v>
      </c>
      <c r="J82" s="254">
        <v>2.7829999999999999</v>
      </c>
      <c r="K82" s="254">
        <v>4.5804950914437453E-3</v>
      </c>
      <c r="L82" s="254">
        <v>2.6339799999999997E-2</v>
      </c>
      <c r="M82" s="254">
        <v>2.7435199999999993E-2</v>
      </c>
      <c r="N82" s="255">
        <v>65</v>
      </c>
      <c r="O82" s="266">
        <v>0.47199074074074071</v>
      </c>
    </row>
    <row r="83" spans="1:15" ht="15.75" x14ac:dyDescent="0.25">
      <c r="A83" s="148" t="s">
        <v>441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4">
        <v>4.0576794789688791E-3</v>
      </c>
      <c r="L83" s="254">
        <v>2.1034899999999995E-2</v>
      </c>
      <c r="M83" s="254">
        <v>4.3808000000000014E-2</v>
      </c>
      <c r="N83" s="255">
        <v>66</v>
      </c>
      <c r="O83" s="266">
        <v>0.47210648148148149</v>
      </c>
    </row>
    <row r="84" spans="1:15" ht="15.75" x14ac:dyDescent="0.25">
      <c r="A84" s="148" t="s">
        <v>442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4">
        <v>3.3758505307597045E-3</v>
      </c>
      <c r="L84" s="254">
        <v>2.2803199999999996E-2</v>
      </c>
      <c r="M84" s="254">
        <v>2.7435199999999993E-2</v>
      </c>
      <c r="N84" s="255">
        <v>67</v>
      </c>
      <c r="O84" s="266">
        <v>0.47222222222222227</v>
      </c>
    </row>
    <row r="85" spans="1:15" ht="15.75" x14ac:dyDescent="0.25">
      <c r="A85" s="148" t="s">
        <v>443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4">
        <v>3.4794954752049401E-3</v>
      </c>
      <c r="L85" s="254">
        <v>2.4571499999999996E-2</v>
      </c>
      <c r="M85" s="254">
        <v>3.1073600000000007E-2</v>
      </c>
      <c r="N85" s="255">
        <v>68</v>
      </c>
      <c r="O85" s="266">
        <v>0.47233796296296293</v>
      </c>
    </row>
    <row r="86" spans="1:15" ht="15.75" x14ac:dyDescent="0.25">
      <c r="A86" s="6" t="s">
        <v>444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256"/>
      <c r="L86" s="256"/>
      <c r="M86" s="256"/>
      <c r="N86" s="194">
        <v>69</v>
      </c>
      <c r="O86" s="268">
        <v>8.261574074074074E-2</v>
      </c>
    </row>
    <row r="87" spans="1:15" ht="15.75" x14ac:dyDescent="0.25">
      <c r="A87" s="6" t="s">
        <v>445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256"/>
      <c r="L87" s="256"/>
      <c r="M87" s="256"/>
      <c r="N87" s="194">
        <v>70</v>
      </c>
      <c r="O87" s="268">
        <v>8.396990740740741E-2</v>
      </c>
    </row>
    <row r="88" spans="1:15" ht="15.75" x14ac:dyDescent="0.25">
      <c r="A88" s="6" t="s">
        <v>446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256"/>
      <c r="L88" s="256"/>
      <c r="M88" s="256"/>
      <c r="N88" s="194">
        <v>71</v>
      </c>
      <c r="O88" s="268">
        <v>8.4004629629629624E-2</v>
      </c>
    </row>
    <row r="89" spans="1:15" ht="15.75" x14ac:dyDescent="0.25">
      <c r="A89" s="6" t="s">
        <v>447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256"/>
      <c r="L89" s="256"/>
      <c r="M89" s="256"/>
      <c r="N89" s="194">
        <v>72</v>
      </c>
      <c r="O89" s="268">
        <v>8.4039351851851851E-2</v>
      </c>
    </row>
    <row r="90" spans="1:15" ht="15.75" x14ac:dyDescent="0.25">
      <c r="A90" s="6" t="s">
        <v>448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256"/>
      <c r="L90" s="256"/>
      <c r="M90" s="256"/>
      <c r="N90" s="194">
        <v>73</v>
      </c>
      <c r="O90" s="268">
        <v>8.4074074074074079E-2</v>
      </c>
    </row>
    <row r="91" spans="1:15" ht="15.75" x14ac:dyDescent="0.25">
      <c r="A91" s="6" t="s">
        <v>449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256"/>
      <c r="L91" s="256"/>
      <c r="M91" s="256"/>
      <c r="N91" s="194">
        <v>74</v>
      </c>
      <c r="O91" s="268">
        <v>8.4108796296296293E-2</v>
      </c>
    </row>
    <row r="92" spans="1:15" ht="15.75" x14ac:dyDescent="0.25">
      <c r="A92" s="6" t="s">
        <v>450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256"/>
      <c r="L92" s="256"/>
      <c r="M92" s="256"/>
      <c r="N92" s="194">
        <v>75</v>
      </c>
      <c r="O92" s="268">
        <v>8.414351851851852E-2</v>
      </c>
    </row>
    <row r="93" spans="1:15" ht="15.75" x14ac:dyDescent="0.25">
      <c r="A93" s="6" t="s">
        <v>451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256"/>
      <c r="L93" s="256"/>
      <c r="M93" s="256"/>
      <c r="N93" s="194">
        <v>76</v>
      </c>
      <c r="O93" s="268">
        <v>8.4178240740740748E-2</v>
      </c>
    </row>
    <row r="94" spans="1:15" ht="15.75" x14ac:dyDescent="0.25">
      <c r="A94" s="6" t="s">
        <v>452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256"/>
      <c r="L94" s="256"/>
      <c r="M94" s="256"/>
      <c r="N94" s="194">
        <v>77</v>
      </c>
      <c r="O94" s="268">
        <v>8.4212962962962976E-2</v>
      </c>
    </row>
    <row r="95" spans="1:15" ht="15.75" x14ac:dyDescent="0.25">
      <c r="A95" s="6" t="s">
        <v>453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256"/>
      <c r="L95" s="256"/>
      <c r="M95" s="256"/>
      <c r="N95" s="194">
        <v>78</v>
      </c>
      <c r="O95" s="268">
        <v>8.4247685185185175E-2</v>
      </c>
    </row>
    <row r="96" spans="1:15" ht="15.75" x14ac:dyDescent="0.25">
      <c r="A96" s="6" t="s">
        <v>454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256"/>
      <c r="L96" s="256"/>
      <c r="M96" s="256"/>
      <c r="N96" s="194">
        <v>79</v>
      </c>
      <c r="O96" s="268">
        <v>8.4282407407407403E-2</v>
      </c>
    </row>
    <row r="97" spans="1:15" ht="15.75" x14ac:dyDescent="0.25">
      <c r="A97" s="262" t="s">
        <v>455</v>
      </c>
      <c r="B97" s="4">
        <v>122.57</v>
      </c>
      <c r="C97" s="4">
        <v>0.24210000000000001</v>
      </c>
      <c r="D97" s="4">
        <v>0.24229999999999999</v>
      </c>
      <c r="E97" s="4">
        <f t="shared" si="5"/>
        <v>1.9999999999997797E-4</v>
      </c>
      <c r="F97" s="181">
        <f t="shared" si="6"/>
        <v>1.6317206494246388</v>
      </c>
      <c r="G97" s="261"/>
      <c r="H97" s="261"/>
      <c r="I97" s="10"/>
      <c r="J97" s="183">
        <v>3.109</v>
      </c>
      <c r="K97" s="183"/>
      <c r="L97" s="183"/>
      <c r="M97" s="183"/>
      <c r="N97" s="184">
        <v>80</v>
      </c>
      <c r="O97" s="261"/>
    </row>
    <row r="98" spans="1:15" ht="15.75" x14ac:dyDescent="0.25">
      <c r="A98" s="262" t="s">
        <v>456</v>
      </c>
      <c r="B98" s="4">
        <v>121.33</v>
      </c>
      <c r="C98" s="4">
        <v>0.2397</v>
      </c>
      <c r="D98" s="4">
        <v>0.24179999999999999</v>
      </c>
      <c r="E98" s="4">
        <f t="shared" si="5"/>
        <v>2.0999999999999908E-3</v>
      </c>
      <c r="F98" s="181">
        <f t="shared" si="6"/>
        <v>17.308167806807806</v>
      </c>
      <c r="G98" s="261"/>
      <c r="H98" s="261"/>
      <c r="I98" s="10"/>
      <c r="J98" s="183">
        <v>2.976</v>
      </c>
      <c r="K98" s="183"/>
      <c r="L98" s="183"/>
      <c r="M98" s="183"/>
      <c r="N98" s="184">
        <v>81</v>
      </c>
      <c r="O98" s="261"/>
    </row>
    <row r="99" spans="1:15" ht="15.75" x14ac:dyDescent="0.25">
      <c r="A99" s="262" t="s">
        <v>457</v>
      </c>
      <c r="B99" s="4">
        <v>122.52</v>
      </c>
      <c r="C99" s="4">
        <v>0.2412</v>
      </c>
      <c r="D99" s="4">
        <v>0.25650000000000001</v>
      </c>
      <c r="E99" s="4">
        <f t="shared" si="5"/>
        <v>1.5300000000000008E-2</v>
      </c>
      <c r="F99" s="181">
        <f t="shared" si="6"/>
        <v>124.87757100881495</v>
      </c>
      <c r="G99" s="261"/>
      <c r="H99" s="261"/>
      <c r="I99" s="10"/>
      <c r="J99" s="183">
        <v>2.9239999999999999</v>
      </c>
      <c r="K99" s="183"/>
      <c r="L99" s="183"/>
      <c r="M99" s="183"/>
      <c r="N99" s="184">
        <v>82</v>
      </c>
      <c r="O99" s="261"/>
    </row>
    <row r="100" spans="1:15" ht="15.75" x14ac:dyDescent="0.25">
      <c r="A100" s="262" t="s">
        <v>458</v>
      </c>
      <c r="B100" s="4">
        <v>121.45</v>
      </c>
      <c r="C100" s="4">
        <v>0.24279999999999999</v>
      </c>
      <c r="D100" s="4">
        <v>0.249</v>
      </c>
      <c r="E100" s="4">
        <f t="shared" si="5"/>
        <v>6.2000000000000111E-3</v>
      </c>
      <c r="F100" s="181">
        <f t="shared" si="6"/>
        <v>51.049814738575634</v>
      </c>
      <c r="G100" s="261"/>
      <c r="H100" s="261"/>
      <c r="I100" s="10"/>
      <c r="J100" s="183">
        <v>2.9380000000000002</v>
      </c>
      <c r="K100" s="183"/>
      <c r="L100" s="183"/>
      <c r="M100" s="183"/>
      <c r="N100" s="184">
        <v>83</v>
      </c>
      <c r="O100" s="261"/>
    </row>
    <row r="101" spans="1:15" ht="15.75" x14ac:dyDescent="0.25">
      <c r="A101" s="262" t="s">
        <v>459</v>
      </c>
      <c r="B101" s="4">
        <v>122.08</v>
      </c>
      <c r="C101" s="4">
        <v>0.24099999999999999</v>
      </c>
      <c r="D101" s="4">
        <v>0.24890000000000001</v>
      </c>
      <c r="E101" s="4">
        <f t="shared" si="5"/>
        <v>7.9000000000000181E-3</v>
      </c>
      <c r="F101" s="181">
        <f t="shared" si="6"/>
        <v>64.71166448230683</v>
      </c>
      <c r="G101" s="261"/>
      <c r="H101" s="261"/>
      <c r="I101" s="10"/>
      <c r="J101" s="183">
        <v>2.94</v>
      </c>
      <c r="K101" s="183"/>
      <c r="L101" s="183"/>
      <c r="M101" s="183"/>
      <c r="N101" s="184">
        <v>84</v>
      </c>
      <c r="O101" s="261"/>
    </row>
    <row r="102" spans="1:15" ht="15.75" x14ac:dyDescent="0.25">
      <c r="A102" s="1" t="s">
        <v>460</v>
      </c>
      <c r="B102" s="1">
        <v>122.7</v>
      </c>
      <c r="C102" s="1">
        <v>0.2414</v>
      </c>
      <c r="D102" s="1">
        <v>0.24709999999999999</v>
      </c>
      <c r="E102" s="1">
        <f t="shared" si="5"/>
        <v>5.6999999999999829E-3</v>
      </c>
      <c r="F102" s="164">
        <f t="shared" si="6"/>
        <v>46.454767726161229</v>
      </c>
      <c r="G102" s="1">
        <v>94.93</v>
      </c>
      <c r="H102" s="164">
        <v>0.67675156739919073</v>
      </c>
      <c r="I102" s="12">
        <f t="shared" si="7"/>
        <v>5.5154976968149203</v>
      </c>
      <c r="J102" s="166">
        <v>3.0339999999999998</v>
      </c>
      <c r="K102" s="166"/>
      <c r="L102" s="166"/>
      <c r="M102" s="166"/>
      <c r="N102" s="167">
        <v>85</v>
      </c>
      <c r="O102" s="267">
        <v>0.46894675925925927</v>
      </c>
    </row>
    <row r="103" spans="1:15" ht="15.75" x14ac:dyDescent="0.25">
      <c r="A103" s="1" t="s">
        <v>461</v>
      </c>
      <c r="B103" s="1">
        <v>121.38</v>
      </c>
      <c r="C103" s="1">
        <v>0.2374</v>
      </c>
      <c r="D103" s="1">
        <v>0.24249999999999999</v>
      </c>
      <c r="E103" s="1">
        <f t="shared" si="5"/>
        <v>5.0999999999999934E-3</v>
      </c>
      <c r="F103" s="164">
        <f t="shared" si="6"/>
        <v>42.016806722689026</v>
      </c>
      <c r="G103" s="1">
        <v>75.03</v>
      </c>
      <c r="H103" s="164"/>
      <c r="I103" s="12"/>
      <c r="J103" s="166">
        <v>3.0539999999999998</v>
      </c>
      <c r="K103" s="166"/>
      <c r="L103" s="166"/>
      <c r="M103" s="166"/>
      <c r="N103" s="167">
        <v>86</v>
      </c>
      <c r="O103" s="267">
        <v>0.4689814814814815</v>
      </c>
    </row>
    <row r="104" spans="1:15" ht="15.75" x14ac:dyDescent="0.25">
      <c r="A104" s="1" t="s">
        <v>462</v>
      </c>
      <c r="B104" s="1">
        <v>120.25</v>
      </c>
      <c r="C104" s="1">
        <v>0.23849999999999999</v>
      </c>
      <c r="D104" s="1">
        <v>0.2437</v>
      </c>
      <c r="E104" s="1">
        <f t="shared" si="5"/>
        <v>5.2000000000000102E-3</v>
      </c>
      <c r="F104" s="164">
        <f t="shared" si="6"/>
        <v>43.243243243243327</v>
      </c>
      <c r="G104" s="1">
        <v>81.28</v>
      </c>
      <c r="H104" s="164">
        <v>0.47228571175514489</v>
      </c>
      <c r="I104" s="12">
        <f t="shared" si="7"/>
        <v>3.9275319064876912</v>
      </c>
      <c r="J104" s="166">
        <v>2.4729999999999999</v>
      </c>
      <c r="K104" s="166"/>
      <c r="L104" s="166"/>
      <c r="M104" s="166"/>
      <c r="N104" s="167">
        <v>87</v>
      </c>
      <c r="O104" s="267">
        <v>0.46901620370370373</v>
      </c>
    </row>
    <row r="105" spans="1:15" ht="15.75" x14ac:dyDescent="0.25">
      <c r="A105" s="1" t="s">
        <v>463</v>
      </c>
      <c r="B105" s="1">
        <v>122.5</v>
      </c>
      <c r="C105" s="1">
        <v>0.2387</v>
      </c>
      <c r="D105" s="1">
        <v>0.25640000000000002</v>
      </c>
      <c r="E105" s="1">
        <f t="shared" si="5"/>
        <v>1.7700000000000021E-2</v>
      </c>
      <c r="F105" s="164">
        <f t="shared" si="6"/>
        <v>144.48979591836752</v>
      </c>
      <c r="G105" s="1">
        <v>293.19</v>
      </c>
      <c r="H105" s="164"/>
      <c r="I105" s="12"/>
      <c r="J105" s="166">
        <v>2.6160000000000001</v>
      </c>
      <c r="K105" s="166"/>
      <c r="L105" s="166"/>
      <c r="M105" s="166"/>
      <c r="N105" s="167">
        <v>88</v>
      </c>
      <c r="O105" s="267">
        <v>0.4690509259259259</v>
      </c>
    </row>
    <row r="106" spans="1:15" ht="15.75" x14ac:dyDescent="0.25">
      <c r="A106" s="1" t="s">
        <v>464</v>
      </c>
      <c r="B106" s="1">
        <v>121.24</v>
      </c>
      <c r="C106" s="1">
        <v>0.23799999999999999</v>
      </c>
      <c r="D106" s="1">
        <v>0.2671</v>
      </c>
      <c r="E106" s="1">
        <f t="shared" si="5"/>
        <v>2.9100000000000015E-2</v>
      </c>
      <c r="F106" s="164">
        <f t="shared" si="6"/>
        <v>240.01979544704733</v>
      </c>
      <c r="G106" s="1">
        <v>311.7</v>
      </c>
      <c r="H106" s="164">
        <v>1.8334773361671102</v>
      </c>
      <c r="I106" s="12">
        <f t="shared" si="7"/>
        <v>15.122709800124632</v>
      </c>
      <c r="J106" s="166">
        <v>3.1349999999999998</v>
      </c>
      <c r="K106" s="166"/>
      <c r="L106" s="166"/>
      <c r="M106" s="166"/>
      <c r="N106" s="167">
        <v>89</v>
      </c>
      <c r="O106" s="267">
        <v>0.46908564814814818</v>
      </c>
    </row>
    <row r="107" spans="1:15" ht="15.75" x14ac:dyDescent="0.25">
      <c r="A107" s="1" t="s">
        <v>465</v>
      </c>
      <c r="B107" s="1">
        <v>122.39</v>
      </c>
      <c r="C107" s="1">
        <v>0.2382</v>
      </c>
      <c r="D107" s="1">
        <v>0.2616</v>
      </c>
      <c r="E107" s="1">
        <f t="shared" si="5"/>
        <v>2.3400000000000004E-2</v>
      </c>
      <c r="F107" s="164">
        <f t="shared" si="6"/>
        <v>191.19209085709622</v>
      </c>
      <c r="G107" s="1">
        <v>243.92</v>
      </c>
      <c r="H107" s="164"/>
      <c r="I107" s="12"/>
      <c r="J107" s="166">
        <v>2.9359999999999999</v>
      </c>
      <c r="K107" s="166"/>
      <c r="L107" s="166"/>
      <c r="M107" s="166"/>
      <c r="N107" s="167">
        <v>90</v>
      </c>
      <c r="O107" s="267">
        <v>0.46912037037037035</v>
      </c>
    </row>
    <row r="108" spans="1:15" ht="15.75" x14ac:dyDescent="0.25">
      <c r="A108" s="1" t="s">
        <v>466</v>
      </c>
      <c r="B108" s="1">
        <v>122.48</v>
      </c>
      <c r="C108" s="1">
        <v>0.2331</v>
      </c>
      <c r="D108" s="1">
        <v>0.25319999999999998</v>
      </c>
      <c r="E108" s="1">
        <f t="shared" si="5"/>
        <v>2.0099999999999979E-2</v>
      </c>
      <c r="F108" s="164">
        <f t="shared" si="6"/>
        <v>164.10842586544723</v>
      </c>
      <c r="G108" s="1">
        <v>292.16000000000003</v>
      </c>
      <c r="H108" s="264">
        <v>2.1062359783450173</v>
      </c>
      <c r="I108" s="12">
        <f t="shared" si="7"/>
        <v>17.196570691909024</v>
      </c>
      <c r="J108" s="166">
        <v>2.9329999999999998</v>
      </c>
      <c r="K108" s="166"/>
      <c r="L108" s="166"/>
      <c r="M108" s="166"/>
      <c r="N108" s="167">
        <v>91</v>
      </c>
      <c r="O108" s="267">
        <v>0.46915509259259264</v>
      </c>
    </row>
    <row r="109" spans="1:15" ht="15.75" x14ac:dyDescent="0.25">
      <c r="A109" s="1" t="s">
        <v>467</v>
      </c>
      <c r="B109" s="1">
        <v>119.13</v>
      </c>
      <c r="C109" s="1">
        <v>0.24160000000000001</v>
      </c>
      <c r="D109" s="1">
        <v>0.25580000000000003</v>
      </c>
      <c r="E109" s="1">
        <f t="shared" si="5"/>
        <v>1.4200000000000018E-2</v>
      </c>
      <c r="F109" s="164">
        <f t="shared" si="6"/>
        <v>119.19751531939913</v>
      </c>
      <c r="G109" s="1">
        <v>260.11</v>
      </c>
      <c r="H109" s="264">
        <v>1.1324545663874486</v>
      </c>
      <c r="I109" s="12">
        <f t="shared" si="7"/>
        <v>9.506040177851494</v>
      </c>
      <c r="J109" s="166">
        <v>2.6339999999999999</v>
      </c>
      <c r="K109" s="166"/>
      <c r="L109" s="166"/>
      <c r="M109" s="166"/>
      <c r="N109" s="167">
        <v>92</v>
      </c>
      <c r="O109" s="267">
        <v>0.46918981481481481</v>
      </c>
    </row>
    <row r="110" spans="1:15" ht="15.75" x14ac:dyDescent="0.25">
      <c r="A110" s="1" t="s">
        <v>468</v>
      </c>
      <c r="B110" s="1">
        <v>119.42</v>
      </c>
      <c r="C110" s="1">
        <v>0.2392</v>
      </c>
      <c r="D110" s="1">
        <v>0.25069999999999998</v>
      </c>
      <c r="E110" s="1">
        <f t="shared" si="5"/>
        <v>1.1499999999999982E-2</v>
      </c>
      <c r="F110" s="164">
        <f t="shared" si="6"/>
        <v>96.298777424216894</v>
      </c>
      <c r="G110" s="1">
        <v>194.51</v>
      </c>
      <c r="H110" s="264">
        <v>0.76040884088149185</v>
      </c>
      <c r="I110" s="12">
        <f t="shared" si="7"/>
        <v>6.3675166712568405</v>
      </c>
      <c r="J110" s="166">
        <v>2.97</v>
      </c>
      <c r="K110" s="166"/>
      <c r="L110" s="166"/>
      <c r="M110" s="166"/>
      <c r="N110" s="167">
        <v>93</v>
      </c>
      <c r="O110" s="267">
        <v>0.46925925925925926</v>
      </c>
    </row>
    <row r="111" spans="1:15" ht="15.75" x14ac:dyDescent="0.25">
      <c r="A111" s="1" t="s">
        <v>469</v>
      </c>
      <c r="B111" s="1">
        <v>118.75</v>
      </c>
      <c r="C111" s="1">
        <v>0.24079999999999999</v>
      </c>
      <c r="D111" s="1">
        <v>0.25230000000000002</v>
      </c>
      <c r="E111" s="1">
        <f t="shared" si="5"/>
        <v>1.1500000000000038E-2</v>
      </c>
      <c r="F111" s="164">
        <f t="shared" si="6"/>
        <v>96.842105263158203</v>
      </c>
      <c r="G111" s="1">
        <v>189.68</v>
      </c>
      <c r="H111" s="164"/>
      <c r="I111" s="12"/>
      <c r="J111" s="166">
        <v>2.4969999999999999</v>
      </c>
      <c r="K111" s="166"/>
      <c r="L111" s="166"/>
      <c r="M111" s="166"/>
      <c r="N111" s="167">
        <v>94</v>
      </c>
      <c r="O111" s="267">
        <v>0.46929398148148144</v>
      </c>
    </row>
  </sheetData>
  <mergeCells count="1"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all_noST7</vt:lpstr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2026-07-06T01:46:09Z</dcterms:modified>
</cp:coreProperties>
</file>