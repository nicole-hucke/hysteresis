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0015BEF6-00FA-4098-BC99-14B9AFF49AD4}" xr6:coauthVersionLast="47" xr6:coauthVersionMax="47" xr10:uidLastSave="{00000000-0000-0000-0000-000000000000}"/>
  <bookViews>
    <workbookView xWindow="-120" yWindow="-120" windowWidth="29040" windowHeight="15720" tabRatio="623" activeTab="1" xr2:uid="{FEC01F85-CDE9-417C-893C-E562E55652ED}"/>
  </bookViews>
  <sheets>
    <sheet name="Summer " sheetId="1" r:id="rId1"/>
    <sheet name="Spring" sheetId="4" r:id="rId2"/>
    <sheet name="Grab Samples" sheetId="2" r:id="rId3"/>
    <sheet name="Experiment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5" l="1"/>
  <c r="I18" i="5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102" i="5"/>
  <c r="I104" i="5"/>
  <c r="I106" i="5"/>
  <c r="I108" i="5"/>
  <c r="I109" i="5"/>
  <c r="I110" i="5"/>
  <c r="I16" i="5"/>
  <c r="I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7" i="5"/>
  <c r="E20" i="5"/>
  <c r="E18" i="5"/>
  <c r="E19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2" i="5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<sst xmlns="http://schemas.openxmlformats.org/spreadsheetml/2006/main" count="580" uniqueCount="479">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</sst>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71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3" Type="http://schemas.openxmlformats.org/officeDocument/2006/relationships/chart" Target="../charts/chart14.xml"/><Relationship Id="rId21" Type="http://schemas.openxmlformats.org/officeDocument/2006/relationships/chart" Target="../charts/chart32.xml"/><Relationship Id="rId7" Type="http://schemas.openxmlformats.org/officeDocument/2006/relationships/chart" Target="../charts/chart18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20" Type="http://schemas.openxmlformats.org/officeDocument/2006/relationships/chart" Target="../charts/chart31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24" Type="http://schemas.openxmlformats.org/officeDocument/2006/relationships/chart" Target="../charts/chart35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23" Type="http://schemas.openxmlformats.org/officeDocument/2006/relationships/chart" Target="../charts/chart34.xml"/><Relationship Id="rId10" Type="http://schemas.openxmlformats.org/officeDocument/2006/relationships/chart" Target="../charts/chart21.xml"/><Relationship Id="rId19" Type="http://schemas.openxmlformats.org/officeDocument/2006/relationships/chart" Target="../charts/chart30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Relationship Id="rId22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Y40" zoomScale="145" zoomScaleNormal="145" workbookViewId="0">
      <selection activeCell="AR54" sqref="AR54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  <c r="P1" s="251" t="s">
        <v>337</v>
      </c>
      <c r="Q1" s="248" t="s">
        <v>342</v>
      </c>
      <c r="R1" s="251" t="s">
        <v>338</v>
      </c>
      <c r="S1" s="248" t="s">
        <v>340</v>
      </c>
      <c r="T1" s="251" t="s">
        <v>339</v>
      </c>
      <c r="U1" s="248" t="s">
        <v>341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abSelected="1" topLeftCell="Q17" zoomScale="130" zoomScaleNormal="130" workbookViewId="0">
      <selection activeCell="AG29" sqref="AG29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337</v>
      </c>
      <c r="N1" s="248" t="s">
        <v>342</v>
      </c>
      <c r="O1" s="251" t="s">
        <v>338</v>
      </c>
      <c r="P1" s="248" t="s">
        <v>340</v>
      </c>
      <c r="Q1" s="251" t="s">
        <v>339</v>
      </c>
      <c r="R1" s="248" t="s">
        <v>341</v>
      </c>
      <c r="AG1" s="5" t="s">
        <v>173</v>
      </c>
      <c r="AH1" s="5" t="s">
        <v>343</v>
      </c>
      <c r="AI1" s="251" t="s">
        <v>337</v>
      </c>
      <c r="AJ1" s="251" t="s">
        <v>338</v>
      </c>
      <c r="AK1" s="251" t="s">
        <v>339</v>
      </c>
    </row>
    <row r="2" spans="1:37" x14ac:dyDescent="0.25">
      <c r="A2" s="231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180</v>
      </c>
      <c r="AF2" t="s">
        <v>192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181</v>
      </c>
      <c r="AF3" t="s">
        <v>193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195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194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198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199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200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202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242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243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246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247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248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249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250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197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254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255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259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260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261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262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203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263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267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268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206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269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207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270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208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273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274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277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280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282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284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285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290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293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299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218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308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316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317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221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322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328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329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332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333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335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250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251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252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261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262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263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264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265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266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267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268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269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270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271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272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273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274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275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276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277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278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279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280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281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282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283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284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285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286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287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288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289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290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291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292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293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299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294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295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296</v>
      </c>
      <c r="B120" s="6" t="s">
        <v>179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297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298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300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301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302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303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304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305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306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307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308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309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310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311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312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313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314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315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316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317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318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319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320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321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322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323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324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325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326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327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328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329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330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331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332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333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334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335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336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25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25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25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25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25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25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25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.75" thickBot="1" x14ac:dyDescent="0.3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75" x14ac:dyDescent="0.25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75" x14ac:dyDescent="0.25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P111"/>
  <sheetViews>
    <sheetView topLeftCell="B1" workbookViewId="0">
      <selection activeCell="K27" sqref="K27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0" width="11.85546875" customWidth="1"/>
    <col min="11" max="11" width="15.28515625" customWidth="1"/>
    <col min="12" max="12" width="22.7109375" customWidth="1"/>
    <col min="14" max="14" width="12" customWidth="1"/>
    <col min="15" max="15" width="11.85546875" customWidth="1"/>
    <col min="16" max="16" width="11" customWidth="1"/>
  </cols>
  <sheetData>
    <row r="1" spans="1:16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</row>
    <row r="2" spans="1:16" x14ac:dyDescent="0.25">
      <c r="A2" s="1" t="s">
        <v>344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252"/>
      <c r="K2" s="1" t="s">
        <v>360</v>
      </c>
      <c r="L2" s="267">
        <v>0.72638888888888886</v>
      </c>
      <c r="N2" s="270" t="s">
        <v>376</v>
      </c>
      <c r="O2" s="270"/>
      <c r="P2" s="270"/>
    </row>
    <row r="3" spans="1:16" x14ac:dyDescent="0.25">
      <c r="A3" s="1" t="s">
        <v>345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252"/>
      <c r="K3" s="1" t="s">
        <v>361</v>
      </c>
      <c r="L3" s="267">
        <v>0.72849999999999882</v>
      </c>
      <c r="N3" s="222" t="s">
        <v>471</v>
      </c>
      <c r="O3" s="5"/>
      <c r="P3" s="5"/>
    </row>
    <row r="4" spans="1:16" x14ac:dyDescent="0.25">
      <c r="A4" s="1" t="s">
        <v>346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252"/>
      <c r="K4" s="1" t="s">
        <v>362</v>
      </c>
      <c r="L4" s="267">
        <v>0.73061111111110877</v>
      </c>
      <c r="N4" s="201" t="s">
        <v>472</v>
      </c>
      <c r="O4" s="5"/>
      <c r="P4" s="5"/>
    </row>
    <row r="5" spans="1:16" x14ac:dyDescent="0.25">
      <c r="A5" s="1" t="s">
        <v>347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252"/>
      <c r="K5" s="1" t="s">
        <v>363</v>
      </c>
      <c r="L5" s="267">
        <v>0.73272222222221872</v>
      </c>
      <c r="N5" s="219" t="s">
        <v>473</v>
      </c>
      <c r="O5" s="5"/>
      <c r="P5" s="5"/>
    </row>
    <row r="6" spans="1:16" x14ac:dyDescent="0.25">
      <c r="A6" s="1" t="s">
        <v>348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252"/>
      <c r="K6" s="1" t="s">
        <v>364</v>
      </c>
      <c r="L6" s="267">
        <v>0.73483333333332868</v>
      </c>
      <c r="N6" s="221" t="s">
        <v>474</v>
      </c>
      <c r="O6" s="5"/>
      <c r="P6" s="5"/>
    </row>
    <row r="7" spans="1:16" x14ac:dyDescent="0.25">
      <c r="A7" s="1" t="s">
        <v>349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252"/>
      <c r="K7" s="1" t="s">
        <v>365</v>
      </c>
      <c r="L7" s="267">
        <v>0.73694444444443863</v>
      </c>
      <c r="N7" s="222" t="s">
        <v>475</v>
      </c>
      <c r="O7" s="5"/>
      <c r="P7" s="5"/>
    </row>
    <row r="8" spans="1:16" x14ac:dyDescent="0.25">
      <c r="A8" s="1" t="s">
        <v>350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252"/>
      <c r="K8" s="1" t="s">
        <v>366</v>
      </c>
      <c r="L8" s="267">
        <v>0.73905555555554858</v>
      </c>
      <c r="N8" s="201" t="s">
        <v>476</v>
      </c>
      <c r="O8" s="5"/>
      <c r="P8" s="5"/>
    </row>
    <row r="9" spans="1:16" x14ac:dyDescent="0.25">
      <c r="A9" s="1" t="s">
        <v>351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252"/>
      <c r="K9" s="1" t="s">
        <v>367</v>
      </c>
      <c r="L9" s="267">
        <v>0.74116666666665854</v>
      </c>
      <c r="N9" s="219" t="s">
        <v>478</v>
      </c>
      <c r="O9" s="5"/>
      <c r="P9" s="5"/>
    </row>
    <row r="10" spans="1:16" x14ac:dyDescent="0.25">
      <c r="A10" s="1" t="s">
        <v>352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252"/>
      <c r="K10" s="1" t="s">
        <v>368</v>
      </c>
      <c r="L10" s="267">
        <v>0.74327777777776849</v>
      </c>
      <c r="N10" s="221" t="s">
        <v>477</v>
      </c>
      <c r="O10" s="5"/>
      <c r="P10" s="5"/>
    </row>
    <row r="11" spans="1:16" x14ac:dyDescent="0.25">
      <c r="A11" s="1" t="s">
        <v>353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252"/>
      <c r="K11" s="1" t="s">
        <v>369</v>
      </c>
      <c r="L11" s="267">
        <v>0.74538888888887844</v>
      </c>
    </row>
    <row r="12" spans="1:16" x14ac:dyDescent="0.25">
      <c r="A12" s="1" t="s">
        <v>354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252"/>
      <c r="K12" s="1" t="s">
        <v>370</v>
      </c>
      <c r="L12" s="267">
        <v>0.7474999999999884</v>
      </c>
    </row>
    <row r="13" spans="1:16" x14ac:dyDescent="0.25">
      <c r="A13" s="1" t="s">
        <v>355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252"/>
      <c r="K13" s="1" t="s">
        <v>371</v>
      </c>
      <c r="L13" s="267">
        <v>0.74961111111109835</v>
      </c>
    </row>
    <row r="14" spans="1:16" x14ac:dyDescent="0.25">
      <c r="A14" s="1" t="s">
        <v>356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252"/>
      <c r="K14" s="1" t="s">
        <v>372</v>
      </c>
      <c r="L14" s="267">
        <v>0.7517222222222083</v>
      </c>
    </row>
    <row r="15" spans="1:16" x14ac:dyDescent="0.25">
      <c r="A15" s="1" t="s">
        <v>357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252"/>
      <c r="K15" s="1" t="s">
        <v>373</v>
      </c>
      <c r="L15" s="267">
        <v>0.75383333333331826</v>
      </c>
    </row>
    <row r="16" spans="1:16" x14ac:dyDescent="0.25">
      <c r="A16" s="1" t="s">
        <v>358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252"/>
      <c r="K16" s="1" t="s">
        <v>374</v>
      </c>
      <c r="L16" s="267">
        <v>0.75594444444442821</v>
      </c>
    </row>
    <row r="17" spans="1:12" x14ac:dyDescent="0.25">
      <c r="A17" s="1" t="s">
        <v>359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252"/>
      <c r="K17" s="1" t="s">
        <v>375</v>
      </c>
      <c r="L17" s="267">
        <v>0.75805555555553816</v>
      </c>
    </row>
    <row r="18" spans="1:12" ht="15.75" x14ac:dyDescent="0.25">
      <c r="A18" s="2" t="s">
        <v>377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5">
        <v>1</v>
      </c>
      <c r="L18" s="266">
        <v>0.49802083333333336</v>
      </c>
    </row>
    <row r="19" spans="1:12" ht="15.75" x14ac:dyDescent="0.25">
      <c r="A19" s="2" t="s">
        <v>378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5">
        <v>2</v>
      </c>
      <c r="L19" s="266">
        <v>0.49815972222222221</v>
      </c>
    </row>
    <row r="20" spans="1:12" ht="15.75" x14ac:dyDescent="0.25">
      <c r="A20" s="2" t="s">
        <v>379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5">
        <v>3</v>
      </c>
      <c r="L20" s="266">
        <v>0.49828703703703708</v>
      </c>
    </row>
    <row r="21" spans="1:12" ht="15.75" x14ac:dyDescent="0.25">
      <c r="A21" s="2" t="s">
        <v>380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5">
        <v>4</v>
      </c>
      <c r="L21" s="266">
        <v>0.49840277777777775</v>
      </c>
    </row>
    <row r="22" spans="1:12" ht="15.75" x14ac:dyDescent="0.25">
      <c r="A22" s="2" t="s">
        <v>381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5">
        <v>5</v>
      </c>
      <c r="L22" s="266">
        <v>0.49853009259259262</v>
      </c>
    </row>
    <row r="23" spans="1:12" ht="15.75" x14ac:dyDescent="0.25">
      <c r="A23" s="2" t="s">
        <v>382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5">
        <v>6</v>
      </c>
      <c r="L23" s="266">
        <v>0.49865740740740744</v>
      </c>
    </row>
    <row r="24" spans="1:12" ht="15.75" x14ac:dyDescent="0.25">
      <c r="A24" s="2" t="s">
        <v>383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5">
        <v>7</v>
      </c>
      <c r="L24" s="266">
        <v>0.49877314814814816</v>
      </c>
    </row>
    <row r="25" spans="1:12" ht="15.75" x14ac:dyDescent="0.25">
      <c r="A25" s="2" t="s">
        <v>384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5">
        <v>8</v>
      </c>
      <c r="L25" s="266">
        <v>0.49890046296296298</v>
      </c>
    </row>
    <row r="26" spans="1:12" ht="15.75" x14ac:dyDescent="0.25">
      <c r="A26" s="2" t="s">
        <v>385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5">
        <v>9</v>
      </c>
      <c r="L26" s="266">
        <v>0.4990046296296296</v>
      </c>
    </row>
    <row r="27" spans="1:12" ht="15.75" x14ac:dyDescent="0.25">
      <c r="A27" s="2" t="s">
        <v>386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5">
        <v>10</v>
      </c>
      <c r="L27" s="266">
        <v>0.49912037037037038</v>
      </c>
    </row>
    <row r="28" spans="1:12" ht="15.75" x14ac:dyDescent="0.25">
      <c r="A28" s="2" t="s">
        <v>387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5">
        <v>11</v>
      </c>
      <c r="L28" s="266">
        <v>0.49923611111111116</v>
      </c>
    </row>
    <row r="29" spans="1:12" ht="15.75" x14ac:dyDescent="0.25">
      <c r="A29" s="2" t="s">
        <v>388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5">
        <v>0.38750065033160025</v>
      </c>
      <c r="I29" s="14">
        <f t="shared" si="3"/>
        <v>3.2415982125782183</v>
      </c>
      <c r="J29" s="254">
        <v>2.3130000000000002</v>
      </c>
      <c r="K29" s="255">
        <v>12</v>
      </c>
      <c r="L29" s="266">
        <v>0.49935185185185182</v>
      </c>
    </row>
    <row r="30" spans="1:12" ht="15.75" x14ac:dyDescent="0.25">
      <c r="A30" s="2" t="s">
        <v>389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5">
        <v>13</v>
      </c>
      <c r="L30" s="266">
        <v>0.49945601851851856</v>
      </c>
    </row>
    <row r="31" spans="1:12" ht="15.75" x14ac:dyDescent="0.25">
      <c r="A31" s="2" t="s">
        <v>390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5">
        <v>14</v>
      </c>
      <c r="L31" s="266">
        <v>0.49958333333333332</v>
      </c>
    </row>
    <row r="32" spans="1:12" ht="15.75" x14ac:dyDescent="0.25">
      <c r="A32" s="6" t="s">
        <v>391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3">
        <v>0.40833207437825553</v>
      </c>
      <c r="I32" s="7">
        <f t="shared" si="3"/>
        <v>3.3278897667339491</v>
      </c>
      <c r="J32" s="256">
        <v>2.718</v>
      </c>
      <c r="K32" s="194">
        <v>15</v>
      </c>
      <c r="L32" s="268">
        <v>7.8923611111111111E-2</v>
      </c>
    </row>
    <row r="33" spans="1:12" ht="15.75" x14ac:dyDescent="0.25">
      <c r="A33" s="6" t="s">
        <v>392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3">
        <v>0.80993612318169206</v>
      </c>
      <c r="I33" s="7">
        <f t="shared" si="3"/>
        <v>6.6628506349267198</v>
      </c>
      <c r="J33" s="256">
        <v>2.6819999999999999</v>
      </c>
      <c r="K33" s="194">
        <v>16</v>
      </c>
      <c r="L33" s="268">
        <v>7.9050925925925927E-2</v>
      </c>
    </row>
    <row r="34" spans="1:12" ht="15.75" x14ac:dyDescent="0.25">
      <c r="A34" s="6" t="s">
        <v>393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3">
        <v>1.474205448106104</v>
      </c>
      <c r="I34" s="7">
        <f t="shared" si="3"/>
        <v>12.041210880553001</v>
      </c>
      <c r="J34" s="256">
        <v>2.6440000000000001</v>
      </c>
      <c r="K34" s="194">
        <v>17</v>
      </c>
      <c r="L34" s="268">
        <v>7.9166666666666663E-2</v>
      </c>
    </row>
    <row r="35" spans="1:12" ht="15.75" x14ac:dyDescent="0.25">
      <c r="A35" s="6" t="s">
        <v>394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194">
        <v>18</v>
      </c>
      <c r="L35" s="268">
        <v>7.9282407407407399E-2</v>
      </c>
    </row>
    <row r="36" spans="1:12" ht="15.75" x14ac:dyDescent="0.25">
      <c r="A36" s="6" t="s">
        <v>395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3">
        <v>0.97576711126086391</v>
      </c>
      <c r="I36" s="7">
        <f t="shared" si="3"/>
        <v>8.058197301683574</v>
      </c>
      <c r="J36" s="256">
        <v>2.8079999999999998</v>
      </c>
      <c r="K36" s="194">
        <v>19</v>
      </c>
      <c r="L36" s="268">
        <v>7.9398148148148148E-2</v>
      </c>
    </row>
    <row r="37" spans="1:12" ht="15.75" x14ac:dyDescent="0.25">
      <c r="A37" s="6" t="s">
        <v>396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194">
        <v>20</v>
      </c>
      <c r="L37" s="268">
        <v>7.9513888888888884E-2</v>
      </c>
    </row>
    <row r="38" spans="1:12" ht="15.75" x14ac:dyDescent="0.25">
      <c r="A38" s="6" t="s">
        <v>397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194">
        <v>21</v>
      </c>
      <c r="L38" s="268">
        <v>7.962962962962962E-2</v>
      </c>
    </row>
    <row r="39" spans="1:12" ht="15.75" x14ac:dyDescent="0.25">
      <c r="A39" s="6" t="s">
        <v>398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3">
        <v>0.61806168943374584</v>
      </c>
      <c r="I39" s="7">
        <f t="shared" si="3"/>
        <v>5.0565465878568743</v>
      </c>
      <c r="J39" s="256">
        <v>2.7559999999999998</v>
      </c>
      <c r="K39" s="194">
        <v>22</v>
      </c>
      <c r="L39" s="268">
        <v>7.9745370370370369E-2</v>
      </c>
    </row>
    <row r="40" spans="1:12" ht="15.75" x14ac:dyDescent="0.25">
      <c r="A40" s="6" t="s">
        <v>399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194">
        <v>23</v>
      </c>
      <c r="L40" s="268">
        <v>7.9861111111111105E-2</v>
      </c>
    </row>
    <row r="41" spans="1:12" ht="15.75" x14ac:dyDescent="0.25">
      <c r="A41" s="6" t="s">
        <v>400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194">
        <v>24</v>
      </c>
      <c r="L41" s="268">
        <v>7.9976851851851841E-2</v>
      </c>
    </row>
    <row r="42" spans="1:12" ht="15.75" x14ac:dyDescent="0.25">
      <c r="A42" s="6" t="s">
        <v>401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194">
        <v>25</v>
      </c>
      <c r="L42" s="268">
        <v>8.009259259259259E-2</v>
      </c>
    </row>
    <row r="43" spans="1:12" ht="15.75" x14ac:dyDescent="0.25">
      <c r="A43" s="6" t="s">
        <v>402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194">
        <v>26</v>
      </c>
      <c r="L43" s="268">
        <v>8.020833333333334E-2</v>
      </c>
    </row>
    <row r="44" spans="1:12" ht="15.75" x14ac:dyDescent="0.25">
      <c r="A44" s="6" t="s">
        <v>403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194">
        <v>27</v>
      </c>
      <c r="L44" s="268">
        <v>8.0324074074074062E-2</v>
      </c>
    </row>
    <row r="45" spans="1:12" ht="15.75" x14ac:dyDescent="0.25">
      <c r="A45" s="6" t="s">
        <v>404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194">
        <v>28</v>
      </c>
      <c r="L45" s="268">
        <v>8.0439814814814811E-2</v>
      </c>
    </row>
    <row r="46" spans="1:12" ht="15.75" x14ac:dyDescent="0.25">
      <c r="A46" s="6" t="s">
        <v>405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194">
        <v>29</v>
      </c>
      <c r="L46" s="268">
        <v>8.0555555555555561E-2</v>
      </c>
    </row>
    <row r="47" spans="1:12" ht="15.75" x14ac:dyDescent="0.25">
      <c r="A47" s="6" t="s">
        <v>406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194">
        <v>30</v>
      </c>
      <c r="L47" s="268">
        <v>8.0671296296296297E-2</v>
      </c>
    </row>
    <row r="48" spans="1:12" ht="15.75" x14ac:dyDescent="0.25">
      <c r="A48" s="257" t="s">
        <v>407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4">
        <v>31</v>
      </c>
      <c r="L48" s="269">
        <v>0.10474537037037036</v>
      </c>
    </row>
    <row r="49" spans="1:12" ht="15.75" x14ac:dyDescent="0.25">
      <c r="A49" s="258" t="s">
        <v>408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4">
        <v>32</v>
      </c>
      <c r="L49" s="269">
        <v>0.10486111111111111</v>
      </c>
    </row>
    <row r="50" spans="1:12" ht="15.75" x14ac:dyDescent="0.25">
      <c r="A50" s="258" t="s">
        <v>409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4">
        <v>33</v>
      </c>
      <c r="L50" s="269">
        <v>0.10497685185185185</v>
      </c>
    </row>
    <row r="51" spans="1:12" ht="15.75" x14ac:dyDescent="0.25">
      <c r="A51" s="258" t="s">
        <v>410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4">
        <v>34</v>
      </c>
      <c r="L51" s="269">
        <v>0.10509259259259258</v>
      </c>
    </row>
    <row r="52" spans="1:12" ht="15.75" x14ac:dyDescent="0.25">
      <c r="A52" s="258" t="s">
        <v>411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4">
        <v>35</v>
      </c>
      <c r="L52" s="269">
        <v>0.10520833333333333</v>
      </c>
    </row>
    <row r="53" spans="1:12" ht="15.75" x14ac:dyDescent="0.25">
      <c r="A53" s="258" t="s">
        <v>412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4">
        <v>36</v>
      </c>
      <c r="L53" s="269">
        <v>0.10532407407407407</v>
      </c>
    </row>
    <row r="54" spans="1:12" ht="15.75" x14ac:dyDescent="0.25">
      <c r="A54" s="258" t="s">
        <v>413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4">
        <v>37</v>
      </c>
      <c r="L54" s="269">
        <v>0.10543981481481481</v>
      </c>
    </row>
    <row r="55" spans="1:12" ht="15.75" x14ac:dyDescent="0.25">
      <c r="A55" s="258" t="s">
        <v>414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4">
        <v>38</v>
      </c>
      <c r="L55" s="269">
        <v>0.10555555555555556</v>
      </c>
    </row>
    <row r="56" spans="1:12" ht="15.75" x14ac:dyDescent="0.25">
      <c r="A56" s="258" t="s">
        <v>415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4">
        <v>39</v>
      </c>
      <c r="L56" s="269">
        <v>0.10567129629629629</v>
      </c>
    </row>
    <row r="57" spans="1:12" ht="15.75" x14ac:dyDescent="0.25">
      <c r="A57" s="258" t="s">
        <v>416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4">
        <v>40</v>
      </c>
      <c r="L57" s="269">
        <v>0.10578703703703703</v>
      </c>
    </row>
    <row r="58" spans="1:12" ht="15.75" x14ac:dyDescent="0.25">
      <c r="A58" s="258" t="s">
        <v>417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4">
        <v>41</v>
      </c>
      <c r="L58" s="269">
        <v>0.10590277777777778</v>
      </c>
    </row>
    <row r="59" spans="1:12" ht="15.75" x14ac:dyDescent="0.25">
      <c r="A59" s="258" t="s">
        <v>418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4">
        <v>42</v>
      </c>
      <c r="L59" s="269">
        <v>0.10601851851851851</v>
      </c>
    </row>
    <row r="60" spans="1:12" ht="15.75" x14ac:dyDescent="0.25">
      <c r="A60" s="258" t="s">
        <v>419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4">
        <v>43</v>
      </c>
      <c r="L60" s="269">
        <v>0.10613425925925928</v>
      </c>
    </row>
    <row r="61" spans="1:12" ht="15.75" x14ac:dyDescent="0.25">
      <c r="A61" s="260" t="s">
        <v>420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7">
        <v>44</v>
      </c>
      <c r="L61" s="267">
        <v>0.4397685185185185</v>
      </c>
    </row>
    <row r="62" spans="1:12" ht="15.75" x14ac:dyDescent="0.25">
      <c r="A62" s="260" t="s">
        <v>421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7">
        <v>45</v>
      </c>
      <c r="L62" s="267">
        <v>0.44150462962962966</v>
      </c>
    </row>
    <row r="63" spans="1:12" ht="15.75" x14ac:dyDescent="0.25">
      <c r="A63" s="260" t="s">
        <v>422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7">
        <v>46</v>
      </c>
      <c r="L63" s="267">
        <v>0.44156250000000002</v>
      </c>
    </row>
    <row r="64" spans="1:12" ht="15.75" x14ac:dyDescent="0.25">
      <c r="A64" s="260" t="s">
        <v>423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7">
        <v>47</v>
      </c>
      <c r="L64" s="267">
        <v>0.44162037037037033</v>
      </c>
    </row>
    <row r="65" spans="1:12" ht="15.75" x14ac:dyDescent="0.25">
      <c r="A65" s="260" t="s">
        <v>424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7">
        <v>48</v>
      </c>
      <c r="L65" s="267">
        <v>0.44167824074074075</v>
      </c>
    </row>
    <row r="66" spans="1:12" ht="15.75" x14ac:dyDescent="0.25">
      <c r="A66" s="260" t="s">
        <v>425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7">
        <v>49</v>
      </c>
      <c r="L66" s="267">
        <v>0.4417476851851852</v>
      </c>
    </row>
    <row r="67" spans="1:12" ht="15.75" x14ac:dyDescent="0.25">
      <c r="A67" s="260" t="s">
        <v>426</v>
      </c>
      <c r="B67" s="1">
        <v>121.75</v>
      </c>
      <c r="C67" s="1">
        <v>0.23380000000000001</v>
      </c>
      <c r="D67" s="1">
        <v>0.24360000000000001</v>
      </c>
      <c r="E67" s="1">
        <f t="shared" ref="E67:E111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7">
        <v>50</v>
      </c>
      <c r="L67" s="267">
        <v>0.44184027777777773</v>
      </c>
    </row>
    <row r="68" spans="1:12" ht="15.75" x14ac:dyDescent="0.25">
      <c r="A68" s="260" t="s">
        <v>427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7">
        <v>51</v>
      </c>
      <c r="L68" s="267">
        <v>0.44195601851851851</v>
      </c>
    </row>
    <row r="69" spans="1:12" ht="15.75" x14ac:dyDescent="0.25">
      <c r="A69" s="260" t="s">
        <v>428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7">
        <v>52</v>
      </c>
      <c r="L69" s="267">
        <v>0.44208333333333333</v>
      </c>
    </row>
    <row r="70" spans="1:12" ht="15.75" x14ac:dyDescent="0.25">
      <c r="A70" s="260" t="s">
        <v>429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7">
        <v>53</v>
      </c>
      <c r="L70" s="267">
        <v>0.4422106481481482</v>
      </c>
    </row>
    <row r="71" spans="1:12" ht="15.75" x14ac:dyDescent="0.25">
      <c r="A71" s="260" t="s">
        <v>430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7">
        <v>54</v>
      </c>
      <c r="L71" s="267">
        <v>0.44232638888888887</v>
      </c>
    </row>
    <row r="72" spans="1:12" ht="15.75" x14ac:dyDescent="0.25">
      <c r="A72" s="260" t="s">
        <v>431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7">
        <v>55</v>
      </c>
      <c r="L72" s="267">
        <v>0.44244212962962964</v>
      </c>
    </row>
    <row r="73" spans="1:12" ht="15.75" x14ac:dyDescent="0.25">
      <c r="A73" s="148" t="s">
        <v>432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5">
        <v>56</v>
      </c>
      <c r="L73" s="266">
        <v>0.46828703703703706</v>
      </c>
    </row>
    <row r="74" spans="1:12" ht="15.75" x14ac:dyDescent="0.25">
      <c r="A74" s="148" t="s">
        <v>433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5">
        <v>57</v>
      </c>
      <c r="L74" s="266">
        <v>0.47123842592592591</v>
      </c>
    </row>
    <row r="75" spans="1:12" ht="15.75" x14ac:dyDescent="0.25">
      <c r="A75" s="148" t="s">
        <v>434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5">
        <v>58</v>
      </c>
      <c r="L75" s="266">
        <v>0.47129629629629632</v>
      </c>
    </row>
    <row r="76" spans="1:12" ht="15.75" x14ac:dyDescent="0.25">
      <c r="A76" s="148" t="s">
        <v>435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5">
        <v>59</v>
      </c>
      <c r="L76" s="266">
        <v>0.47135416666666669</v>
      </c>
    </row>
    <row r="77" spans="1:12" ht="15.75" x14ac:dyDescent="0.25">
      <c r="A77" s="148" t="s">
        <v>436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5">
        <v>60</v>
      </c>
      <c r="L77" s="266">
        <v>0.47141203703703699</v>
      </c>
    </row>
    <row r="78" spans="1:12" ht="15.75" x14ac:dyDescent="0.25">
      <c r="A78" s="148" t="s">
        <v>437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5">
        <v>61</v>
      </c>
      <c r="L78" s="266">
        <v>0.47152777777777777</v>
      </c>
    </row>
    <row r="79" spans="1:12" ht="15.75" x14ac:dyDescent="0.25">
      <c r="A79" s="148" t="s">
        <v>438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5">
        <v>62</v>
      </c>
      <c r="L79" s="266">
        <v>0.47164351851851855</v>
      </c>
    </row>
    <row r="80" spans="1:12" ht="15.75" x14ac:dyDescent="0.25">
      <c r="A80" s="148" t="s">
        <v>439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5">
        <v>63</v>
      </c>
      <c r="L80" s="266">
        <v>0.47175925925925927</v>
      </c>
    </row>
    <row r="81" spans="1:12" ht="15.75" x14ac:dyDescent="0.25">
      <c r="A81" s="148" t="s">
        <v>440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5">
        <v>64</v>
      </c>
      <c r="L81" s="266">
        <v>0.47187499999999999</v>
      </c>
    </row>
    <row r="82" spans="1:12" ht="15.75" x14ac:dyDescent="0.25">
      <c r="A82" s="148" t="s">
        <v>441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11" si="6">E82/B82*1000*1000</f>
        <v>48.527718374732594</v>
      </c>
      <c r="G82" s="2">
        <v>88.72</v>
      </c>
      <c r="H82" s="147">
        <v>0.68460601900610329</v>
      </c>
      <c r="I82" s="14">
        <f t="shared" ref="I82:I110" si="7">H82/B82*1000</f>
        <v>5.6309098454195041</v>
      </c>
      <c r="J82" s="254">
        <v>2.7829999999999999</v>
      </c>
      <c r="K82" s="255">
        <v>65</v>
      </c>
      <c r="L82" s="266">
        <v>0.47199074074074071</v>
      </c>
    </row>
    <row r="83" spans="1:12" ht="15.75" x14ac:dyDescent="0.25">
      <c r="A83" s="148" t="s">
        <v>442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5">
        <v>66</v>
      </c>
      <c r="L83" s="266">
        <v>0.47210648148148149</v>
      </c>
    </row>
    <row r="84" spans="1:12" ht="15.75" x14ac:dyDescent="0.25">
      <c r="A84" s="148" t="s">
        <v>443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5">
        <v>67</v>
      </c>
      <c r="L84" s="266">
        <v>0.47222222222222227</v>
      </c>
    </row>
    <row r="85" spans="1:12" ht="15.75" x14ac:dyDescent="0.25">
      <c r="A85" s="148" t="s">
        <v>444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5">
        <v>68</v>
      </c>
      <c r="L85" s="266">
        <v>0.47233796296296293</v>
      </c>
    </row>
    <row r="86" spans="1:12" ht="15.75" x14ac:dyDescent="0.25">
      <c r="A86" s="6" t="s">
        <v>445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194">
        <v>69</v>
      </c>
      <c r="L86" s="268">
        <v>8.261574074074074E-2</v>
      </c>
    </row>
    <row r="87" spans="1:12" ht="15.75" x14ac:dyDescent="0.25">
      <c r="A87" s="6" t="s">
        <v>446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194">
        <v>70</v>
      </c>
      <c r="L87" s="268">
        <v>8.396990740740741E-2</v>
      </c>
    </row>
    <row r="88" spans="1:12" ht="15.75" x14ac:dyDescent="0.25">
      <c r="A88" s="6" t="s">
        <v>447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194">
        <v>71</v>
      </c>
      <c r="L88" s="268">
        <v>8.4004629629629624E-2</v>
      </c>
    </row>
    <row r="89" spans="1:12" ht="15.75" x14ac:dyDescent="0.25">
      <c r="A89" s="6" t="s">
        <v>448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194">
        <v>72</v>
      </c>
      <c r="L89" s="268">
        <v>8.4039351851851851E-2</v>
      </c>
    </row>
    <row r="90" spans="1:12" ht="15.75" x14ac:dyDescent="0.25">
      <c r="A90" s="6" t="s">
        <v>449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194">
        <v>73</v>
      </c>
      <c r="L90" s="268">
        <v>8.4074074074074079E-2</v>
      </c>
    </row>
    <row r="91" spans="1:12" ht="15.75" x14ac:dyDescent="0.25">
      <c r="A91" s="6" t="s">
        <v>450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194">
        <v>74</v>
      </c>
      <c r="L91" s="268">
        <v>8.4108796296296293E-2</v>
      </c>
    </row>
    <row r="92" spans="1:12" ht="15.75" x14ac:dyDescent="0.25">
      <c r="A92" s="6" t="s">
        <v>451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194">
        <v>75</v>
      </c>
      <c r="L92" s="268">
        <v>8.414351851851852E-2</v>
      </c>
    </row>
    <row r="93" spans="1:12" ht="15.75" x14ac:dyDescent="0.25">
      <c r="A93" s="6" t="s">
        <v>452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194">
        <v>76</v>
      </c>
      <c r="L93" s="268">
        <v>8.4178240740740748E-2</v>
      </c>
    </row>
    <row r="94" spans="1:12" ht="15.75" x14ac:dyDescent="0.25">
      <c r="A94" s="6" t="s">
        <v>453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194">
        <v>77</v>
      </c>
      <c r="L94" s="268">
        <v>8.4212962962962976E-2</v>
      </c>
    </row>
    <row r="95" spans="1:12" ht="15.75" x14ac:dyDescent="0.25">
      <c r="A95" s="6" t="s">
        <v>454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194">
        <v>78</v>
      </c>
      <c r="L95" s="268">
        <v>8.4247685185185175E-2</v>
      </c>
    </row>
    <row r="96" spans="1:12" ht="15.75" x14ac:dyDescent="0.25">
      <c r="A96" s="6" t="s">
        <v>455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194">
        <v>79</v>
      </c>
      <c r="L96" s="268">
        <v>8.4282407407407403E-2</v>
      </c>
    </row>
    <row r="97" spans="1:12" ht="15.75" x14ac:dyDescent="0.25">
      <c r="A97" s="262" t="s">
        <v>456</v>
      </c>
      <c r="B97" s="4">
        <v>122.57</v>
      </c>
      <c r="C97" s="4">
        <v>0.24210000000000001</v>
      </c>
      <c r="D97" s="4">
        <v>0.24229999999999999</v>
      </c>
      <c r="E97" s="4">
        <f t="shared" si="5"/>
        <v>1.9999999999997797E-4</v>
      </c>
      <c r="F97" s="181">
        <f t="shared" si="6"/>
        <v>1.6317206494246388</v>
      </c>
      <c r="G97" s="261"/>
      <c r="H97" s="261"/>
      <c r="I97" s="10"/>
      <c r="J97" s="183">
        <v>3.109</v>
      </c>
      <c r="K97" s="184">
        <v>80</v>
      </c>
      <c r="L97" s="261"/>
    </row>
    <row r="98" spans="1:12" ht="15.75" x14ac:dyDescent="0.25">
      <c r="A98" s="262" t="s">
        <v>457</v>
      </c>
      <c r="B98" s="4">
        <v>121.33</v>
      </c>
      <c r="C98" s="4">
        <v>0.2397</v>
      </c>
      <c r="D98" s="4">
        <v>0.24179999999999999</v>
      </c>
      <c r="E98" s="4">
        <f t="shared" si="5"/>
        <v>2.0999999999999908E-3</v>
      </c>
      <c r="F98" s="181">
        <f t="shared" si="6"/>
        <v>17.308167806807806</v>
      </c>
      <c r="G98" s="261"/>
      <c r="H98" s="261"/>
      <c r="I98" s="10"/>
      <c r="J98" s="183">
        <v>2.976</v>
      </c>
      <c r="K98" s="184">
        <v>81</v>
      </c>
      <c r="L98" s="261"/>
    </row>
    <row r="99" spans="1:12" ht="15.75" x14ac:dyDescent="0.25">
      <c r="A99" s="262" t="s">
        <v>458</v>
      </c>
      <c r="B99" s="4">
        <v>122.52</v>
      </c>
      <c r="C99" s="4">
        <v>0.2412</v>
      </c>
      <c r="D99" s="4">
        <v>0.25650000000000001</v>
      </c>
      <c r="E99" s="4">
        <f t="shared" si="5"/>
        <v>1.5300000000000008E-2</v>
      </c>
      <c r="F99" s="181">
        <f t="shared" si="6"/>
        <v>124.87757100881495</v>
      </c>
      <c r="G99" s="261"/>
      <c r="H99" s="261"/>
      <c r="I99" s="10"/>
      <c r="J99" s="183">
        <v>2.9239999999999999</v>
      </c>
      <c r="K99" s="184">
        <v>82</v>
      </c>
      <c r="L99" s="261"/>
    </row>
    <row r="100" spans="1:12" ht="15.75" x14ac:dyDescent="0.25">
      <c r="A100" s="262" t="s">
        <v>459</v>
      </c>
      <c r="B100" s="4">
        <v>121.45</v>
      </c>
      <c r="C100" s="4">
        <v>0.24279999999999999</v>
      </c>
      <c r="D100" s="4">
        <v>0.249</v>
      </c>
      <c r="E100" s="4">
        <f t="shared" si="5"/>
        <v>6.2000000000000111E-3</v>
      </c>
      <c r="F100" s="181">
        <f t="shared" si="6"/>
        <v>51.049814738575634</v>
      </c>
      <c r="G100" s="261"/>
      <c r="H100" s="261"/>
      <c r="I100" s="10"/>
      <c r="J100" s="183">
        <v>2.9380000000000002</v>
      </c>
      <c r="K100" s="184">
        <v>83</v>
      </c>
      <c r="L100" s="261"/>
    </row>
    <row r="101" spans="1:12" ht="15.75" x14ac:dyDescent="0.25">
      <c r="A101" s="262" t="s">
        <v>460</v>
      </c>
      <c r="B101" s="4">
        <v>122.08</v>
      </c>
      <c r="C101" s="4">
        <v>0.24099999999999999</v>
      </c>
      <c r="D101" s="4">
        <v>0.24890000000000001</v>
      </c>
      <c r="E101" s="4">
        <f t="shared" si="5"/>
        <v>7.9000000000000181E-3</v>
      </c>
      <c r="F101" s="181">
        <f t="shared" si="6"/>
        <v>64.71166448230683</v>
      </c>
      <c r="G101" s="261"/>
      <c r="H101" s="261"/>
      <c r="I101" s="10"/>
      <c r="J101" s="183">
        <v>2.94</v>
      </c>
      <c r="K101" s="184">
        <v>84</v>
      </c>
      <c r="L101" s="261"/>
    </row>
    <row r="102" spans="1:12" ht="15.75" x14ac:dyDescent="0.25">
      <c r="A102" s="1" t="s">
        <v>461</v>
      </c>
      <c r="B102" s="1">
        <v>122.7</v>
      </c>
      <c r="C102" s="1">
        <v>0.2414</v>
      </c>
      <c r="D102" s="1">
        <v>0.24709999999999999</v>
      </c>
      <c r="E102" s="1">
        <f t="shared" si="5"/>
        <v>5.6999999999999829E-3</v>
      </c>
      <c r="F102" s="164">
        <f t="shared" si="6"/>
        <v>46.454767726161229</v>
      </c>
      <c r="G102" s="1">
        <v>94.93</v>
      </c>
      <c r="H102" s="164">
        <v>0.67675156739919073</v>
      </c>
      <c r="I102" s="12">
        <f t="shared" si="7"/>
        <v>5.5154976968149203</v>
      </c>
      <c r="J102" s="166">
        <v>3.0339999999999998</v>
      </c>
      <c r="K102" s="167">
        <v>85</v>
      </c>
      <c r="L102" s="267">
        <v>0.46894675925925927</v>
      </c>
    </row>
    <row r="103" spans="1:12" ht="15.75" x14ac:dyDescent="0.25">
      <c r="A103" s="1" t="s">
        <v>462</v>
      </c>
      <c r="B103" s="1">
        <v>121.38</v>
      </c>
      <c r="C103" s="1">
        <v>0.2374</v>
      </c>
      <c r="D103" s="1">
        <v>0.24249999999999999</v>
      </c>
      <c r="E103" s="1">
        <f t="shared" si="5"/>
        <v>5.0999999999999934E-3</v>
      </c>
      <c r="F103" s="164">
        <f t="shared" si="6"/>
        <v>42.016806722689026</v>
      </c>
      <c r="G103" s="1">
        <v>75.03</v>
      </c>
      <c r="H103" s="164"/>
      <c r="I103" s="12"/>
      <c r="J103" s="166">
        <v>3.0539999999999998</v>
      </c>
      <c r="K103" s="167">
        <v>86</v>
      </c>
      <c r="L103" s="267">
        <v>0.4689814814814815</v>
      </c>
    </row>
    <row r="104" spans="1:12" ht="15.75" x14ac:dyDescent="0.25">
      <c r="A104" s="1" t="s">
        <v>463</v>
      </c>
      <c r="B104" s="1">
        <v>120.25</v>
      </c>
      <c r="C104" s="1">
        <v>0.23849999999999999</v>
      </c>
      <c r="D104" s="1">
        <v>0.2437</v>
      </c>
      <c r="E104" s="1">
        <f t="shared" si="5"/>
        <v>5.2000000000000102E-3</v>
      </c>
      <c r="F104" s="164">
        <f t="shared" si="6"/>
        <v>43.243243243243327</v>
      </c>
      <c r="G104" s="1">
        <v>81.28</v>
      </c>
      <c r="H104" s="164">
        <v>0.47228571175514489</v>
      </c>
      <c r="I104" s="12">
        <f t="shared" si="7"/>
        <v>3.9275319064876912</v>
      </c>
      <c r="J104" s="166">
        <v>2.4729999999999999</v>
      </c>
      <c r="K104" s="167">
        <v>87</v>
      </c>
      <c r="L104" s="267">
        <v>0.46901620370370373</v>
      </c>
    </row>
    <row r="105" spans="1:12" ht="15.75" x14ac:dyDescent="0.25">
      <c r="A105" s="1" t="s">
        <v>464</v>
      </c>
      <c r="B105" s="1">
        <v>122.5</v>
      </c>
      <c r="C105" s="1">
        <v>0.2387</v>
      </c>
      <c r="D105" s="1">
        <v>0.25640000000000002</v>
      </c>
      <c r="E105" s="1">
        <f t="shared" si="5"/>
        <v>1.7700000000000021E-2</v>
      </c>
      <c r="F105" s="164">
        <f t="shared" si="6"/>
        <v>144.48979591836752</v>
      </c>
      <c r="G105" s="1">
        <v>293.19</v>
      </c>
      <c r="H105" s="164"/>
      <c r="I105" s="12"/>
      <c r="J105" s="166">
        <v>2.6160000000000001</v>
      </c>
      <c r="K105" s="167">
        <v>88</v>
      </c>
      <c r="L105" s="267">
        <v>0.4690509259259259</v>
      </c>
    </row>
    <row r="106" spans="1:12" ht="15.75" x14ac:dyDescent="0.25">
      <c r="A106" s="1" t="s">
        <v>465</v>
      </c>
      <c r="B106" s="1">
        <v>121.24</v>
      </c>
      <c r="C106" s="1">
        <v>0.23799999999999999</v>
      </c>
      <c r="D106" s="1">
        <v>0.2671</v>
      </c>
      <c r="E106" s="1">
        <f t="shared" si="5"/>
        <v>2.9100000000000015E-2</v>
      </c>
      <c r="F106" s="164">
        <f t="shared" si="6"/>
        <v>240.01979544704733</v>
      </c>
      <c r="G106" s="1">
        <v>311.7</v>
      </c>
      <c r="H106" s="164">
        <v>1.8334773361671102</v>
      </c>
      <c r="I106" s="12">
        <f t="shared" si="7"/>
        <v>15.122709800124632</v>
      </c>
      <c r="J106" s="166">
        <v>3.1349999999999998</v>
      </c>
      <c r="K106" s="167">
        <v>89</v>
      </c>
      <c r="L106" s="267">
        <v>0.46908564814814818</v>
      </c>
    </row>
    <row r="107" spans="1:12" ht="15.75" x14ac:dyDescent="0.25">
      <c r="A107" s="1" t="s">
        <v>466</v>
      </c>
      <c r="B107" s="1">
        <v>122.39</v>
      </c>
      <c r="C107" s="1">
        <v>0.2382</v>
      </c>
      <c r="D107" s="1">
        <v>0.2616</v>
      </c>
      <c r="E107" s="1">
        <f t="shared" si="5"/>
        <v>2.3400000000000004E-2</v>
      </c>
      <c r="F107" s="164">
        <f t="shared" si="6"/>
        <v>191.19209085709622</v>
      </c>
      <c r="G107" s="1">
        <v>243.92</v>
      </c>
      <c r="H107" s="164"/>
      <c r="I107" s="12"/>
      <c r="J107" s="166">
        <v>2.9359999999999999</v>
      </c>
      <c r="K107" s="167">
        <v>90</v>
      </c>
      <c r="L107" s="267">
        <v>0.46912037037037035</v>
      </c>
    </row>
    <row r="108" spans="1:12" ht="15.75" x14ac:dyDescent="0.25">
      <c r="A108" s="1" t="s">
        <v>467</v>
      </c>
      <c r="B108" s="1">
        <v>122.48</v>
      </c>
      <c r="C108" s="1">
        <v>0.2331</v>
      </c>
      <c r="D108" s="1">
        <v>0.25319999999999998</v>
      </c>
      <c r="E108" s="1">
        <f t="shared" si="5"/>
        <v>2.0099999999999979E-2</v>
      </c>
      <c r="F108" s="164">
        <f t="shared" si="6"/>
        <v>164.10842586544723</v>
      </c>
      <c r="G108" s="1">
        <v>292.16000000000003</v>
      </c>
      <c r="H108" s="264">
        <v>2.1062359783450173</v>
      </c>
      <c r="I108" s="12">
        <f t="shared" si="7"/>
        <v>17.196570691909024</v>
      </c>
      <c r="J108" s="166">
        <v>2.9329999999999998</v>
      </c>
      <c r="K108" s="167">
        <v>91</v>
      </c>
      <c r="L108" s="267">
        <v>0.46915509259259264</v>
      </c>
    </row>
    <row r="109" spans="1:12" ht="15.75" x14ac:dyDescent="0.25">
      <c r="A109" s="1" t="s">
        <v>468</v>
      </c>
      <c r="B109" s="1">
        <v>119.13</v>
      </c>
      <c r="C109" s="1">
        <v>0.24160000000000001</v>
      </c>
      <c r="D109" s="1">
        <v>0.25580000000000003</v>
      </c>
      <c r="E109" s="1">
        <f t="shared" si="5"/>
        <v>1.4200000000000018E-2</v>
      </c>
      <c r="F109" s="164">
        <f t="shared" si="6"/>
        <v>119.19751531939913</v>
      </c>
      <c r="G109" s="1">
        <v>260.11</v>
      </c>
      <c r="H109" s="264">
        <v>1.1324545663874486</v>
      </c>
      <c r="I109" s="12">
        <f t="shared" si="7"/>
        <v>9.506040177851494</v>
      </c>
      <c r="J109" s="166">
        <v>2.6339999999999999</v>
      </c>
      <c r="K109" s="167">
        <v>92</v>
      </c>
      <c r="L109" s="267">
        <v>0.46918981481481481</v>
      </c>
    </row>
    <row r="110" spans="1:12" ht="15.75" x14ac:dyDescent="0.25">
      <c r="A110" s="1" t="s">
        <v>469</v>
      </c>
      <c r="B110" s="1">
        <v>119.42</v>
      </c>
      <c r="C110" s="1">
        <v>0.2392</v>
      </c>
      <c r="D110" s="1">
        <v>0.25069999999999998</v>
      </c>
      <c r="E110" s="1">
        <f t="shared" si="5"/>
        <v>1.1499999999999982E-2</v>
      </c>
      <c r="F110" s="164">
        <f t="shared" si="6"/>
        <v>96.298777424216894</v>
      </c>
      <c r="G110" s="1">
        <v>194.51</v>
      </c>
      <c r="H110" s="264">
        <v>0.76040884088149185</v>
      </c>
      <c r="I110" s="12">
        <f t="shared" si="7"/>
        <v>6.3675166712568405</v>
      </c>
      <c r="J110" s="166">
        <v>2.97</v>
      </c>
      <c r="K110" s="167">
        <v>93</v>
      </c>
      <c r="L110" s="267">
        <v>0.46925925925925926</v>
      </c>
    </row>
    <row r="111" spans="1:12" ht="15.75" x14ac:dyDescent="0.25">
      <c r="A111" s="1" t="s">
        <v>470</v>
      </c>
      <c r="B111" s="1">
        <v>118.75</v>
      </c>
      <c r="C111" s="1">
        <v>0.24079999999999999</v>
      </c>
      <c r="D111" s="1">
        <v>0.25230000000000002</v>
      </c>
      <c r="E111" s="1">
        <f t="shared" si="5"/>
        <v>1.1500000000000038E-2</v>
      </c>
      <c r="F111" s="164">
        <f t="shared" si="6"/>
        <v>96.842105263158203</v>
      </c>
      <c r="G111" s="1">
        <v>189.68</v>
      </c>
      <c r="H111" s="164"/>
      <c r="I111" s="12"/>
      <c r="J111" s="166">
        <v>2.4969999999999999</v>
      </c>
      <c r="K111" s="167">
        <v>94</v>
      </c>
      <c r="L111" s="267">
        <v>0.46929398148148144</v>
      </c>
    </row>
  </sheetData>
  <mergeCells count="1">
    <mergeCell ref="N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2026-06-29T22:15:43Z</dcterms:modified>
</cp:coreProperties>
</file>