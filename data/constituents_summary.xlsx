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hysteresis\data\"/>
    </mc:Choice>
  </mc:AlternateContent>
  <xr:revisionPtr revIDLastSave="0" documentId="13_ncr:1_{3AE01E7D-272E-44BD-842E-92E7BE1CA811}" xr6:coauthVersionLast="47" xr6:coauthVersionMax="47" xr10:uidLastSave="{00000000-0000-0000-0000-000000000000}"/>
  <bookViews>
    <workbookView xWindow="11424" yWindow="0" windowWidth="11712" windowHeight="12336" tabRatio="623" xr2:uid="{FEC01F85-CDE9-417C-893C-E562E55652ED}"/>
  </bookViews>
  <sheets>
    <sheet name="Spring" sheetId="4" r:id="rId1"/>
    <sheet name="Summer " sheetId="1" r:id="rId2"/>
    <sheet name="Grab Samp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0" i="4" l="1"/>
  <c r="I161" i="4"/>
  <c r="I165" i="4"/>
  <c r="I167" i="4"/>
  <c r="E149" i="4"/>
  <c r="F149" i="4" s="1"/>
  <c r="E150" i="4"/>
  <c r="F150" i="4" s="1"/>
  <c r="E151" i="4"/>
  <c r="F151" i="4" s="1"/>
  <c r="E152" i="4"/>
  <c r="F152" i="4" s="1"/>
  <c r="E155" i="4"/>
  <c r="F155" i="4" s="1"/>
  <c r="E158" i="4"/>
  <c r="F158" i="4" s="1"/>
  <c r="E160" i="4"/>
  <c r="F160" i="4" s="1"/>
  <c r="E161" i="4"/>
  <c r="F161" i="4" s="1"/>
  <c r="E163" i="4"/>
  <c r="F163" i="4" s="1"/>
  <c r="E165" i="4"/>
  <c r="F165" i="4" s="1"/>
  <c r="E147" i="4"/>
  <c r="F147" i="4" s="1"/>
  <c r="E148" i="4"/>
  <c r="F148" i="4" s="1"/>
  <c r="E145" i="4"/>
  <c r="F145" i="4" s="1"/>
  <c r="E146" i="4"/>
  <c r="F146" i="4" s="1"/>
  <c r="E167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F144" i="4" s="1"/>
  <c r="F123" i="4"/>
  <c r="F124" i="4"/>
  <c r="F126" i="4"/>
  <c r="F128" i="4"/>
  <c r="F129" i="4"/>
  <c r="F130" i="4"/>
  <c r="F131" i="4"/>
  <c r="E123" i="4"/>
  <c r="E124" i="4"/>
  <c r="E126" i="4"/>
  <c r="E127" i="4"/>
  <c r="E128" i="4"/>
  <c r="E129" i="4"/>
  <c r="E130" i="4"/>
  <c r="E131" i="4"/>
  <c r="I117" i="4"/>
  <c r="E117" i="4"/>
  <c r="F117" i="4" s="1"/>
  <c r="E118" i="4"/>
  <c r="F118" i="4" s="1"/>
  <c r="E119" i="4"/>
  <c r="F119" i="4" s="1"/>
  <c r="E120" i="4"/>
  <c r="E121" i="4"/>
  <c r="F121" i="4" s="1"/>
  <c r="E122" i="4"/>
  <c r="F122" i="4" s="1"/>
  <c r="E99" i="4"/>
  <c r="F99" i="4" s="1"/>
  <c r="E100" i="4"/>
  <c r="F100" i="4" s="1"/>
  <c r="E101" i="4"/>
  <c r="F101" i="4" s="1"/>
  <c r="E102" i="4"/>
  <c r="F102" i="4" s="1"/>
  <c r="E103" i="4"/>
  <c r="F103" i="4" s="1"/>
  <c r="E104" i="4"/>
  <c r="F104" i="4" s="1"/>
  <c r="E105" i="4"/>
  <c r="F105" i="4" s="1"/>
  <c r="E106" i="4"/>
  <c r="F106" i="4" s="1"/>
  <c r="E107" i="4"/>
  <c r="F107" i="4" s="1"/>
  <c r="E108" i="4"/>
  <c r="F108" i="4" s="1"/>
  <c r="E109" i="4"/>
  <c r="F109" i="4" s="1"/>
  <c r="E110" i="4"/>
  <c r="E111" i="4"/>
  <c r="F111" i="4" s="1"/>
  <c r="E112" i="4"/>
  <c r="F112" i="4" s="1"/>
  <c r="E113" i="4"/>
  <c r="F113" i="4" s="1"/>
  <c r="E114" i="4"/>
  <c r="F114" i="4" s="1"/>
  <c r="E116" i="4"/>
  <c r="F116" i="4" s="1"/>
  <c r="I116" i="4"/>
  <c r="I115" i="4"/>
  <c r="I105" i="4"/>
  <c r="I92" i="4"/>
  <c r="F88" i="4"/>
  <c r="F89" i="4"/>
  <c r="F90" i="4"/>
  <c r="F91" i="4"/>
  <c r="F92" i="4"/>
  <c r="F93" i="4"/>
  <c r="F94" i="4"/>
  <c r="F95" i="4"/>
  <c r="E88" i="4"/>
  <c r="E89" i="4"/>
  <c r="E90" i="4"/>
  <c r="E91" i="4"/>
  <c r="E92" i="4"/>
  <c r="E93" i="4"/>
  <c r="E94" i="4"/>
  <c r="E95" i="4"/>
  <c r="E96" i="4"/>
  <c r="F96" i="4" s="1"/>
  <c r="E97" i="4"/>
  <c r="F97" i="4" s="1"/>
  <c r="E98" i="4"/>
  <c r="F98" i="4" s="1"/>
  <c r="E84" i="4"/>
  <c r="F84" i="4" s="1"/>
  <c r="E85" i="4"/>
  <c r="F85" i="4" s="1"/>
  <c r="E86" i="4"/>
  <c r="F86" i="4" s="1"/>
  <c r="E87" i="4"/>
  <c r="I67" i="4"/>
  <c r="I74" i="4"/>
  <c r="I76" i="4"/>
  <c r="E83" i="4"/>
  <c r="F83" i="4" s="1"/>
  <c r="F68" i="4"/>
  <c r="F69" i="4"/>
  <c r="F70" i="4"/>
  <c r="F71" i="4"/>
  <c r="F74" i="4"/>
  <c r="F76" i="4"/>
  <c r="F78" i="4"/>
  <c r="E67" i="4"/>
  <c r="F67" i="4" s="1"/>
  <c r="E68" i="4"/>
  <c r="E69" i="4"/>
  <c r="E70" i="4"/>
  <c r="E71" i="4"/>
  <c r="E72" i="4"/>
  <c r="F72" i="4" s="1"/>
  <c r="E73" i="4"/>
  <c r="F73" i="4" s="1"/>
  <c r="E74" i="4"/>
  <c r="E76" i="4"/>
  <c r="E78" i="4"/>
  <c r="E80" i="4"/>
  <c r="F80" i="4" s="1"/>
  <c r="E81" i="4"/>
  <c r="F81" i="4" s="1"/>
  <c r="E82" i="4"/>
  <c r="F82" i="4" s="1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44" i="4"/>
  <c r="E45" i="4"/>
  <c r="E46" i="4"/>
  <c r="E47" i="4"/>
  <c r="E48" i="4"/>
  <c r="E49" i="4"/>
  <c r="E50" i="4"/>
  <c r="E51" i="4"/>
  <c r="E52" i="4"/>
  <c r="E53" i="4"/>
  <c r="E42" i="4"/>
  <c r="E29" i="4"/>
  <c r="E30" i="4"/>
  <c r="E31" i="4"/>
  <c r="E32" i="4"/>
  <c r="E33" i="4"/>
  <c r="E34" i="4"/>
  <c r="E35" i="4"/>
  <c r="E36" i="4"/>
  <c r="E37" i="4"/>
  <c r="E38" i="4"/>
  <c r="E39" i="4"/>
  <c r="E40" i="4"/>
  <c r="E43" i="4"/>
  <c r="E16" i="4"/>
  <c r="E18" i="4"/>
  <c r="E19" i="4"/>
  <c r="E20" i="4"/>
  <c r="E21" i="4"/>
  <c r="E22" i="4"/>
  <c r="E24" i="4"/>
  <c r="E25" i="4"/>
  <c r="E26" i="4"/>
  <c r="E27" i="4"/>
  <c r="E28" i="4"/>
  <c r="I14" i="4"/>
  <c r="E14" i="4"/>
  <c r="F14" i="4" s="1"/>
  <c r="E15" i="4"/>
  <c r="F3" i="1"/>
  <c r="E3" i="4"/>
  <c r="E4" i="4"/>
  <c r="E5" i="4"/>
  <c r="E6" i="4"/>
  <c r="E7" i="4"/>
  <c r="E8" i="4"/>
  <c r="E9" i="4"/>
  <c r="E10" i="4"/>
  <c r="E11" i="4"/>
  <c r="E12" i="4"/>
  <c r="E13" i="4"/>
  <c r="E2" i="4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I36" i="2"/>
  <c r="X17" i="2"/>
  <c r="X16" i="2"/>
  <c r="X15" i="2"/>
  <c r="X14" i="2"/>
  <c r="X13" i="2"/>
  <c r="W13" i="2"/>
  <c r="U13" i="2"/>
  <c r="T13" i="2"/>
  <c r="X12" i="2"/>
  <c r="U12" i="2"/>
  <c r="T12" i="2"/>
  <c r="X11" i="2"/>
  <c r="U11" i="2"/>
  <c r="T11" i="2"/>
  <c r="I9" i="2"/>
  <c r="I8" i="2"/>
  <c r="I7" i="2"/>
  <c r="I6" i="2"/>
  <c r="I5" i="2"/>
  <c r="I4" i="2"/>
  <c r="I3" i="2"/>
  <c r="I2" i="2"/>
  <c r="F62" i="4" l="1"/>
  <c r="F47" i="4"/>
  <c r="F49" i="4"/>
  <c r="F52" i="4"/>
  <c r="F53" i="4"/>
  <c r="F29" i="4"/>
  <c r="F32" i="4"/>
  <c r="F34" i="4"/>
  <c r="F36" i="4"/>
  <c r="F39" i="4"/>
  <c r="F42" i="4"/>
  <c r="F54" i="4"/>
  <c r="F55" i="4"/>
  <c r="F56" i="4"/>
  <c r="F57" i="4"/>
  <c r="F58" i="4"/>
  <c r="F59" i="4"/>
  <c r="F60" i="4"/>
  <c r="F61" i="4"/>
  <c r="F63" i="4"/>
  <c r="F64" i="4"/>
  <c r="F65" i="4"/>
  <c r="F66" i="4"/>
  <c r="F44" i="4"/>
  <c r="F45" i="4"/>
  <c r="F46" i="4"/>
  <c r="F48" i="4"/>
  <c r="F50" i="4"/>
  <c r="F51" i="4"/>
  <c r="F30" i="4"/>
  <c r="F31" i="4"/>
  <c r="F33" i="4"/>
  <c r="F35" i="4"/>
  <c r="F37" i="4"/>
  <c r="F40" i="4"/>
  <c r="F43" i="4"/>
  <c r="F18" i="4"/>
  <c r="F24" i="4"/>
  <c r="F20" i="4"/>
  <c r="F21" i="4"/>
  <c r="F16" i="4"/>
  <c r="F25" i="4"/>
  <c r="F19" i="4"/>
  <c r="F22" i="4"/>
  <c r="F3" i="4"/>
  <c r="F4" i="4"/>
  <c r="F6" i="4"/>
  <c r="F7" i="4"/>
  <c r="F10" i="4"/>
  <c r="F11" i="4"/>
  <c r="F13" i="4"/>
  <c r="F2" i="4"/>
  <c r="F15" i="4"/>
  <c r="F5" i="4"/>
  <c r="F8" i="4"/>
  <c r="F9" i="4"/>
  <c r="F12" i="4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W17" i="2"/>
  <c r="W11" i="2"/>
  <c r="W14" i="2"/>
  <c r="W12" i="2"/>
  <c r="W15" i="2"/>
  <c r="W16" i="2"/>
  <c r="S11" i="2"/>
  <c r="S16" i="2" l="1"/>
  <c r="S17" i="2"/>
  <c r="S14" i="2"/>
  <c r="S15" i="2"/>
  <c r="S12" i="2"/>
  <c r="S13" i="2"/>
  <c r="I15" i="1" l="1"/>
  <c r="I16" i="1"/>
  <c r="I17" i="1"/>
  <c r="I18" i="1"/>
  <c r="I19" i="1"/>
  <c r="I20" i="1"/>
  <c r="E15" i="1"/>
  <c r="F15" i="1" s="1"/>
  <c r="E16" i="1"/>
  <c r="F16" i="1" s="1"/>
  <c r="E17" i="1"/>
  <c r="F17" i="1" s="1"/>
  <c r="E19" i="1"/>
  <c r="F19" i="1" s="1"/>
  <c r="E18" i="1"/>
  <c r="F18" i="1" s="1"/>
  <c r="E20" i="1"/>
  <c r="F20" i="1" s="1"/>
  <c r="E14" i="1"/>
  <c r="F14" i="1" s="1"/>
  <c r="I87" i="1"/>
  <c r="I76" i="1"/>
  <c r="I60" i="1"/>
  <c r="I62" i="1"/>
  <c r="I66" i="1"/>
  <c r="I68" i="1"/>
  <c r="I69" i="1"/>
  <c r="I70" i="1"/>
  <c r="I52" i="1"/>
  <c r="I57" i="1"/>
  <c r="I58" i="1"/>
  <c r="I49" i="1"/>
  <c r="I51" i="1"/>
  <c r="I45" i="1"/>
  <c r="I21" i="1"/>
  <c r="I22" i="1"/>
  <c r="I23" i="1"/>
  <c r="I24" i="1"/>
  <c r="I25" i="1"/>
  <c r="I26" i="1"/>
  <c r="I33" i="1"/>
  <c r="I34" i="1"/>
  <c r="I35" i="1"/>
  <c r="I36" i="1"/>
  <c r="I37" i="1"/>
  <c r="I38" i="1"/>
  <c r="I40" i="1"/>
  <c r="I41" i="1"/>
  <c r="I42" i="1"/>
  <c r="I43" i="1"/>
  <c r="I14" i="1"/>
  <c r="I29" i="1"/>
  <c r="I77" i="1"/>
  <c r="I78" i="1"/>
  <c r="I79" i="1"/>
  <c r="I81" i="1"/>
  <c r="I82" i="1"/>
  <c r="I83" i="1"/>
  <c r="I84" i="1"/>
  <c r="I85" i="1"/>
  <c r="I71" i="1"/>
  <c r="I72" i="1"/>
  <c r="I73" i="1"/>
  <c r="I50" i="1"/>
  <c r="I53" i="1"/>
  <c r="I54" i="1"/>
  <c r="I55" i="1"/>
  <c r="I56" i="1"/>
  <c r="I39" i="1"/>
  <c r="I47" i="1"/>
  <c r="I2" i="1"/>
  <c r="I4" i="1"/>
  <c r="E2" i="1"/>
  <c r="F2" i="1" s="1"/>
  <c r="I27" i="1"/>
  <c r="I28" i="1"/>
  <c r="I30" i="1"/>
  <c r="I31" i="1"/>
  <c r="I32" i="1"/>
  <c r="I3" i="1"/>
  <c r="I5" i="1"/>
  <c r="I6" i="1"/>
  <c r="I7" i="1"/>
  <c r="I8" i="1"/>
  <c r="I9" i="1"/>
  <c r="I10" i="1"/>
  <c r="I11" i="1"/>
  <c r="I12" i="1"/>
  <c r="I13" i="1"/>
  <c r="E3" i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F38" i="1" l="1"/>
  <c r="F39" i="1"/>
  <c r="E28" i="1" l="1"/>
  <c r="F28" i="1" s="1"/>
  <c r="E29" i="1"/>
  <c r="E33" i="1" l="1"/>
  <c r="F33" i="1" s="1"/>
  <c r="E76" i="1"/>
  <c r="F76" i="1" s="1"/>
  <c r="E77" i="1"/>
  <c r="F77" i="1" s="1"/>
  <c r="E78" i="1"/>
  <c r="F78" i="1" s="1"/>
  <c r="E79" i="1"/>
  <c r="F79" i="1" s="1"/>
  <c r="E80" i="1"/>
  <c r="F80" i="1" s="1"/>
  <c r="E81" i="1"/>
  <c r="F81" i="1" s="1"/>
  <c r="E82" i="1"/>
  <c r="F82" i="1" s="1"/>
  <c r="E83" i="1"/>
  <c r="F83" i="1" s="1"/>
  <c r="E84" i="1"/>
  <c r="F84" i="1" s="1"/>
  <c r="E85" i="1"/>
  <c r="F85" i="1" s="1"/>
  <c r="E86" i="1"/>
  <c r="F86" i="1" s="1"/>
  <c r="E87" i="1"/>
  <c r="F87" i="1" s="1"/>
  <c r="E68" i="1"/>
  <c r="F68" i="1" s="1"/>
  <c r="E69" i="1"/>
  <c r="F69" i="1" s="1"/>
  <c r="E70" i="1"/>
  <c r="F70" i="1" s="1"/>
  <c r="E71" i="1"/>
  <c r="F71" i="1" s="1"/>
  <c r="E72" i="1"/>
  <c r="F72" i="1" s="1"/>
  <c r="E73" i="1"/>
  <c r="F73" i="1" s="1"/>
  <c r="E74" i="1"/>
  <c r="F74" i="1" s="1"/>
  <c r="E75" i="1"/>
  <c r="F75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34" i="1"/>
  <c r="F34" i="1" s="1"/>
  <c r="E35" i="1"/>
  <c r="F35" i="1" s="1"/>
  <c r="E36" i="1"/>
  <c r="F36" i="1" s="1"/>
  <c r="E37" i="1"/>
  <c r="F37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F29" i="1"/>
  <c r="E30" i="1"/>
  <c r="F30" i="1" s="1"/>
  <c r="E31" i="1"/>
  <c r="F31" i="1" s="1"/>
  <c r="E32" i="1"/>
  <c r="F32" i="1" s="1"/>
</calcChain>
</file>

<file path=xl/sharedStrings.xml><?xml version="1.0" encoding="utf-8"?>
<sst xmlns="http://schemas.openxmlformats.org/spreadsheetml/2006/main" count="446" uniqueCount="337">
  <si>
    <t>Volume filtered (mL)</t>
  </si>
  <si>
    <t>Sample ID</t>
  </si>
  <si>
    <t>pre-filter weight (g)</t>
  </si>
  <si>
    <t>post-filter weight (g)</t>
  </si>
  <si>
    <t>SS concentration (mg/L)</t>
  </si>
  <si>
    <t>Storm 1 (2021)</t>
  </si>
  <si>
    <t>Storm 2 (2022)</t>
  </si>
  <si>
    <t>ST5-D1</t>
  </si>
  <si>
    <t>ST5-D2</t>
  </si>
  <si>
    <t>ST5-D3</t>
  </si>
  <si>
    <t>ST5-D4</t>
  </si>
  <si>
    <t>ST5-D5</t>
  </si>
  <si>
    <t>ST5-U1</t>
  </si>
  <si>
    <t>ST5-U2</t>
  </si>
  <si>
    <t>ST5-U3</t>
  </si>
  <si>
    <t>ST5-U4</t>
  </si>
  <si>
    <t>ST5-U5</t>
  </si>
  <si>
    <t>ST5-U6</t>
  </si>
  <si>
    <t>ST5-U7</t>
  </si>
  <si>
    <t>ST5-U8</t>
  </si>
  <si>
    <t>ST5-U9</t>
  </si>
  <si>
    <t>ST5-U10</t>
  </si>
  <si>
    <t>ST5-U11</t>
  </si>
  <si>
    <t>ST5-U12</t>
  </si>
  <si>
    <t>ST4-D2</t>
  </si>
  <si>
    <t>ST4-D3</t>
  </si>
  <si>
    <t>ST4-D4</t>
  </si>
  <si>
    <t>ST4-D5</t>
  </si>
  <si>
    <t>ST4-U1</t>
  </si>
  <si>
    <t>ST4-U2</t>
  </si>
  <si>
    <t>ST4-U3</t>
  </si>
  <si>
    <t>ST4-U4</t>
  </si>
  <si>
    <t>ST4-U5</t>
  </si>
  <si>
    <t>ST4-U6</t>
  </si>
  <si>
    <t>ST4-U7</t>
  </si>
  <si>
    <t>ST4-U9</t>
  </si>
  <si>
    <t>ST4-U11</t>
  </si>
  <si>
    <t>ST4-U14</t>
  </si>
  <si>
    <t>ST6-U1</t>
  </si>
  <si>
    <t>ST6-U2</t>
  </si>
  <si>
    <t>ST6-U3</t>
  </si>
  <si>
    <t>ST6-U4</t>
  </si>
  <si>
    <t>ST6-U5</t>
  </si>
  <si>
    <t>ST6-U8</t>
  </si>
  <si>
    <t>ST6-U10</t>
  </si>
  <si>
    <t>ST7-D1</t>
  </si>
  <si>
    <t>ST7-D2</t>
  </si>
  <si>
    <t>ST7-D3</t>
  </si>
  <si>
    <t>ST7-D4</t>
  </si>
  <si>
    <t>ST7-D5</t>
  </si>
  <si>
    <t>ST7-D6</t>
  </si>
  <si>
    <t>ST7-U1</t>
  </si>
  <si>
    <t>ST7-U2</t>
  </si>
  <si>
    <t>ST7-U3</t>
  </si>
  <si>
    <t>ST7-U5</t>
  </si>
  <si>
    <t>ST7-U7</t>
  </si>
  <si>
    <t>Storm 3 (2022)</t>
  </si>
  <si>
    <t>Storm 5 (2023)</t>
  </si>
  <si>
    <t>Storm 4 (2023)</t>
  </si>
  <si>
    <t>Storm 6 (2023)</t>
  </si>
  <si>
    <t>Storm 7 (2023)</t>
  </si>
  <si>
    <t>Lab ID</t>
  </si>
  <si>
    <t>ST4-D1</t>
  </si>
  <si>
    <t>ST4-D6</t>
  </si>
  <si>
    <t>ST4-D7</t>
  </si>
  <si>
    <t>ST5-U13</t>
  </si>
  <si>
    <t>ST6-U13</t>
  </si>
  <si>
    <t>DateTime</t>
  </si>
  <si>
    <t>ST7-U10</t>
  </si>
  <si>
    <t>DOC</t>
  </si>
  <si>
    <t>POC</t>
  </si>
  <si>
    <t>Total sediment on filter - (inorganic + organic) (g)</t>
  </si>
  <si>
    <t>mgC</t>
  </si>
  <si>
    <t>VC-BER-20</t>
  </si>
  <si>
    <t>VC-BER-21</t>
  </si>
  <si>
    <t>VC-BER-22</t>
  </si>
  <si>
    <t>VC-BER-23</t>
  </si>
  <si>
    <t>VC-BER-24</t>
  </si>
  <si>
    <t>VC-BER-25</t>
  </si>
  <si>
    <t>VC-BER-26</t>
  </si>
  <si>
    <t>VC-BER-27</t>
  </si>
  <si>
    <t>VC-BER-28</t>
  </si>
  <si>
    <t>VC-BER-29</t>
  </si>
  <si>
    <t>VC-BER-30</t>
  </si>
  <si>
    <t>VC-BER-31</t>
  </si>
  <si>
    <t>ST1-D1</t>
  </si>
  <si>
    <t>ST1-D2</t>
  </si>
  <si>
    <t>ST1-D5</t>
  </si>
  <si>
    <t>ST1-D6</t>
  </si>
  <si>
    <t>ST1-D10</t>
  </si>
  <si>
    <t>ST1-S18</t>
  </si>
  <si>
    <t>ST1-U1</t>
  </si>
  <si>
    <t>ST1-U3</t>
  </si>
  <si>
    <t>ST1-U8</t>
  </si>
  <si>
    <t>ST1-U11</t>
  </si>
  <si>
    <t>ST1-U15</t>
  </si>
  <si>
    <t>ST1-U24</t>
  </si>
  <si>
    <t>LISST concentration (uL/L)</t>
  </si>
  <si>
    <t>ST2-U1</t>
  </si>
  <si>
    <t>ST2-U2</t>
  </si>
  <si>
    <t>ST2-U3</t>
  </si>
  <si>
    <t>ST2-U4</t>
  </si>
  <si>
    <t>ST2-U5</t>
  </si>
  <si>
    <t>ST2-U6</t>
  </si>
  <si>
    <t>ST2-U7</t>
  </si>
  <si>
    <t>ST3-U1</t>
  </si>
  <si>
    <t>ST3-U2</t>
  </si>
  <si>
    <t>ST3-U3</t>
  </si>
  <si>
    <t>ST3-U4</t>
  </si>
  <si>
    <t>ST3-U5</t>
  </si>
  <si>
    <t>ST3-U6</t>
  </si>
  <si>
    <t>ST3-U7</t>
  </si>
  <si>
    <t>ST3-U8</t>
  </si>
  <si>
    <t>ST3-U9</t>
  </si>
  <si>
    <t>ST3-U10</t>
  </si>
  <si>
    <t>ST3-U11</t>
  </si>
  <si>
    <t>ST3-U12</t>
  </si>
  <si>
    <t>PP (mg/L)</t>
  </si>
  <si>
    <t>SRP</t>
  </si>
  <si>
    <t>TP</t>
  </si>
  <si>
    <t xml:space="preserve">Grab Samples </t>
  </si>
  <si>
    <t>VC-BER-7</t>
  </si>
  <si>
    <t>VC-BER-8</t>
  </si>
  <si>
    <t>VC-BER-9</t>
  </si>
  <si>
    <t>VC-BER-10</t>
  </si>
  <si>
    <t>VC-BER-11</t>
  </si>
  <si>
    <t>VC-BER-12</t>
  </si>
  <si>
    <t>VC-BER-13</t>
  </si>
  <si>
    <t>VC-BER-14</t>
  </si>
  <si>
    <t>GSU1</t>
  </si>
  <si>
    <t>GSD1</t>
  </si>
  <si>
    <t>GSU2</t>
  </si>
  <si>
    <t>GSD2</t>
  </si>
  <si>
    <t>GSU4</t>
  </si>
  <si>
    <t>GSD5</t>
  </si>
  <si>
    <t>GSD4</t>
  </si>
  <si>
    <t>GSU5</t>
  </si>
  <si>
    <t>GSU6</t>
  </si>
  <si>
    <t>GSD6</t>
  </si>
  <si>
    <t>GSU7</t>
  </si>
  <si>
    <t>GSD7</t>
  </si>
  <si>
    <t>GSU8</t>
  </si>
  <si>
    <t>GSD8</t>
  </si>
  <si>
    <t>GSU9</t>
  </si>
  <si>
    <t>GSD9</t>
  </si>
  <si>
    <t>GSU10</t>
  </si>
  <si>
    <t>GSD10</t>
  </si>
  <si>
    <t>GSUB11</t>
  </si>
  <si>
    <t>GSUT11</t>
  </si>
  <si>
    <t>GSDB 11</t>
  </si>
  <si>
    <t>GSDT 11</t>
  </si>
  <si>
    <t>GSUB12</t>
  </si>
  <si>
    <t>GSUT12</t>
  </si>
  <si>
    <t>GSDB12</t>
  </si>
  <si>
    <t>GSDT12</t>
  </si>
  <si>
    <t>GSUB13</t>
  </si>
  <si>
    <t>GSUT13</t>
  </si>
  <si>
    <t>GSDB13</t>
  </si>
  <si>
    <t>GSDT13</t>
  </si>
  <si>
    <t>GSUB14</t>
  </si>
  <si>
    <t>GSUT14</t>
  </si>
  <si>
    <t>GSDT14</t>
  </si>
  <si>
    <t>GSDB14</t>
  </si>
  <si>
    <t>GSU15</t>
  </si>
  <si>
    <t>GSD16</t>
  </si>
  <si>
    <t>GSU16</t>
  </si>
  <si>
    <t>Summer 2021</t>
  </si>
  <si>
    <t>Summer 2022</t>
  </si>
  <si>
    <t>Summer 2023</t>
  </si>
  <si>
    <t>Spring 2022</t>
  </si>
  <si>
    <t>Spring 2023</t>
  </si>
  <si>
    <t>Grab Samples</t>
  </si>
  <si>
    <t>SS (uL/L)</t>
  </si>
  <si>
    <t>SSC (mg/L)</t>
  </si>
  <si>
    <t>SRP (mg/L)</t>
  </si>
  <si>
    <t>TP (mg/L)</t>
  </si>
  <si>
    <t>POC (mg/L)</t>
  </si>
  <si>
    <t>DOC (mg/L)</t>
  </si>
  <si>
    <t xml:space="preserve">Starting Concentrations for hysteresis patterns </t>
  </si>
  <si>
    <t>-</t>
  </si>
  <si>
    <t>Downstream</t>
  </si>
  <si>
    <t>Upstream</t>
  </si>
  <si>
    <t>DOWN#1 4/15/23</t>
  </si>
  <si>
    <t>DOWN#2 4/15/23</t>
  </si>
  <si>
    <t>DOWN#3 4/15/23</t>
  </si>
  <si>
    <t>DOWN#4 4/16/23</t>
  </si>
  <si>
    <t>DOWN#7 4/16/23</t>
  </si>
  <si>
    <t>DOWN#8 4/16/23</t>
  </si>
  <si>
    <t>DOWN#10 4/17/23</t>
  </si>
  <si>
    <t>DOWN#11 4/17/23</t>
  </si>
  <si>
    <t>DOWN#12 4/17/23</t>
  </si>
  <si>
    <t>DOWN#13 4/17/23</t>
  </si>
  <si>
    <t>DOWN#14 4/17/23</t>
  </si>
  <si>
    <t>DOWN#15 4/17/23</t>
  </si>
  <si>
    <t>DOWN#17 4/18/23</t>
  </si>
  <si>
    <t>DOWN#16 4/18/23</t>
  </si>
  <si>
    <t>DOWN#18 4/18/23</t>
  </si>
  <si>
    <t>DOWN#19 4/18/23</t>
  </si>
  <si>
    <t>DOWN#1 4/18/23</t>
  </si>
  <si>
    <t>DOWN#2 4/18/23</t>
  </si>
  <si>
    <t>DOWN#3 4/19/23</t>
  </si>
  <si>
    <t>DOWN#4 4/19/23</t>
  </si>
  <si>
    <t>DOWN#5 4/19/23</t>
  </si>
  <si>
    <t>DOWN#9 4/20/23</t>
  </si>
  <si>
    <t>DOWN#10 4/20/23</t>
  </si>
  <si>
    <t>DOWN#11 4/20/23</t>
  </si>
  <si>
    <t>DOWN#12 4/21/23</t>
  </si>
  <si>
    <t>DOWN#13 4/21/23</t>
  </si>
  <si>
    <t>DOWN#14 4/21/23</t>
  </si>
  <si>
    <t>DOWN#1 4/23/23</t>
  </si>
  <si>
    <t>DOWN#2 4/23/23</t>
  </si>
  <si>
    <t>DOWN#3 4/24/23</t>
  </si>
  <si>
    <t>DOWN#4 4/24/23</t>
  </si>
  <si>
    <t>DOWN#5 4/24/23</t>
  </si>
  <si>
    <t>DOWN#6 4/24/23</t>
  </si>
  <si>
    <t>DOWN#7 4/24/23</t>
  </si>
  <si>
    <t>DOWN#8 4/25/23</t>
  </si>
  <si>
    <t>DOWN#9 4/25/23</t>
  </si>
  <si>
    <t>DOWN#10 4/25/23</t>
  </si>
  <si>
    <t>DOWN#11 4/25/23</t>
  </si>
  <si>
    <t>DOWN#12 4/25/23</t>
  </si>
  <si>
    <t>DOWN#13 4/26/23</t>
  </si>
  <si>
    <t>DOWN#15 4/26/23</t>
  </si>
  <si>
    <t>DOWN#16 4/26/23</t>
  </si>
  <si>
    <t>DOWN#17 4/27/23</t>
  </si>
  <si>
    <t>DOWN#18 4/27/23</t>
  </si>
  <si>
    <t>DOWN#19 4/27/23</t>
  </si>
  <si>
    <t>DOWN#20 4/27/23</t>
  </si>
  <si>
    <t>DOWN#21 4/28/23</t>
  </si>
  <si>
    <t>DOWN#22 4/28/23</t>
  </si>
  <si>
    <t>DOWN#23 4/28/23</t>
  </si>
  <si>
    <t>DOWN#24 4/28/23</t>
  </si>
  <si>
    <t>DOWN#1 4/28/23</t>
  </si>
  <si>
    <t>DOWN#2 4/28/23</t>
  </si>
  <si>
    <t>DOWN#3 4/29/23</t>
  </si>
  <si>
    <t>DOWN#4 4/29/23</t>
  </si>
  <si>
    <t>DOWN#5 4/29/23</t>
  </si>
  <si>
    <t>DOWN#6 4/29/23</t>
  </si>
  <si>
    <t>DOWN#7 4/29/23</t>
  </si>
  <si>
    <t>DOWN#8 4/30/23</t>
  </si>
  <si>
    <t>DOWN#9 4/30/23</t>
  </si>
  <si>
    <t>DOWN#10 4/30/23</t>
  </si>
  <si>
    <t>DOWN#11 4/30/23</t>
  </si>
  <si>
    <t>DOWN#12 4/30/23</t>
  </si>
  <si>
    <t>DOWN#13 5/1/23</t>
  </si>
  <si>
    <t>DOWN#14 5/1/23</t>
  </si>
  <si>
    <t>DOWN#15 5/1/23</t>
  </si>
  <si>
    <t>DOWN#16 5/2/23</t>
  </si>
  <si>
    <t>DOWN#17 5/2/23</t>
  </si>
  <si>
    <t>DOWN#18 5/2/23</t>
  </si>
  <si>
    <t>DOWN#19 5/2/23</t>
  </si>
  <si>
    <t>DOWN#20 5/3/23</t>
  </si>
  <si>
    <t>DOWN#21 5/3/23</t>
  </si>
  <si>
    <t>DOWN#22 5/3/23</t>
  </si>
  <si>
    <t>DOWN#1 5/3/23</t>
  </si>
  <si>
    <t>DOWN#3 5/4/23</t>
  </si>
  <si>
    <t>DOWN#5 5/4/23</t>
  </si>
  <si>
    <t>DOWN#7 5/4/23</t>
  </si>
  <si>
    <t>DOWN#8 5/4/23</t>
  </si>
  <si>
    <t>DOWN#9 5/4/23</t>
  </si>
  <si>
    <t>DOWN#10 5/4/23</t>
  </si>
  <si>
    <t>UP#14 4/17/23</t>
  </si>
  <si>
    <t>UP#15 4/17/23</t>
  </si>
  <si>
    <t>UP#16 4/17/23</t>
  </si>
  <si>
    <t>UP#17 4/18/23</t>
  </si>
  <si>
    <t>UP#18 4/18/23</t>
  </si>
  <si>
    <t>UP#19 4/18/23</t>
  </si>
  <si>
    <t>UP#1 4/18/23</t>
  </si>
  <si>
    <t>UP#2 4/18/23</t>
  </si>
  <si>
    <t>UP#3 4/19/23</t>
  </si>
  <si>
    <t>UP#4 4/19/23</t>
  </si>
  <si>
    <t>UP#5 4/19/23</t>
  </si>
  <si>
    <t>UP#6 4/19/23</t>
  </si>
  <si>
    <t>UP#7 4/19/23</t>
  </si>
  <si>
    <t>UP#8 4/20/23</t>
  </si>
  <si>
    <t>UP#9 4/20/23</t>
  </si>
  <si>
    <t>UP#11  4/20/23</t>
  </si>
  <si>
    <t>UP#12  4/20/23</t>
  </si>
  <si>
    <t>UP#14 4/21/23</t>
  </si>
  <si>
    <t>UP#15 4/21/23</t>
  </si>
  <si>
    <t>UP#16 4/21/23</t>
  </si>
  <si>
    <t>UP#17 4/22/23</t>
  </si>
  <si>
    <t>UP#18 4/22/23</t>
  </si>
  <si>
    <t>UP#19 4/22/23</t>
  </si>
  <si>
    <t>UP#20 4/22/23</t>
  </si>
  <si>
    <t>UP#21 4/23/23</t>
  </si>
  <si>
    <t>UP#22 4/23/23</t>
  </si>
  <si>
    <t>UP#23 4/23/23</t>
  </si>
  <si>
    <t>UP#1 4/23/23</t>
  </si>
  <si>
    <t>UP#2 4/23/23</t>
  </si>
  <si>
    <t>UP#3 4/24/23</t>
  </si>
  <si>
    <t>UP#4 4/24/23</t>
  </si>
  <si>
    <t>UP#5 4/24/23</t>
  </si>
  <si>
    <t>UP#6 4/24/23</t>
  </si>
  <si>
    <t>UP#8 4/25/23</t>
  </si>
  <si>
    <t>UP#10 4/25/23</t>
  </si>
  <si>
    <t>UP#11 4/25/23</t>
  </si>
  <si>
    <t>UP#15 4/26/23</t>
  </si>
  <si>
    <t>UP#16 4/26/23</t>
  </si>
  <si>
    <t>UP#7 4/24/23</t>
  </si>
  <si>
    <t>UP#17 4/27/23</t>
  </si>
  <si>
    <t>UP#18 4/27/23</t>
  </si>
  <si>
    <t>UP#19 4/27/23</t>
  </si>
  <si>
    <t>UP#20 4/27/23</t>
  </si>
  <si>
    <t>UP#21 4/27/23</t>
  </si>
  <si>
    <t>UP#22 4/28/23</t>
  </si>
  <si>
    <t>UP#23 4/28/23</t>
  </si>
  <si>
    <t>UP#24 4/28/23</t>
  </si>
  <si>
    <t>UP#1 4/28/23</t>
  </si>
  <si>
    <t>UP#2 4/29/23</t>
  </si>
  <si>
    <t>UP#3 4/29/23</t>
  </si>
  <si>
    <t>UP#5 4/29/23</t>
  </si>
  <si>
    <t>UP#6 4/29/23</t>
  </si>
  <si>
    <t>UP#7 4/29/23</t>
  </si>
  <si>
    <t>UP#8 4/30/23</t>
  </si>
  <si>
    <t>UP#9 4/30/23</t>
  </si>
  <si>
    <t>UP#10 4/30/23</t>
  </si>
  <si>
    <t>UP#11 4/30/23</t>
  </si>
  <si>
    <t>UP#12 4/30/23</t>
  </si>
  <si>
    <t>UP#13 5/01/23</t>
  </si>
  <si>
    <t>UP#14 5/01/23</t>
  </si>
  <si>
    <t>UP#15 5/01/23</t>
  </si>
  <si>
    <t>UP#16 5/2/23</t>
  </si>
  <si>
    <t>UP#17 5/2/23</t>
  </si>
  <si>
    <t>UP#18 5/2/23</t>
  </si>
  <si>
    <t>UP#19 5/2/23</t>
  </si>
  <si>
    <t>UP#20 5/3/23</t>
  </si>
  <si>
    <t>UP#21 5/3/23</t>
  </si>
  <si>
    <t>UP#22  5/3/23</t>
  </si>
  <si>
    <t>UP#1 5/3/23</t>
  </si>
  <si>
    <t>UP#4 5/4/23</t>
  </si>
  <si>
    <t>UP#7 5/4/23</t>
  </si>
  <si>
    <t>UP#9 5/4/23</t>
  </si>
  <si>
    <t>UP#10</t>
  </si>
  <si>
    <t>UP#12 5/5/23</t>
  </si>
  <si>
    <t>UP#14 5/5/23</t>
  </si>
  <si>
    <t>UP#16 5/5/23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</si>
</sst>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sz val="10"/>
      <name val="MS Sans Serif"/>
      <family val="2"/>
    </font>
    <font>
      <b/>
      <sz val="10"/>
      <name val="Arial"/>
      <family val="2"/>
    </font>
    <font>
      <sz val="11"/>
      <color rgb="FF000000"/>
      <name val="Calibri"/>
      <family val="2"/>
    </font>
    <font>
      <sz val="12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248">
    <xf numFmtId="0" fontId="0" fillId="0" borderId="0" xfId="0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22" fontId="0" fillId="0" borderId="1" xfId="0" applyNumberFormat="1" applyBorder="1"/>
    <xf numFmtId="164" fontId="0" fillId="3" borderId="1" xfId="0" applyNumberFormat="1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 wrapText="1"/>
    </xf>
    <xf numFmtId="164" fontId="4" fillId="5" borderId="1" xfId="0" applyNumberFormat="1" applyFont="1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164" fontId="5" fillId="4" borderId="1" xfId="0" applyNumberFormat="1" applyFont="1" applyFill="1" applyBorder="1" applyAlignment="1">
      <alignment horizontal="center" wrapText="1"/>
    </xf>
    <xf numFmtId="2" fontId="4" fillId="4" borderId="1" xfId="0" applyNumberFormat="1" applyFont="1" applyFill="1" applyBorder="1" applyAlignment="1">
      <alignment horizontal="center"/>
    </xf>
    <xf numFmtId="2" fontId="4" fillId="6" borderId="1" xfId="0" applyNumberFormat="1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wrapText="1"/>
    </xf>
    <xf numFmtId="2" fontId="4" fillId="2" borderId="1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/>
    </xf>
    <xf numFmtId="165" fontId="8" fillId="4" borderId="1" xfId="0" applyNumberFormat="1" applyFont="1" applyFill="1" applyBorder="1" applyAlignment="1">
      <alignment horizontal="center"/>
    </xf>
    <xf numFmtId="165" fontId="8" fillId="6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 wrapText="1"/>
    </xf>
    <xf numFmtId="2" fontId="4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4" fontId="5" fillId="7" borderId="1" xfId="0" applyNumberFormat="1" applyFont="1" applyFill="1" applyBorder="1" applyAlignment="1">
      <alignment horizontal="center" wrapText="1"/>
    </xf>
    <xf numFmtId="2" fontId="4" fillId="7" borderId="1" xfId="0" applyNumberFormat="1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 wrapText="1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164" fontId="5" fillId="10" borderId="1" xfId="0" applyNumberFormat="1" applyFont="1" applyFill="1" applyBorder="1" applyAlignment="1">
      <alignment horizontal="center" wrapText="1"/>
    </xf>
    <xf numFmtId="2" fontId="4" fillId="10" borderId="1" xfId="0" applyNumberFormat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5" fillId="11" borderId="1" xfId="0" applyNumberFormat="1" applyFont="1" applyFill="1" applyBorder="1" applyAlignment="1">
      <alignment horizontal="center" wrapText="1"/>
    </xf>
    <xf numFmtId="2" fontId="4" fillId="11" borderId="1" xfId="0" applyNumberFormat="1" applyFont="1" applyFill="1" applyBorder="1" applyAlignment="1">
      <alignment horizontal="center"/>
    </xf>
    <xf numFmtId="0" fontId="3" fillId="11" borderId="1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164" fontId="0" fillId="12" borderId="1" xfId="0" applyNumberFormat="1" applyFill="1" applyBorder="1" applyAlignment="1">
      <alignment horizontal="center"/>
    </xf>
    <xf numFmtId="164" fontId="4" fillId="12" borderId="1" xfId="0" applyNumberFormat="1" applyFont="1" applyFill="1" applyBorder="1" applyAlignment="1">
      <alignment horizontal="center"/>
    </xf>
    <xf numFmtId="2" fontId="4" fillId="12" borderId="1" xfId="0" applyNumberFormat="1" applyFont="1" applyFill="1" applyBorder="1" applyAlignment="1">
      <alignment horizontal="center"/>
    </xf>
    <xf numFmtId="2" fontId="3" fillId="12" borderId="1" xfId="0" applyNumberFormat="1" applyFont="1" applyFill="1" applyBorder="1" applyAlignment="1">
      <alignment horizontal="center"/>
    </xf>
    <xf numFmtId="22" fontId="0" fillId="0" borderId="4" xfId="0" applyNumberFormat="1" applyBorder="1"/>
    <xf numFmtId="0" fontId="0" fillId="5" borderId="3" xfId="0" applyFill="1" applyBorder="1" applyAlignment="1">
      <alignment horizontal="center"/>
    </xf>
    <xf numFmtId="164" fontId="0" fillId="5" borderId="3" xfId="0" applyNumberFormat="1" applyFill="1" applyBorder="1" applyAlignment="1">
      <alignment horizontal="center"/>
    </xf>
    <xf numFmtId="164" fontId="4" fillId="5" borderId="3" xfId="0" applyNumberFormat="1" applyFont="1" applyFill="1" applyBorder="1" applyAlignment="1">
      <alignment horizontal="center"/>
    </xf>
    <xf numFmtId="2" fontId="4" fillId="5" borderId="3" xfId="0" applyNumberFormat="1" applyFont="1" applyFill="1" applyBorder="1" applyAlignment="1">
      <alignment horizontal="center"/>
    </xf>
    <xf numFmtId="2" fontId="3" fillId="5" borderId="3" xfId="0" applyNumberFormat="1" applyFont="1" applyFill="1" applyBorder="1" applyAlignment="1">
      <alignment horizontal="center"/>
    </xf>
    <xf numFmtId="22" fontId="0" fillId="0" borderId="3" xfId="0" applyNumberFormat="1" applyBorder="1"/>
    <xf numFmtId="0" fontId="0" fillId="6" borderId="4" xfId="0" applyFill="1" applyBorder="1" applyAlignment="1">
      <alignment horizontal="center"/>
    </xf>
    <xf numFmtId="164" fontId="5" fillId="6" borderId="4" xfId="0" applyNumberFormat="1" applyFont="1" applyFill="1" applyBorder="1" applyAlignment="1">
      <alignment horizontal="center" wrapText="1"/>
    </xf>
    <xf numFmtId="2" fontId="4" fillId="6" borderId="4" xfId="0" applyNumberFormat="1" applyFont="1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164" fontId="5" fillId="4" borderId="5" xfId="0" applyNumberFormat="1" applyFont="1" applyFill="1" applyBorder="1" applyAlignment="1">
      <alignment horizontal="center" wrapText="1"/>
    </xf>
    <xf numFmtId="2" fontId="4" fillId="4" borderId="5" xfId="0" applyNumberFormat="1" applyFont="1" applyFill="1" applyBorder="1" applyAlignment="1">
      <alignment horizontal="center"/>
    </xf>
    <xf numFmtId="165" fontId="8" fillId="4" borderId="5" xfId="0" applyNumberFormat="1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22" fontId="0" fillId="0" borderId="5" xfId="0" applyNumberFormat="1" applyBorder="1"/>
    <xf numFmtId="164" fontId="0" fillId="4" borderId="0" xfId="0" applyNumberFormat="1" applyFill="1" applyAlignment="1">
      <alignment horizontal="center"/>
    </xf>
    <xf numFmtId="0" fontId="0" fillId="4" borderId="3" xfId="0" applyFill="1" applyBorder="1" applyAlignment="1">
      <alignment horizontal="center"/>
    </xf>
    <xf numFmtId="164" fontId="0" fillId="4" borderId="3" xfId="0" applyNumberFormat="1" applyFill="1" applyBorder="1" applyAlignment="1">
      <alignment horizontal="center"/>
    </xf>
    <xf numFmtId="164" fontId="5" fillId="4" borderId="3" xfId="0" applyNumberFormat="1" applyFont="1" applyFill="1" applyBorder="1" applyAlignment="1">
      <alignment horizontal="center" wrapText="1"/>
    </xf>
    <xf numFmtId="2" fontId="4" fillId="4" borderId="3" xfId="0" applyNumberFormat="1" applyFont="1" applyFill="1" applyBorder="1" applyAlignment="1">
      <alignment horizontal="center"/>
    </xf>
    <xf numFmtId="165" fontId="8" fillId="4" borderId="3" xfId="0" applyNumberFormat="1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164" fontId="0" fillId="6" borderId="5" xfId="0" applyNumberFormat="1" applyFill="1" applyBorder="1" applyAlignment="1">
      <alignment horizontal="center"/>
    </xf>
    <xf numFmtId="164" fontId="5" fillId="6" borderId="5" xfId="0" applyNumberFormat="1" applyFont="1" applyFill="1" applyBorder="1" applyAlignment="1">
      <alignment horizontal="center" wrapText="1"/>
    </xf>
    <xf numFmtId="2" fontId="4" fillId="6" borderId="5" xfId="0" applyNumberFormat="1" applyFont="1" applyFill="1" applyBorder="1" applyAlignment="1">
      <alignment horizontal="center"/>
    </xf>
    <xf numFmtId="165" fontId="8" fillId="6" borderId="5" xfId="0" applyNumberFormat="1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164" fontId="0" fillId="6" borderId="3" xfId="0" applyNumberFormat="1" applyFill="1" applyBorder="1" applyAlignment="1">
      <alignment horizontal="center"/>
    </xf>
    <xf numFmtId="164" fontId="5" fillId="6" borderId="3" xfId="0" applyNumberFormat="1" applyFont="1" applyFill="1" applyBorder="1" applyAlignment="1">
      <alignment horizontal="center" wrapText="1"/>
    </xf>
    <xf numFmtId="2" fontId="4" fillId="6" borderId="3" xfId="0" applyNumberFormat="1" applyFont="1" applyFill="1" applyBorder="1" applyAlignment="1">
      <alignment horizontal="center"/>
    </xf>
    <xf numFmtId="165" fontId="8" fillId="6" borderId="3" xfId="0" applyNumberFormat="1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164" fontId="0" fillId="10" borderId="5" xfId="0" applyNumberFormat="1" applyFill="1" applyBorder="1" applyAlignment="1">
      <alignment horizontal="center"/>
    </xf>
    <xf numFmtId="164" fontId="5" fillId="10" borderId="5" xfId="0" applyNumberFormat="1" applyFont="1" applyFill="1" applyBorder="1" applyAlignment="1">
      <alignment horizontal="center" wrapText="1"/>
    </xf>
    <xf numFmtId="2" fontId="4" fillId="10" borderId="5" xfId="0" applyNumberFormat="1" applyFont="1" applyFill="1" applyBorder="1" applyAlignment="1">
      <alignment horizontal="center"/>
    </xf>
    <xf numFmtId="0" fontId="3" fillId="10" borderId="5" xfId="0" applyFont="1" applyFill="1" applyBorder="1" applyAlignment="1">
      <alignment horizontal="center"/>
    </xf>
    <xf numFmtId="0" fontId="5" fillId="10" borderId="5" xfId="0" applyFon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64" fontId="0" fillId="2" borderId="3" xfId="0" applyNumberFormat="1" applyFill="1" applyBorder="1" applyAlignment="1">
      <alignment horizontal="center"/>
    </xf>
    <xf numFmtId="164" fontId="5" fillId="2" borderId="3" xfId="0" applyNumberFormat="1" applyFont="1" applyFill="1" applyBorder="1" applyAlignment="1">
      <alignment horizontal="center" wrapText="1"/>
    </xf>
    <xf numFmtId="2" fontId="4" fillId="2" borderId="3" xfId="0" applyNumberFormat="1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164" fontId="0" fillId="11" borderId="5" xfId="0" applyNumberFormat="1" applyFill="1" applyBorder="1" applyAlignment="1">
      <alignment horizontal="center"/>
    </xf>
    <xf numFmtId="164" fontId="5" fillId="11" borderId="5" xfId="0" applyNumberFormat="1" applyFont="1" applyFill="1" applyBorder="1" applyAlignment="1">
      <alignment horizontal="center" wrapText="1"/>
    </xf>
    <xf numFmtId="2" fontId="4" fillId="11" borderId="5" xfId="0" applyNumberFormat="1" applyFont="1" applyFill="1" applyBorder="1" applyAlignment="1">
      <alignment horizontal="center"/>
    </xf>
    <xf numFmtId="0" fontId="3" fillId="11" borderId="5" xfId="0" applyFont="1" applyFill="1" applyBorder="1" applyAlignment="1">
      <alignment horizontal="center"/>
    </xf>
    <xf numFmtId="0" fontId="5" fillId="11" borderId="5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164" fontId="5" fillId="3" borderId="3" xfId="0" applyNumberFormat="1" applyFont="1" applyFill="1" applyBorder="1" applyAlignment="1">
      <alignment horizontal="center" wrapText="1"/>
    </xf>
    <xf numFmtId="2" fontId="4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164" fontId="0" fillId="8" borderId="4" xfId="0" applyNumberForma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4" fontId="0" fillId="7" borderId="5" xfId="0" applyNumberFormat="1" applyFill="1" applyBorder="1" applyAlignment="1">
      <alignment horizontal="center"/>
    </xf>
    <xf numFmtId="164" fontId="5" fillId="7" borderId="5" xfId="0" applyNumberFormat="1" applyFont="1" applyFill="1" applyBorder="1" applyAlignment="1">
      <alignment horizontal="center" wrapText="1"/>
    </xf>
    <xf numFmtId="2" fontId="4" fillId="7" borderId="5" xfId="0" applyNumberFormat="1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5" fillId="7" borderId="5" xfId="0" applyFont="1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64" fontId="0" fillId="7" borderId="3" xfId="0" applyNumberFormat="1" applyFill="1" applyBorder="1" applyAlignment="1">
      <alignment horizontal="center"/>
    </xf>
    <xf numFmtId="164" fontId="5" fillId="7" borderId="3" xfId="0" applyNumberFormat="1" applyFont="1" applyFill="1" applyBorder="1" applyAlignment="1">
      <alignment horizontal="center" wrapText="1"/>
    </xf>
    <xf numFmtId="2" fontId="4" fillId="7" borderId="3" xfId="0" applyNumberFormat="1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5" fillId="7" borderId="3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164" fontId="0" fillId="8" borderId="5" xfId="0" applyNumberForma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164" fontId="0" fillId="8" borderId="3" xfId="0" applyNumberFormat="1" applyFill="1" applyBorder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165" fontId="0" fillId="3" borderId="1" xfId="0" applyNumberForma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65" fontId="9" fillId="3" borderId="1" xfId="0" applyNumberFormat="1" applyFont="1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/>
    </xf>
    <xf numFmtId="165" fontId="0" fillId="3" borderId="3" xfId="0" applyNumberForma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165" fontId="9" fillId="3" borderId="3" xfId="0" applyNumberFormat="1" applyFont="1" applyFill="1" applyBorder="1" applyAlignment="1">
      <alignment horizontal="center" vertical="center" wrapText="1"/>
    </xf>
    <xf numFmtId="14" fontId="0" fillId="3" borderId="3" xfId="0" applyNumberForma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165" fontId="0" fillId="2" borderId="5" xfId="0" applyNumberFormat="1" applyFill="1" applyBorder="1" applyAlignment="1">
      <alignment horizontal="center"/>
    </xf>
    <xf numFmtId="2" fontId="0" fillId="2" borderId="5" xfId="0" applyNumberFormat="1" applyFill="1" applyBorder="1" applyAlignment="1">
      <alignment horizontal="center"/>
    </xf>
    <xf numFmtId="165" fontId="4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14" fontId="0" fillId="2" borderId="5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165" fontId="0" fillId="2" borderId="3" xfId="0" applyNumberFormat="1" applyFill="1" applyBorder="1" applyAlignment="1">
      <alignment horizontal="center"/>
    </xf>
    <xf numFmtId="2" fontId="0" fillId="2" borderId="3" xfId="0" applyNumberFormat="1" applyFill="1" applyBorder="1" applyAlignment="1">
      <alignment horizontal="center"/>
    </xf>
    <xf numFmtId="165" fontId="4" fillId="2" borderId="3" xfId="0" applyNumberFormat="1" applyFont="1" applyFill="1" applyBorder="1" applyAlignment="1">
      <alignment horizontal="center"/>
    </xf>
    <xf numFmtId="0" fontId="10" fillId="2" borderId="3" xfId="0" applyFont="1" applyFill="1" applyBorder="1" applyAlignment="1">
      <alignment horizontal="center"/>
    </xf>
    <xf numFmtId="14" fontId="0" fillId="2" borderId="3" xfId="0" applyNumberFormat="1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65" fontId="0" fillId="5" borderId="4" xfId="0" applyNumberFormat="1" applyFill="1" applyBorder="1" applyAlignment="1">
      <alignment horizontal="center"/>
    </xf>
    <xf numFmtId="2" fontId="0" fillId="5" borderId="4" xfId="0" applyNumberFormat="1" applyFill="1" applyBorder="1" applyAlignment="1">
      <alignment horizontal="center"/>
    </xf>
    <xf numFmtId="165" fontId="4" fillId="5" borderId="4" xfId="0" applyNumberFormat="1" applyFon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0" fontId="10" fillId="5" borderId="4" xfId="0" applyFon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165" fontId="0" fillId="5" borderId="1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165" fontId="4" fillId="5" borderId="1" xfId="0" applyNumberFormat="1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14" fontId="0" fillId="5" borderId="1" xfId="0" applyNumberFormat="1" applyFill="1" applyBorder="1" applyAlignment="1">
      <alignment horizontal="center"/>
    </xf>
    <xf numFmtId="165" fontId="0" fillId="5" borderId="3" xfId="0" applyNumberFormat="1" applyFill="1" applyBorder="1" applyAlignment="1">
      <alignment horizontal="center"/>
    </xf>
    <xf numFmtId="2" fontId="0" fillId="5" borderId="3" xfId="0" applyNumberFormat="1" applyFill="1" applyBorder="1" applyAlignment="1">
      <alignment horizontal="center"/>
    </xf>
    <xf numFmtId="165" fontId="4" fillId="5" borderId="3" xfId="0" applyNumberFormat="1" applyFont="1" applyFill="1" applyBorder="1" applyAlignment="1">
      <alignment horizontal="center"/>
    </xf>
    <xf numFmtId="0" fontId="10" fillId="5" borderId="3" xfId="0" applyFont="1" applyFill="1" applyBorder="1" applyAlignment="1">
      <alignment horizontal="center"/>
    </xf>
    <xf numFmtId="14" fontId="0" fillId="5" borderId="3" xfId="0" applyNumberForma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165" fontId="0" fillId="6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14" fontId="0" fillId="6" borderId="1" xfId="0" applyNumberFormat="1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165" fontId="0" fillId="6" borderId="4" xfId="0" applyNumberFormat="1" applyFill="1" applyBorder="1" applyAlignment="1">
      <alignment horizontal="center"/>
    </xf>
    <xf numFmtId="2" fontId="0" fillId="6" borderId="4" xfId="0" applyNumberFormat="1" applyFill="1" applyBorder="1" applyAlignment="1">
      <alignment horizontal="center"/>
    </xf>
    <xf numFmtId="0" fontId="10" fillId="6" borderId="4" xfId="0" applyFont="1" applyFill="1" applyBorder="1" applyAlignment="1">
      <alignment horizontal="center"/>
    </xf>
    <xf numFmtId="14" fontId="0" fillId="6" borderId="4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7" xfId="0" applyFill="1" applyBorder="1" applyAlignment="1">
      <alignment horizontal="center"/>
    </xf>
    <xf numFmtId="165" fontId="0" fillId="6" borderId="3" xfId="0" applyNumberFormat="1" applyFill="1" applyBorder="1" applyAlignment="1">
      <alignment horizontal="center"/>
    </xf>
    <xf numFmtId="2" fontId="0" fillId="6" borderId="3" xfId="0" applyNumberFormat="1" applyFill="1" applyBorder="1" applyAlignment="1">
      <alignment horizontal="center"/>
    </xf>
    <xf numFmtId="0" fontId="10" fillId="6" borderId="3" xfId="0" applyFont="1" applyFill="1" applyBorder="1" applyAlignment="1">
      <alignment horizontal="center"/>
    </xf>
    <xf numFmtId="14" fontId="0" fillId="6" borderId="3" xfId="0" applyNumberFormat="1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165" fontId="0" fillId="13" borderId="4" xfId="0" applyNumberFormat="1" applyFill="1" applyBorder="1" applyAlignment="1">
      <alignment horizontal="center"/>
    </xf>
    <xf numFmtId="164" fontId="5" fillId="13" borderId="4" xfId="0" applyNumberFormat="1" applyFont="1" applyFill="1" applyBorder="1" applyAlignment="1">
      <alignment horizontal="center" wrapText="1"/>
    </xf>
    <xf numFmtId="2" fontId="0" fillId="13" borderId="4" xfId="0" applyNumberFormat="1" applyFill="1" applyBorder="1" applyAlignment="1">
      <alignment horizontal="center"/>
    </xf>
    <xf numFmtId="0" fontId="10" fillId="13" borderId="4" xfId="0" applyFont="1" applyFill="1" applyBorder="1" applyAlignment="1">
      <alignment horizontal="center"/>
    </xf>
    <xf numFmtId="14" fontId="0" fillId="13" borderId="4" xfId="0" applyNumberFormat="1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165" fontId="0" fillId="13" borderId="1" xfId="0" applyNumberFormat="1" applyFill="1" applyBorder="1" applyAlignment="1">
      <alignment horizontal="center"/>
    </xf>
    <xf numFmtId="0" fontId="10" fillId="13" borderId="1" xfId="0" applyFont="1" applyFill="1" applyBorder="1" applyAlignment="1">
      <alignment horizontal="center"/>
    </xf>
    <xf numFmtId="14" fontId="0" fillId="13" borderId="1" xfId="0" applyNumberFormat="1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9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3" borderId="4" xfId="0" applyNumberFormat="1" applyFill="1" applyBorder="1" applyAlignment="1">
      <alignment horizontal="center"/>
    </xf>
    <xf numFmtId="165" fontId="0" fillId="0" borderId="0" xfId="0" applyNumberFormat="1"/>
    <xf numFmtId="2" fontId="0" fillId="0" borderId="0" xfId="0" applyNumberFormat="1"/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2" xfId="0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22" fontId="0" fillId="3" borderId="1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64" fontId="5" fillId="3" borderId="4" xfId="0" applyNumberFormat="1" applyFont="1" applyFill="1" applyBorder="1" applyAlignment="1">
      <alignment horizontal="center" wrapText="1"/>
    </xf>
    <xf numFmtId="166" fontId="0" fillId="3" borderId="1" xfId="0" applyNumberForma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164" fontId="5" fillId="8" borderId="1" xfId="0" applyNumberFormat="1" applyFont="1" applyFill="1" applyBorder="1" applyAlignment="1">
      <alignment horizontal="center" wrapText="1"/>
    </xf>
    <xf numFmtId="0" fontId="0" fillId="8" borderId="2" xfId="0" applyFill="1" applyBorder="1" applyAlignment="1">
      <alignment horizontal="center"/>
    </xf>
    <xf numFmtId="0" fontId="0" fillId="8" borderId="1" xfId="0" applyFill="1" applyBorder="1"/>
    <xf numFmtId="2" fontId="0" fillId="8" borderId="1" xfId="0" applyNumberFormat="1" applyFill="1" applyBorder="1" applyAlignment="1">
      <alignment horizontal="center"/>
    </xf>
    <xf numFmtId="22" fontId="0" fillId="8" borderId="1" xfId="0" applyNumberFormat="1" applyFill="1" applyBorder="1" applyAlignment="1">
      <alignment horizontal="center"/>
    </xf>
    <xf numFmtId="166" fontId="0" fillId="8" borderId="1" xfId="0" applyNumberFormat="1" applyFill="1" applyBorder="1" applyAlignment="1">
      <alignment horizontal="center"/>
    </xf>
    <xf numFmtId="2" fontId="4" fillId="8" borderId="2" xfId="0" applyNumberFormat="1" applyFont="1" applyFill="1" applyBorder="1" applyAlignment="1">
      <alignment horizontal="center"/>
    </xf>
    <xf numFmtId="22" fontId="0" fillId="8" borderId="4" xfId="0" applyNumberFormat="1" applyFill="1" applyBorder="1" applyAlignment="1">
      <alignment horizontal="center"/>
    </xf>
  </cellXfs>
  <cellStyles count="2">
    <cellStyle name="Normal" xfId="0" builtinId="0"/>
    <cellStyle name="Normal 2" xfId="1" xr:uid="{3F80D62D-5502-4543-BE7F-0A823B4B8CE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Spring!$F$2:$F$87</c:f>
              <c:strCache>
                <c:ptCount val="86"/>
                <c:pt idx="0">
                  <c:v>12.38</c:v>
                </c:pt>
                <c:pt idx="1">
                  <c:v>9.47</c:v>
                </c:pt>
                <c:pt idx="2">
                  <c:v>5.00</c:v>
                </c:pt>
                <c:pt idx="3">
                  <c:v>4.00</c:v>
                </c:pt>
                <c:pt idx="4">
                  <c:v>10.48</c:v>
                </c:pt>
                <c:pt idx="5">
                  <c:v>9.33</c:v>
                </c:pt>
                <c:pt idx="6">
                  <c:v>9.66</c:v>
                </c:pt>
                <c:pt idx="7">
                  <c:v>4.00</c:v>
                </c:pt>
                <c:pt idx="8">
                  <c:v>1.50</c:v>
                </c:pt>
                <c:pt idx="9">
                  <c:v>5.50</c:v>
                </c:pt>
                <c:pt idx="10">
                  <c:v>23.16</c:v>
                </c:pt>
                <c:pt idx="11">
                  <c:v>15.00</c:v>
                </c:pt>
                <c:pt idx="12">
                  <c:v>8.95</c:v>
                </c:pt>
                <c:pt idx="13">
                  <c:v>9.50</c:v>
                </c:pt>
                <c:pt idx="14">
                  <c:v>4.29</c:v>
                </c:pt>
                <c:pt idx="15">
                  <c:v>-</c:v>
                </c:pt>
                <c:pt idx="16">
                  <c:v>23.00</c:v>
                </c:pt>
                <c:pt idx="17">
                  <c:v>15.00</c:v>
                </c:pt>
                <c:pt idx="18">
                  <c:v>9.09</c:v>
                </c:pt>
                <c:pt idx="19">
                  <c:v>7.50</c:v>
                </c:pt>
                <c:pt idx="20">
                  <c:v>4.38</c:v>
                </c:pt>
                <c:pt idx="21">
                  <c:v>-</c:v>
                </c:pt>
                <c:pt idx="22">
                  <c:v>5.62</c:v>
                </c:pt>
                <c:pt idx="23">
                  <c:v>6.67</c:v>
                </c:pt>
                <c:pt idx="24">
                  <c:v>-</c:v>
                </c:pt>
                <c:pt idx="25">
                  <c:v>-</c:v>
                </c:pt>
                <c:pt idx="26">
                  <c:v>-</c:v>
                </c:pt>
                <c:pt idx="27">
                  <c:v>10.34</c:v>
                </c:pt>
                <c:pt idx="28">
                  <c:v>5.33</c:v>
                </c:pt>
                <c:pt idx="29">
                  <c:v>6.43</c:v>
                </c:pt>
                <c:pt idx="30">
                  <c:v>6.43</c:v>
                </c:pt>
                <c:pt idx="31">
                  <c:v>14.19</c:v>
                </c:pt>
                <c:pt idx="32">
                  <c:v>14.74</c:v>
                </c:pt>
                <c:pt idx="33">
                  <c:v>18.95</c:v>
                </c:pt>
                <c:pt idx="34">
                  <c:v>26.09</c:v>
                </c:pt>
                <c:pt idx="35">
                  <c:v>7.27</c:v>
                </c:pt>
                <c:pt idx="36">
                  <c:v>-</c:v>
                </c:pt>
                <c:pt idx="37">
                  <c:v>5.33</c:v>
                </c:pt>
                <c:pt idx="38">
                  <c:v>5.00</c:v>
                </c:pt>
                <c:pt idx="39">
                  <c:v>-</c:v>
                </c:pt>
                <c:pt idx="40">
                  <c:v>22.01</c:v>
                </c:pt>
                <c:pt idx="41">
                  <c:v>12.14</c:v>
                </c:pt>
                <c:pt idx="42">
                  <c:v>10.67</c:v>
                </c:pt>
                <c:pt idx="43">
                  <c:v>5.29</c:v>
                </c:pt>
                <c:pt idx="44">
                  <c:v>4.12</c:v>
                </c:pt>
                <c:pt idx="45">
                  <c:v>8.13</c:v>
                </c:pt>
                <c:pt idx="46">
                  <c:v>6.88</c:v>
                </c:pt>
                <c:pt idx="47">
                  <c:v>4.83</c:v>
                </c:pt>
                <c:pt idx="48">
                  <c:v>2.35</c:v>
                </c:pt>
                <c:pt idx="49">
                  <c:v>5.33</c:v>
                </c:pt>
                <c:pt idx="50">
                  <c:v>5.29</c:v>
                </c:pt>
                <c:pt idx="51">
                  <c:v>3.23</c:v>
                </c:pt>
                <c:pt idx="52">
                  <c:v>0.00</c:v>
                </c:pt>
                <c:pt idx="53">
                  <c:v>3.33</c:v>
                </c:pt>
                <c:pt idx="54">
                  <c:v>5.33</c:v>
                </c:pt>
                <c:pt idx="55">
                  <c:v>12.67</c:v>
                </c:pt>
                <c:pt idx="56">
                  <c:v>10.67</c:v>
                </c:pt>
                <c:pt idx="57">
                  <c:v>7.86</c:v>
                </c:pt>
                <c:pt idx="58">
                  <c:v>8.67</c:v>
                </c:pt>
                <c:pt idx="59">
                  <c:v>9.38</c:v>
                </c:pt>
                <c:pt idx="60">
                  <c:v>42.00</c:v>
                </c:pt>
                <c:pt idx="61">
                  <c:v>17.42</c:v>
                </c:pt>
                <c:pt idx="62">
                  <c:v>6.67</c:v>
                </c:pt>
                <c:pt idx="63">
                  <c:v>2.50</c:v>
                </c:pt>
                <c:pt idx="64">
                  <c:v>6.00</c:v>
                </c:pt>
                <c:pt idx="65">
                  <c:v>22.14</c:v>
                </c:pt>
                <c:pt idx="66">
                  <c:v>10.00</c:v>
                </c:pt>
                <c:pt idx="67">
                  <c:v>6.43</c:v>
                </c:pt>
                <c:pt idx="68">
                  <c:v>18.00</c:v>
                </c:pt>
                <c:pt idx="69">
                  <c:v>9.33</c:v>
                </c:pt>
                <c:pt idx="70">
                  <c:v>5.71</c:v>
                </c:pt>
                <c:pt idx="71">
                  <c:v>2.86</c:v>
                </c:pt>
                <c:pt idx="72">
                  <c:v>20.67</c:v>
                </c:pt>
                <c:pt idx="73">
                  <c:v>-</c:v>
                </c:pt>
                <c:pt idx="74">
                  <c:v>11.88</c:v>
                </c:pt>
                <c:pt idx="75">
                  <c:v>-</c:v>
                </c:pt>
                <c:pt idx="76">
                  <c:v>2.86</c:v>
                </c:pt>
                <c:pt idx="77">
                  <c:v>-</c:v>
                </c:pt>
                <c:pt idx="78">
                  <c:v>4.67</c:v>
                </c:pt>
                <c:pt idx="79">
                  <c:v>8.75</c:v>
                </c:pt>
                <c:pt idx="80">
                  <c:v>9.33</c:v>
                </c:pt>
                <c:pt idx="81">
                  <c:v>7.14</c:v>
                </c:pt>
                <c:pt idx="82">
                  <c:v>16.00</c:v>
                </c:pt>
                <c:pt idx="83">
                  <c:v>0.50</c:v>
                </c:pt>
                <c:pt idx="84">
                  <c:v>6.32</c:v>
                </c:pt>
                <c:pt idx="85">
                  <c:v>-</c:v>
                </c:pt>
              </c:strCache>
            </c:strRef>
          </c:xVal>
          <c:yVal>
            <c:numRef>
              <c:f>Spring!$G$2:$G$87</c:f>
              <c:numCache>
                <c:formatCode>General</c:formatCode>
                <c:ptCount val="86"/>
                <c:pt idx="10">
                  <c:v>106.21</c:v>
                </c:pt>
                <c:pt idx="11">
                  <c:v>51.232999999999997</c:v>
                </c:pt>
                <c:pt idx="12">
                  <c:v>59.16</c:v>
                </c:pt>
                <c:pt idx="13">
                  <c:v>48.47</c:v>
                </c:pt>
                <c:pt idx="14">
                  <c:v>0</c:v>
                </c:pt>
                <c:pt idx="15">
                  <c:v>0</c:v>
                </c:pt>
                <c:pt idx="16">
                  <c:v>78.709999999999994</c:v>
                </c:pt>
                <c:pt idx="17">
                  <c:v>45.42</c:v>
                </c:pt>
                <c:pt idx="18">
                  <c:v>74.75</c:v>
                </c:pt>
                <c:pt idx="19">
                  <c:v>0</c:v>
                </c:pt>
                <c:pt idx="20">
                  <c:v>56.59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27.23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63.56</c:v>
                </c:pt>
                <c:pt idx="61">
                  <c:v>85.89</c:v>
                </c:pt>
                <c:pt idx="62">
                  <c:v>0</c:v>
                </c:pt>
                <c:pt idx="63">
                  <c:v>0</c:v>
                </c:pt>
                <c:pt idx="64">
                  <c:v>50.13</c:v>
                </c:pt>
                <c:pt idx="65" formatCode="0.0000">
                  <c:v>44.99</c:v>
                </c:pt>
                <c:pt idx="66">
                  <c:v>35.729999999999997</c:v>
                </c:pt>
                <c:pt idx="67">
                  <c:v>31.62</c:v>
                </c:pt>
                <c:pt idx="68">
                  <c:v>25.42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68.760000000000005</c:v>
                </c:pt>
                <c:pt idx="73">
                  <c:v>0</c:v>
                </c:pt>
                <c:pt idx="74">
                  <c:v>50.92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 formatCode="0.0000">
                  <c:v>0</c:v>
                </c:pt>
                <c:pt idx="80">
                  <c:v>33.08</c:v>
                </c:pt>
                <c:pt idx="81">
                  <c:v>77.489999999999995</c:v>
                </c:pt>
                <c:pt idx="82">
                  <c:v>103.31</c:v>
                </c:pt>
                <c:pt idx="83">
                  <c:v>65.48</c:v>
                </c:pt>
                <c:pt idx="84">
                  <c:v>73.680000000000007</c:v>
                </c:pt>
                <c:pt idx="85">
                  <c:v>48.9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EB-40DC-81D5-13EAECBCD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Spring!$F$2:$F$87</c:f>
              <c:strCache>
                <c:ptCount val="86"/>
                <c:pt idx="0">
                  <c:v>12.38</c:v>
                </c:pt>
                <c:pt idx="1">
                  <c:v>9.47</c:v>
                </c:pt>
                <c:pt idx="2">
                  <c:v>5.00</c:v>
                </c:pt>
                <c:pt idx="3">
                  <c:v>4.00</c:v>
                </c:pt>
                <c:pt idx="4">
                  <c:v>10.48</c:v>
                </c:pt>
                <c:pt idx="5">
                  <c:v>9.33</c:v>
                </c:pt>
                <c:pt idx="6">
                  <c:v>9.66</c:v>
                </c:pt>
                <c:pt idx="7">
                  <c:v>4.00</c:v>
                </c:pt>
                <c:pt idx="8">
                  <c:v>1.50</c:v>
                </c:pt>
                <c:pt idx="9">
                  <c:v>5.50</c:v>
                </c:pt>
                <c:pt idx="10">
                  <c:v>23.16</c:v>
                </c:pt>
                <c:pt idx="11">
                  <c:v>15.00</c:v>
                </c:pt>
                <c:pt idx="12">
                  <c:v>8.95</c:v>
                </c:pt>
                <c:pt idx="13">
                  <c:v>9.50</c:v>
                </c:pt>
                <c:pt idx="14">
                  <c:v>4.29</c:v>
                </c:pt>
                <c:pt idx="15">
                  <c:v>-</c:v>
                </c:pt>
                <c:pt idx="16">
                  <c:v>23.00</c:v>
                </c:pt>
                <c:pt idx="17">
                  <c:v>15.00</c:v>
                </c:pt>
                <c:pt idx="18">
                  <c:v>9.09</c:v>
                </c:pt>
                <c:pt idx="19">
                  <c:v>7.50</c:v>
                </c:pt>
                <c:pt idx="20">
                  <c:v>4.38</c:v>
                </c:pt>
                <c:pt idx="21">
                  <c:v>-</c:v>
                </c:pt>
                <c:pt idx="22">
                  <c:v>5.62</c:v>
                </c:pt>
                <c:pt idx="23">
                  <c:v>6.67</c:v>
                </c:pt>
                <c:pt idx="24">
                  <c:v>-</c:v>
                </c:pt>
                <c:pt idx="25">
                  <c:v>-</c:v>
                </c:pt>
                <c:pt idx="26">
                  <c:v>-</c:v>
                </c:pt>
                <c:pt idx="27">
                  <c:v>10.34</c:v>
                </c:pt>
                <c:pt idx="28">
                  <c:v>5.33</c:v>
                </c:pt>
                <c:pt idx="29">
                  <c:v>6.43</c:v>
                </c:pt>
                <c:pt idx="30">
                  <c:v>6.43</c:v>
                </c:pt>
                <c:pt idx="31">
                  <c:v>14.19</c:v>
                </c:pt>
                <c:pt idx="32">
                  <c:v>14.74</c:v>
                </c:pt>
                <c:pt idx="33">
                  <c:v>18.95</c:v>
                </c:pt>
                <c:pt idx="34">
                  <c:v>26.09</c:v>
                </c:pt>
                <c:pt idx="35">
                  <c:v>7.27</c:v>
                </c:pt>
                <c:pt idx="36">
                  <c:v>-</c:v>
                </c:pt>
                <c:pt idx="37">
                  <c:v>5.33</c:v>
                </c:pt>
                <c:pt idx="38">
                  <c:v>5.00</c:v>
                </c:pt>
                <c:pt idx="39">
                  <c:v>-</c:v>
                </c:pt>
                <c:pt idx="40">
                  <c:v>22.01</c:v>
                </c:pt>
                <c:pt idx="41">
                  <c:v>12.14</c:v>
                </c:pt>
                <c:pt idx="42">
                  <c:v>10.67</c:v>
                </c:pt>
                <c:pt idx="43">
                  <c:v>5.29</c:v>
                </c:pt>
                <c:pt idx="44">
                  <c:v>4.12</c:v>
                </c:pt>
                <c:pt idx="45">
                  <c:v>8.13</c:v>
                </c:pt>
                <c:pt idx="46">
                  <c:v>6.88</c:v>
                </c:pt>
                <c:pt idx="47">
                  <c:v>4.83</c:v>
                </c:pt>
                <c:pt idx="48">
                  <c:v>2.35</c:v>
                </c:pt>
                <c:pt idx="49">
                  <c:v>5.33</c:v>
                </c:pt>
                <c:pt idx="50">
                  <c:v>5.29</c:v>
                </c:pt>
                <c:pt idx="51">
                  <c:v>3.23</c:v>
                </c:pt>
                <c:pt idx="52">
                  <c:v>0.00</c:v>
                </c:pt>
                <c:pt idx="53">
                  <c:v>3.33</c:v>
                </c:pt>
                <c:pt idx="54">
                  <c:v>5.33</c:v>
                </c:pt>
                <c:pt idx="55">
                  <c:v>12.67</c:v>
                </c:pt>
                <c:pt idx="56">
                  <c:v>10.67</c:v>
                </c:pt>
                <c:pt idx="57">
                  <c:v>7.86</c:v>
                </c:pt>
                <c:pt idx="58">
                  <c:v>8.67</c:v>
                </c:pt>
                <c:pt idx="59">
                  <c:v>9.38</c:v>
                </c:pt>
                <c:pt idx="60">
                  <c:v>42.00</c:v>
                </c:pt>
                <c:pt idx="61">
                  <c:v>17.42</c:v>
                </c:pt>
                <c:pt idx="62">
                  <c:v>6.67</c:v>
                </c:pt>
                <c:pt idx="63">
                  <c:v>2.50</c:v>
                </c:pt>
                <c:pt idx="64">
                  <c:v>6.00</c:v>
                </c:pt>
                <c:pt idx="65">
                  <c:v>22.14</c:v>
                </c:pt>
                <c:pt idx="66">
                  <c:v>10.00</c:v>
                </c:pt>
                <c:pt idx="67">
                  <c:v>6.43</c:v>
                </c:pt>
                <c:pt idx="68">
                  <c:v>18.00</c:v>
                </c:pt>
                <c:pt idx="69">
                  <c:v>9.33</c:v>
                </c:pt>
                <c:pt idx="70">
                  <c:v>5.71</c:v>
                </c:pt>
                <c:pt idx="71">
                  <c:v>2.86</c:v>
                </c:pt>
                <c:pt idx="72">
                  <c:v>20.67</c:v>
                </c:pt>
                <c:pt idx="73">
                  <c:v>-</c:v>
                </c:pt>
                <c:pt idx="74">
                  <c:v>11.88</c:v>
                </c:pt>
                <c:pt idx="75">
                  <c:v>-</c:v>
                </c:pt>
                <c:pt idx="76">
                  <c:v>2.86</c:v>
                </c:pt>
                <c:pt idx="77">
                  <c:v>-</c:v>
                </c:pt>
                <c:pt idx="78">
                  <c:v>4.67</c:v>
                </c:pt>
                <c:pt idx="79">
                  <c:v>8.75</c:v>
                </c:pt>
                <c:pt idx="80">
                  <c:v>9.33</c:v>
                </c:pt>
                <c:pt idx="81">
                  <c:v>7.14</c:v>
                </c:pt>
                <c:pt idx="82">
                  <c:v>16.00</c:v>
                </c:pt>
                <c:pt idx="83">
                  <c:v>0.50</c:v>
                </c:pt>
                <c:pt idx="84">
                  <c:v>6.32</c:v>
                </c:pt>
                <c:pt idx="85">
                  <c:v>-</c:v>
                </c:pt>
              </c:strCache>
            </c:strRef>
          </c:xVal>
          <c:yVal>
            <c:numRef>
              <c:f>Spring!$I$2:$I$87</c:f>
              <c:numCache>
                <c:formatCode>0.00</c:formatCode>
                <c:ptCount val="86"/>
                <c:pt idx="12" formatCode="0.00000">
                  <c:v>5.0931725250657894E-2</c:v>
                </c:pt>
                <c:pt idx="65" formatCode="0.00000">
                  <c:v>8.3630032185714284E-2</c:v>
                </c:pt>
                <c:pt idx="72" formatCode="0.00000">
                  <c:v>0.11521676096666668</c:v>
                </c:pt>
                <c:pt idx="74" formatCode="0.00000">
                  <c:v>8.1488476728124995E-2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2A-4E16-A314-EDC836C01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DOC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Spring!$F$2:$F$87</c:f>
              <c:strCache>
                <c:ptCount val="86"/>
                <c:pt idx="0">
                  <c:v>12.38</c:v>
                </c:pt>
                <c:pt idx="1">
                  <c:v>9.47</c:v>
                </c:pt>
                <c:pt idx="2">
                  <c:v>5.00</c:v>
                </c:pt>
                <c:pt idx="3">
                  <c:v>4.00</c:v>
                </c:pt>
                <c:pt idx="4">
                  <c:v>10.48</c:v>
                </c:pt>
                <c:pt idx="5">
                  <c:v>9.33</c:v>
                </c:pt>
                <c:pt idx="6">
                  <c:v>9.66</c:v>
                </c:pt>
                <c:pt idx="7">
                  <c:v>4.00</c:v>
                </c:pt>
                <c:pt idx="8">
                  <c:v>1.50</c:v>
                </c:pt>
                <c:pt idx="9">
                  <c:v>5.50</c:v>
                </c:pt>
                <c:pt idx="10">
                  <c:v>23.16</c:v>
                </c:pt>
                <c:pt idx="11">
                  <c:v>15.00</c:v>
                </c:pt>
                <c:pt idx="12">
                  <c:v>8.95</c:v>
                </c:pt>
                <c:pt idx="13">
                  <c:v>9.50</c:v>
                </c:pt>
                <c:pt idx="14">
                  <c:v>4.29</c:v>
                </c:pt>
                <c:pt idx="15">
                  <c:v>-</c:v>
                </c:pt>
                <c:pt idx="16">
                  <c:v>23.00</c:v>
                </c:pt>
                <c:pt idx="17">
                  <c:v>15.00</c:v>
                </c:pt>
                <c:pt idx="18">
                  <c:v>9.09</c:v>
                </c:pt>
                <c:pt idx="19">
                  <c:v>7.50</c:v>
                </c:pt>
                <c:pt idx="20">
                  <c:v>4.38</c:v>
                </c:pt>
                <c:pt idx="21">
                  <c:v>-</c:v>
                </c:pt>
                <c:pt idx="22">
                  <c:v>5.62</c:v>
                </c:pt>
                <c:pt idx="23">
                  <c:v>6.67</c:v>
                </c:pt>
                <c:pt idx="24">
                  <c:v>-</c:v>
                </c:pt>
                <c:pt idx="25">
                  <c:v>-</c:v>
                </c:pt>
                <c:pt idx="26">
                  <c:v>-</c:v>
                </c:pt>
                <c:pt idx="27">
                  <c:v>10.34</c:v>
                </c:pt>
                <c:pt idx="28">
                  <c:v>5.33</c:v>
                </c:pt>
                <c:pt idx="29">
                  <c:v>6.43</c:v>
                </c:pt>
                <c:pt idx="30">
                  <c:v>6.43</c:v>
                </c:pt>
                <c:pt idx="31">
                  <c:v>14.19</c:v>
                </c:pt>
                <c:pt idx="32">
                  <c:v>14.74</c:v>
                </c:pt>
                <c:pt idx="33">
                  <c:v>18.95</c:v>
                </c:pt>
                <c:pt idx="34">
                  <c:v>26.09</c:v>
                </c:pt>
                <c:pt idx="35">
                  <c:v>7.27</c:v>
                </c:pt>
                <c:pt idx="36">
                  <c:v>-</c:v>
                </c:pt>
                <c:pt idx="37">
                  <c:v>5.33</c:v>
                </c:pt>
                <c:pt idx="38">
                  <c:v>5.00</c:v>
                </c:pt>
                <c:pt idx="39">
                  <c:v>-</c:v>
                </c:pt>
                <c:pt idx="40">
                  <c:v>22.01</c:v>
                </c:pt>
                <c:pt idx="41">
                  <c:v>12.14</c:v>
                </c:pt>
                <c:pt idx="42">
                  <c:v>10.67</c:v>
                </c:pt>
                <c:pt idx="43">
                  <c:v>5.29</c:v>
                </c:pt>
                <c:pt idx="44">
                  <c:v>4.12</c:v>
                </c:pt>
                <c:pt idx="45">
                  <c:v>8.13</c:v>
                </c:pt>
                <c:pt idx="46">
                  <c:v>6.88</c:v>
                </c:pt>
                <c:pt idx="47">
                  <c:v>4.83</c:v>
                </c:pt>
                <c:pt idx="48">
                  <c:v>2.35</c:v>
                </c:pt>
                <c:pt idx="49">
                  <c:v>5.33</c:v>
                </c:pt>
                <c:pt idx="50">
                  <c:v>5.29</c:v>
                </c:pt>
                <c:pt idx="51">
                  <c:v>3.23</c:v>
                </c:pt>
                <c:pt idx="52">
                  <c:v>0.00</c:v>
                </c:pt>
                <c:pt idx="53">
                  <c:v>3.33</c:v>
                </c:pt>
                <c:pt idx="54">
                  <c:v>5.33</c:v>
                </c:pt>
                <c:pt idx="55">
                  <c:v>12.67</c:v>
                </c:pt>
                <c:pt idx="56">
                  <c:v>10.67</c:v>
                </c:pt>
                <c:pt idx="57">
                  <c:v>7.86</c:v>
                </c:pt>
                <c:pt idx="58">
                  <c:v>8.67</c:v>
                </c:pt>
                <c:pt idx="59">
                  <c:v>9.38</c:v>
                </c:pt>
                <c:pt idx="60">
                  <c:v>42.00</c:v>
                </c:pt>
                <c:pt idx="61">
                  <c:v>17.42</c:v>
                </c:pt>
                <c:pt idx="62">
                  <c:v>6.67</c:v>
                </c:pt>
                <c:pt idx="63">
                  <c:v>2.50</c:v>
                </c:pt>
                <c:pt idx="64">
                  <c:v>6.00</c:v>
                </c:pt>
                <c:pt idx="65">
                  <c:v>22.14</c:v>
                </c:pt>
                <c:pt idx="66">
                  <c:v>10.00</c:v>
                </c:pt>
                <c:pt idx="67">
                  <c:v>6.43</c:v>
                </c:pt>
                <c:pt idx="68">
                  <c:v>18.00</c:v>
                </c:pt>
                <c:pt idx="69">
                  <c:v>9.33</c:v>
                </c:pt>
                <c:pt idx="70">
                  <c:v>5.71</c:v>
                </c:pt>
                <c:pt idx="71">
                  <c:v>2.86</c:v>
                </c:pt>
                <c:pt idx="72">
                  <c:v>20.67</c:v>
                </c:pt>
                <c:pt idx="73">
                  <c:v>-</c:v>
                </c:pt>
                <c:pt idx="74">
                  <c:v>11.88</c:v>
                </c:pt>
                <c:pt idx="75">
                  <c:v>-</c:v>
                </c:pt>
                <c:pt idx="76">
                  <c:v>2.86</c:v>
                </c:pt>
                <c:pt idx="77">
                  <c:v>-</c:v>
                </c:pt>
                <c:pt idx="78">
                  <c:v>4.67</c:v>
                </c:pt>
                <c:pt idx="79">
                  <c:v>8.75</c:v>
                </c:pt>
                <c:pt idx="80">
                  <c:v>9.33</c:v>
                </c:pt>
                <c:pt idx="81">
                  <c:v>7.14</c:v>
                </c:pt>
                <c:pt idx="82">
                  <c:v>16.00</c:v>
                </c:pt>
                <c:pt idx="83">
                  <c:v>0.50</c:v>
                </c:pt>
                <c:pt idx="84">
                  <c:v>6.32</c:v>
                </c:pt>
                <c:pt idx="85">
                  <c:v>-</c:v>
                </c:pt>
              </c:strCache>
            </c:strRef>
          </c:xVal>
          <c:yVal>
            <c:numRef>
              <c:f>Spring!$J$2:$J$87</c:f>
              <c:numCache>
                <c:formatCode>General</c:formatCode>
                <c:ptCount val="8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3">
                  <c:v>0</c:v>
                </c:pt>
                <c:pt idx="74">
                  <c:v>3.1459999999999999</c:v>
                </c:pt>
                <c:pt idx="75">
                  <c:v>0</c:v>
                </c:pt>
                <c:pt idx="76">
                  <c:v>2.8879999999999999</c:v>
                </c:pt>
                <c:pt idx="77">
                  <c:v>0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A2-482D-B714-E36CF37957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Spring!$F$2:$F$87</c:f>
              <c:strCache>
                <c:ptCount val="86"/>
                <c:pt idx="0">
                  <c:v>12.38</c:v>
                </c:pt>
                <c:pt idx="1">
                  <c:v>9.47</c:v>
                </c:pt>
                <c:pt idx="2">
                  <c:v>5.00</c:v>
                </c:pt>
                <c:pt idx="3">
                  <c:v>4.00</c:v>
                </c:pt>
                <c:pt idx="4">
                  <c:v>10.48</c:v>
                </c:pt>
                <c:pt idx="5">
                  <c:v>9.33</c:v>
                </c:pt>
                <c:pt idx="6">
                  <c:v>9.66</c:v>
                </c:pt>
                <c:pt idx="7">
                  <c:v>4.00</c:v>
                </c:pt>
                <c:pt idx="8">
                  <c:v>1.50</c:v>
                </c:pt>
                <c:pt idx="9">
                  <c:v>5.50</c:v>
                </c:pt>
                <c:pt idx="10">
                  <c:v>23.16</c:v>
                </c:pt>
                <c:pt idx="11">
                  <c:v>15.00</c:v>
                </c:pt>
                <c:pt idx="12">
                  <c:v>8.95</c:v>
                </c:pt>
                <c:pt idx="13">
                  <c:v>9.50</c:v>
                </c:pt>
                <c:pt idx="14">
                  <c:v>4.29</c:v>
                </c:pt>
                <c:pt idx="15">
                  <c:v>-</c:v>
                </c:pt>
                <c:pt idx="16">
                  <c:v>23.00</c:v>
                </c:pt>
                <c:pt idx="17">
                  <c:v>15.00</c:v>
                </c:pt>
                <c:pt idx="18">
                  <c:v>9.09</c:v>
                </c:pt>
                <c:pt idx="19">
                  <c:v>7.50</c:v>
                </c:pt>
                <c:pt idx="20">
                  <c:v>4.38</c:v>
                </c:pt>
                <c:pt idx="21">
                  <c:v>-</c:v>
                </c:pt>
                <c:pt idx="22">
                  <c:v>5.62</c:v>
                </c:pt>
                <c:pt idx="23">
                  <c:v>6.67</c:v>
                </c:pt>
                <c:pt idx="24">
                  <c:v>-</c:v>
                </c:pt>
                <c:pt idx="25">
                  <c:v>-</c:v>
                </c:pt>
                <c:pt idx="26">
                  <c:v>-</c:v>
                </c:pt>
                <c:pt idx="27">
                  <c:v>10.34</c:v>
                </c:pt>
                <c:pt idx="28">
                  <c:v>5.33</c:v>
                </c:pt>
                <c:pt idx="29">
                  <c:v>6.43</c:v>
                </c:pt>
                <c:pt idx="30">
                  <c:v>6.43</c:v>
                </c:pt>
                <c:pt idx="31">
                  <c:v>14.19</c:v>
                </c:pt>
                <c:pt idx="32">
                  <c:v>14.74</c:v>
                </c:pt>
                <c:pt idx="33">
                  <c:v>18.95</c:v>
                </c:pt>
                <c:pt idx="34">
                  <c:v>26.09</c:v>
                </c:pt>
                <c:pt idx="35">
                  <c:v>7.27</c:v>
                </c:pt>
                <c:pt idx="36">
                  <c:v>-</c:v>
                </c:pt>
                <c:pt idx="37">
                  <c:v>5.33</c:v>
                </c:pt>
                <c:pt idx="38">
                  <c:v>5.00</c:v>
                </c:pt>
                <c:pt idx="39">
                  <c:v>-</c:v>
                </c:pt>
                <c:pt idx="40">
                  <c:v>22.01</c:v>
                </c:pt>
                <c:pt idx="41">
                  <c:v>12.14</c:v>
                </c:pt>
                <c:pt idx="42">
                  <c:v>10.67</c:v>
                </c:pt>
                <c:pt idx="43">
                  <c:v>5.29</c:v>
                </c:pt>
                <c:pt idx="44">
                  <c:v>4.12</c:v>
                </c:pt>
                <c:pt idx="45">
                  <c:v>8.13</c:v>
                </c:pt>
                <c:pt idx="46">
                  <c:v>6.88</c:v>
                </c:pt>
                <c:pt idx="47">
                  <c:v>4.83</c:v>
                </c:pt>
                <c:pt idx="48">
                  <c:v>2.35</c:v>
                </c:pt>
                <c:pt idx="49">
                  <c:v>5.33</c:v>
                </c:pt>
                <c:pt idx="50">
                  <c:v>5.29</c:v>
                </c:pt>
                <c:pt idx="51">
                  <c:v>3.23</c:v>
                </c:pt>
                <c:pt idx="52">
                  <c:v>0.00</c:v>
                </c:pt>
                <c:pt idx="53">
                  <c:v>3.33</c:v>
                </c:pt>
                <c:pt idx="54">
                  <c:v>5.33</c:v>
                </c:pt>
                <c:pt idx="55">
                  <c:v>12.67</c:v>
                </c:pt>
                <c:pt idx="56">
                  <c:v>10.67</c:v>
                </c:pt>
                <c:pt idx="57">
                  <c:v>7.86</c:v>
                </c:pt>
                <c:pt idx="58">
                  <c:v>8.67</c:v>
                </c:pt>
                <c:pt idx="59">
                  <c:v>9.38</c:v>
                </c:pt>
                <c:pt idx="60">
                  <c:v>42.00</c:v>
                </c:pt>
                <c:pt idx="61">
                  <c:v>17.42</c:v>
                </c:pt>
                <c:pt idx="62">
                  <c:v>6.67</c:v>
                </c:pt>
                <c:pt idx="63">
                  <c:v>2.50</c:v>
                </c:pt>
                <c:pt idx="64">
                  <c:v>6.00</c:v>
                </c:pt>
                <c:pt idx="65">
                  <c:v>22.14</c:v>
                </c:pt>
                <c:pt idx="66">
                  <c:v>10.00</c:v>
                </c:pt>
                <c:pt idx="67">
                  <c:v>6.43</c:v>
                </c:pt>
                <c:pt idx="68">
                  <c:v>18.00</c:v>
                </c:pt>
                <c:pt idx="69">
                  <c:v>9.33</c:v>
                </c:pt>
                <c:pt idx="70">
                  <c:v>5.71</c:v>
                </c:pt>
                <c:pt idx="71">
                  <c:v>2.86</c:v>
                </c:pt>
                <c:pt idx="72">
                  <c:v>20.67</c:v>
                </c:pt>
                <c:pt idx="73">
                  <c:v>-</c:v>
                </c:pt>
                <c:pt idx="74">
                  <c:v>11.88</c:v>
                </c:pt>
                <c:pt idx="75">
                  <c:v>-</c:v>
                </c:pt>
                <c:pt idx="76">
                  <c:v>2.86</c:v>
                </c:pt>
                <c:pt idx="77">
                  <c:v>-</c:v>
                </c:pt>
                <c:pt idx="78">
                  <c:v>4.67</c:v>
                </c:pt>
                <c:pt idx="79">
                  <c:v>8.75</c:v>
                </c:pt>
                <c:pt idx="80">
                  <c:v>9.33</c:v>
                </c:pt>
                <c:pt idx="81">
                  <c:v>7.14</c:v>
                </c:pt>
                <c:pt idx="82">
                  <c:v>16.00</c:v>
                </c:pt>
                <c:pt idx="83">
                  <c:v>0.50</c:v>
                </c:pt>
                <c:pt idx="84">
                  <c:v>6.32</c:v>
                </c:pt>
                <c:pt idx="85">
                  <c:v>-</c:v>
                </c:pt>
              </c:strCache>
            </c:strRef>
          </c:xVal>
          <c:yVal>
            <c:numRef>
              <c:f>Spring!$R$2:$R$87</c:f>
              <c:numCache>
                <c:formatCode>General</c:formatCode>
                <c:ptCount val="8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D2-42A9-ACAC-2D06F9964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SRP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Spring!$F$2:$F$87</c:f>
              <c:strCache>
                <c:ptCount val="86"/>
                <c:pt idx="0">
                  <c:v>12.38</c:v>
                </c:pt>
                <c:pt idx="1">
                  <c:v>9.47</c:v>
                </c:pt>
                <c:pt idx="2">
                  <c:v>5.00</c:v>
                </c:pt>
                <c:pt idx="3">
                  <c:v>4.00</c:v>
                </c:pt>
                <c:pt idx="4">
                  <c:v>10.48</c:v>
                </c:pt>
                <c:pt idx="5">
                  <c:v>9.33</c:v>
                </c:pt>
                <c:pt idx="6">
                  <c:v>9.66</c:v>
                </c:pt>
                <c:pt idx="7">
                  <c:v>4.00</c:v>
                </c:pt>
                <c:pt idx="8">
                  <c:v>1.50</c:v>
                </c:pt>
                <c:pt idx="9">
                  <c:v>5.50</c:v>
                </c:pt>
                <c:pt idx="10">
                  <c:v>23.16</c:v>
                </c:pt>
                <c:pt idx="11">
                  <c:v>15.00</c:v>
                </c:pt>
                <c:pt idx="12">
                  <c:v>8.95</c:v>
                </c:pt>
                <c:pt idx="13">
                  <c:v>9.50</c:v>
                </c:pt>
                <c:pt idx="14">
                  <c:v>4.29</c:v>
                </c:pt>
                <c:pt idx="15">
                  <c:v>-</c:v>
                </c:pt>
                <c:pt idx="16">
                  <c:v>23.00</c:v>
                </c:pt>
                <c:pt idx="17">
                  <c:v>15.00</c:v>
                </c:pt>
                <c:pt idx="18">
                  <c:v>9.09</c:v>
                </c:pt>
                <c:pt idx="19">
                  <c:v>7.50</c:v>
                </c:pt>
                <c:pt idx="20">
                  <c:v>4.38</c:v>
                </c:pt>
                <c:pt idx="21">
                  <c:v>-</c:v>
                </c:pt>
                <c:pt idx="22">
                  <c:v>5.62</c:v>
                </c:pt>
                <c:pt idx="23">
                  <c:v>6.67</c:v>
                </c:pt>
                <c:pt idx="24">
                  <c:v>-</c:v>
                </c:pt>
                <c:pt idx="25">
                  <c:v>-</c:v>
                </c:pt>
                <c:pt idx="26">
                  <c:v>-</c:v>
                </c:pt>
                <c:pt idx="27">
                  <c:v>10.34</c:v>
                </c:pt>
                <c:pt idx="28">
                  <c:v>5.33</c:v>
                </c:pt>
                <c:pt idx="29">
                  <c:v>6.43</c:v>
                </c:pt>
                <c:pt idx="30">
                  <c:v>6.43</c:v>
                </c:pt>
                <c:pt idx="31">
                  <c:v>14.19</c:v>
                </c:pt>
                <c:pt idx="32">
                  <c:v>14.74</c:v>
                </c:pt>
                <c:pt idx="33">
                  <c:v>18.95</c:v>
                </c:pt>
                <c:pt idx="34">
                  <c:v>26.09</c:v>
                </c:pt>
                <c:pt idx="35">
                  <c:v>7.27</c:v>
                </c:pt>
                <c:pt idx="36">
                  <c:v>-</c:v>
                </c:pt>
                <c:pt idx="37">
                  <c:v>5.33</c:v>
                </c:pt>
                <c:pt idx="38">
                  <c:v>5.00</c:v>
                </c:pt>
                <c:pt idx="39">
                  <c:v>-</c:v>
                </c:pt>
                <c:pt idx="40">
                  <c:v>22.01</c:v>
                </c:pt>
                <c:pt idx="41">
                  <c:v>12.14</c:v>
                </c:pt>
                <c:pt idx="42">
                  <c:v>10.67</c:v>
                </c:pt>
                <c:pt idx="43">
                  <c:v>5.29</c:v>
                </c:pt>
                <c:pt idx="44">
                  <c:v>4.12</c:v>
                </c:pt>
                <c:pt idx="45">
                  <c:v>8.13</c:v>
                </c:pt>
                <c:pt idx="46">
                  <c:v>6.88</c:v>
                </c:pt>
                <c:pt idx="47">
                  <c:v>4.83</c:v>
                </c:pt>
                <c:pt idx="48">
                  <c:v>2.35</c:v>
                </c:pt>
                <c:pt idx="49">
                  <c:v>5.33</c:v>
                </c:pt>
                <c:pt idx="50">
                  <c:v>5.29</c:v>
                </c:pt>
                <c:pt idx="51">
                  <c:v>3.23</c:v>
                </c:pt>
                <c:pt idx="52">
                  <c:v>0.00</c:v>
                </c:pt>
                <c:pt idx="53">
                  <c:v>3.33</c:v>
                </c:pt>
                <c:pt idx="54">
                  <c:v>5.33</c:v>
                </c:pt>
                <c:pt idx="55">
                  <c:v>12.67</c:v>
                </c:pt>
                <c:pt idx="56">
                  <c:v>10.67</c:v>
                </c:pt>
                <c:pt idx="57">
                  <c:v>7.86</c:v>
                </c:pt>
                <c:pt idx="58">
                  <c:v>8.67</c:v>
                </c:pt>
                <c:pt idx="59">
                  <c:v>9.38</c:v>
                </c:pt>
                <c:pt idx="60">
                  <c:v>42.00</c:v>
                </c:pt>
                <c:pt idx="61">
                  <c:v>17.42</c:v>
                </c:pt>
                <c:pt idx="62">
                  <c:v>6.67</c:v>
                </c:pt>
                <c:pt idx="63">
                  <c:v>2.50</c:v>
                </c:pt>
                <c:pt idx="64">
                  <c:v>6.00</c:v>
                </c:pt>
                <c:pt idx="65">
                  <c:v>22.14</c:v>
                </c:pt>
                <c:pt idx="66">
                  <c:v>10.00</c:v>
                </c:pt>
                <c:pt idx="67">
                  <c:v>6.43</c:v>
                </c:pt>
                <c:pt idx="68">
                  <c:v>18.00</c:v>
                </c:pt>
                <c:pt idx="69">
                  <c:v>9.33</c:v>
                </c:pt>
                <c:pt idx="70">
                  <c:v>5.71</c:v>
                </c:pt>
                <c:pt idx="71">
                  <c:v>2.86</c:v>
                </c:pt>
                <c:pt idx="72">
                  <c:v>20.67</c:v>
                </c:pt>
                <c:pt idx="73">
                  <c:v>-</c:v>
                </c:pt>
                <c:pt idx="74">
                  <c:v>11.88</c:v>
                </c:pt>
                <c:pt idx="75">
                  <c:v>-</c:v>
                </c:pt>
                <c:pt idx="76">
                  <c:v>2.86</c:v>
                </c:pt>
                <c:pt idx="77">
                  <c:v>-</c:v>
                </c:pt>
                <c:pt idx="78">
                  <c:v>4.67</c:v>
                </c:pt>
                <c:pt idx="79">
                  <c:v>8.75</c:v>
                </c:pt>
                <c:pt idx="80">
                  <c:v>9.33</c:v>
                </c:pt>
                <c:pt idx="81">
                  <c:v>7.14</c:v>
                </c:pt>
                <c:pt idx="82">
                  <c:v>16.00</c:v>
                </c:pt>
                <c:pt idx="83">
                  <c:v>0.50</c:v>
                </c:pt>
                <c:pt idx="84">
                  <c:v>6.32</c:v>
                </c:pt>
                <c:pt idx="85">
                  <c:v>-</c:v>
                </c:pt>
              </c:strCache>
            </c:strRef>
          </c:xVal>
          <c:yVal>
            <c:numRef>
              <c:f>Spring!$S$2:$S$87</c:f>
              <c:numCache>
                <c:formatCode>General</c:formatCode>
                <c:ptCount val="8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0C-4F7B-BA76-48267B4A9D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TP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082568694473166"/>
                  <c:y val="-1.70650898175209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Spring!$F$2:$F$87</c:f>
              <c:strCache>
                <c:ptCount val="86"/>
                <c:pt idx="0">
                  <c:v>12.38</c:v>
                </c:pt>
                <c:pt idx="1">
                  <c:v>9.47</c:v>
                </c:pt>
                <c:pt idx="2">
                  <c:v>5.00</c:v>
                </c:pt>
                <c:pt idx="3">
                  <c:v>4.00</c:v>
                </c:pt>
                <c:pt idx="4">
                  <c:v>10.48</c:v>
                </c:pt>
                <c:pt idx="5">
                  <c:v>9.33</c:v>
                </c:pt>
                <c:pt idx="6">
                  <c:v>9.66</c:v>
                </c:pt>
                <c:pt idx="7">
                  <c:v>4.00</c:v>
                </c:pt>
                <c:pt idx="8">
                  <c:v>1.50</c:v>
                </c:pt>
                <c:pt idx="9">
                  <c:v>5.50</c:v>
                </c:pt>
                <c:pt idx="10">
                  <c:v>23.16</c:v>
                </c:pt>
                <c:pt idx="11">
                  <c:v>15.00</c:v>
                </c:pt>
                <c:pt idx="12">
                  <c:v>8.95</c:v>
                </c:pt>
                <c:pt idx="13">
                  <c:v>9.50</c:v>
                </c:pt>
                <c:pt idx="14">
                  <c:v>4.29</c:v>
                </c:pt>
                <c:pt idx="15">
                  <c:v>-</c:v>
                </c:pt>
                <c:pt idx="16">
                  <c:v>23.00</c:v>
                </c:pt>
                <c:pt idx="17">
                  <c:v>15.00</c:v>
                </c:pt>
                <c:pt idx="18">
                  <c:v>9.09</c:v>
                </c:pt>
                <c:pt idx="19">
                  <c:v>7.50</c:v>
                </c:pt>
                <c:pt idx="20">
                  <c:v>4.38</c:v>
                </c:pt>
                <c:pt idx="21">
                  <c:v>-</c:v>
                </c:pt>
                <c:pt idx="22">
                  <c:v>5.62</c:v>
                </c:pt>
                <c:pt idx="23">
                  <c:v>6.67</c:v>
                </c:pt>
                <c:pt idx="24">
                  <c:v>-</c:v>
                </c:pt>
                <c:pt idx="25">
                  <c:v>-</c:v>
                </c:pt>
                <c:pt idx="26">
                  <c:v>-</c:v>
                </c:pt>
                <c:pt idx="27">
                  <c:v>10.34</c:v>
                </c:pt>
                <c:pt idx="28">
                  <c:v>5.33</c:v>
                </c:pt>
                <c:pt idx="29">
                  <c:v>6.43</c:v>
                </c:pt>
                <c:pt idx="30">
                  <c:v>6.43</c:v>
                </c:pt>
                <c:pt idx="31">
                  <c:v>14.19</c:v>
                </c:pt>
                <c:pt idx="32">
                  <c:v>14.74</c:v>
                </c:pt>
                <c:pt idx="33">
                  <c:v>18.95</c:v>
                </c:pt>
                <c:pt idx="34">
                  <c:v>26.09</c:v>
                </c:pt>
                <c:pt idx="35">
                  <c:v>7.27</c:v>
                </c:pt>
                <c:pt idx="36">
                  <c:v>-</c:v>
                </c:pt>
                <c:pt idx="37">
                  <c:v>5.33</c:v>
                </c:pt>
                <c:pt idx="38">
                  <c:v>5.00</c:v>
                </c:pt>
                <c:pt idx="39">
                  <c:v>-</c:v>
                </c:pt>
                <c:pt idx="40">
                  <c:v>22.01</c:v>
                </c:pt>
                <c:pt idx="41">
                  <c:v>12.14</c:v>
                </c:pt>
                <c:pt idx="42">
                  <c:v>10.67</c:v>
                </c:pt>
                <c:pt idx="43">
                  <c:v>5.29</c:v>
                </c:pt>
                <c:pt idx="44">
                  <c:v>4.12</c:v>
                </c:pt>
                <c:pt idx="45">
                  <c:v>8.13</c:v>
                </c:pt>
                <c:pt idx="46">
                  <c:v>6.88</c:v>
                </c:pt>
                <c:pt idx="47">
                  <c:v>4.83</c:v>
                </c:pt>
                <c:pt idx="48">
                  <c:v>2.35</c:v>
                </c:pt>
                <c:pt idx="49">
                  <c:v>5.33</c:v>
                </c:pt>
                <c:pt idx="50">
                  <c:v>5.29</c:v>
                </c:pt>
                <c:pt idx="51">
                  <c:v>3.23</c:v>
                </c:pt>
                <c:pt idx="52">
                  <c:v>0.00</c:v>
                </c:pt>
                <c:pt idx="53">
                  <c:v>3.33</c:v>
                </c:pt>
                <c:pt idx="54">
                  <c:v>5.33</c:v>
                </c:pt>
                <c:pt idx="55">
                  <c:v>12.67</c:v>
                </c:pt>
                <c:pt idx="56">
                  <c:v>10.67</c:v>
                </c:pt>
                <c:pt idx="57">
                  <c:v>7.86</c:v>
                </c:pt>
                <c:pt idx="58">
                  <c:v>8.67</c:v>
                </c:pt>
                <c:pt idx="59">
                  <c:v>9.38</c:v>
                </c:pt>
                <c:pt idx="60">
                  <c:v>42.00</c:v>
                </c:pt>
                <c:pt idx="61">
                  <c:v>17.42</c:v>
                </c:pt>
                <c:pt idx="62">
                  <c:v>6.67</c:v>
                </c:pt>
                <c:pt idx="63">
                  <c:v>2.50</c:v>
                </c:pt>
                <c:pt idx="64">
                  <c:v>6.00</c:v>
                </c:pt>
                <c:pt idx="65">
                  <c:v>22.14</c:v>
                </c:pt>
                <c:pt idx="66">
                  <c:v>10.00</c:v>
                </c:pt>
                <c:pt idx="67">
                  <c:v>6.43</c:v>
                </c:pt>
                <c:pt idx="68">
                  <c:v>18.00</c:v>
                </c:pt>
                <c:pt idx="69">
                  <c:v>9.33</c:v>
                </c:pt>
                <c:pt idx="70">
                  <c:v>5.71</c:v>
                </c:pt>
                <c:pt idx="71">
                  <c:v>2.86</c:v>
                </c:pt>
                <c:pt idx="72">
                  <c:v>20.67</c:v>
                </c:pt>
                <c:pt idx="73">
                  <c:v>-</c:v>
                </c:pt>
                <c:pt idx="74">
                  <c:v>11.88</c:v>
                </c:pt>
                <c:pt idx="75">
                  <c:v>-</c:v>
                </c:pt>
                <c:pt idx="76">
                  <c:v>2.86</c:v>
                </c:pt>
                <c:pt idx="77">
                  <c:v>-</c:v>
                </c:pt>
                <c:pt idx="78">
                  <c:v>4.67</c:v>
                </c:pt>
                <c:pt idx="79">
                  <c:v>8.75</c:v>
                </c:pt>
                <c:pt idx="80">
                  <c:v>9.33</c:v>
                </c:pt>
                <c:pt idx="81">
                  <c:v>7.14</c:v>
                </c:pt>
                <c:pt idx="82">
                  <c:v>16.00</c:v>
                </c:pt>
                <c:pt idx="83">
                  <c:v>0.50</c:v>
                </c:pt>
                <c:pt idx="84">
                  <c:v>6.32</c:v>
                </c:pt>
                <c:pt idx="85">
                  <c:v>-</c:v>
                </c:pt>
              </c:strCache>
            </c:strRef>
          </c:xVal>
          <c:yVal>
            <c:numRef>
              <c:f>Spring!$T$2:$T$87</c:f>
              <c:numCache>
                <c:formatCode>General</c:formatCode>
                <c:ptCount val="8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7A9-4A2B-9235-7D9944D5B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C1-4986-9C3E-74D8A49714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DC-40B6-A929-02CCBE271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DOC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FE-4DAA-A25F-A7232350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'!$K$2:$K$87</c:f>
              <c:numCache>
                <c:formatCode>General</c:formatCode>
                <c:ptCount val="86"/>
                <c:pt idx="0">
                  <c:v>1.19</c:v>
                </c:pt>
                <c:pt idx="1">
                  <c:v>1.63</c:v>
                </c:pt>
                <c:pt idx="2">
                  <c:v>0.77</c:v>
                </c:pt>
                <c:pt idx="3">
                  <c:v>0.5</c:v>
                </c:pt>
                <c:pt idx="4">
                  <c:v>0.1</c:v>
                </c:pt>
                <c:pt idx="5">
                  <c:v>7.0000000000000007E-2</c:v>
                </c:pt>
                <c:pt idx="6">
                  <c:v>0.15</c:v>
                </c:pt>
                <c:pt idx="7">
                  <c:v>0.28000000000000003</c:v>
                </c:pt>
                <c:pt idx="8">
                  <c:v>1.66</c:v>
                </c:pt>
                <c:pt idx="9">
                  <c:v>0.38</c:v>
                </c:pt>
                <c:pt idx="10">
                  <c:v>0.13</c:v>
                </c:pt>
                <c:pt idx="11">
                  <c:v>0.06</c:v>
                </c:pt>
                <c:pt idx="12">
                  <c:v>0.48</c:v>
                </c:pt>
                <c:pt idx="13">
                  <c:v>0.4</c:v>
                </c:pt>
                <c:pt idx="14">
                  <c:v>0.14000000000000001</c:v>
                </c:pt>
                <c:pt idx="17">
                  <c:v>0.08</c:v>
                </c:pt>
                <c:pt idx="20">
                  <c:v>0.1</c:v>
                </c:pt>
                <c:pt idx="22">
                  <c:v>0.11</c:v>
                </c:pt>
                <c:pt idx="24">
                  <c:v>0.17</c:v>
                </c:pt>
                <c:pt idx="25">
                  <c:v>0.28999999999999998</c:v>
                </c:pt>
                <c:pt idx="30">
                  <c:v>0.06</c:v>
                </c:pt>
                <c:pt idx="31">
                  <c:v>1.89E-2</c:v>
                </c:pt>
                <c:pt idx="32">
                  <c:v>6.9500000000000006E-2</c:v>
                </c:pt>
                <c:pt idx="33">
                  <c:v>4.1099999999999998E-2</c:v>
                </c:pt>
                <c:pt idx="34">
                  <c:v>7.5700000000000003E-2</c:v>
                </c:pt>
                <c:pt idx="35">
                  <c:v>6.6299999999999998E-2</c:v>
                </c:pt>
                <c:pt idx="36">
                  <c:v>3.6499999999999998E-2</c:v>
                </c:pt>
                <c:pt idx="37">
                  <c:v>2.12E-2</c:v>
                </c:pt>
                <c:pt idx="38">
                  <c:v>1.04E-2</c:v>
                </c:pt>
                <c:pt idx="39">
                  <c:v>7.0000000000000007E-2</c:v>
                </c:pt>
                <c:pt idx="40">
                  <c:v>7.1599999999999997E-2</c:v>
                </c:pt>
                <c:pt idx="41">
                  <c:v>4.7199999999999999E-2</c:v>
                </c:pt>
                <c:pt idx="42">
                  <c:v>6.0499999999999998E-2</c:v>
                </c:pt>
                <c:pt idx="43">
                  <c:v>6.6199999999999995E-2</c:v>
                </c:pt>
                <c:pt idx="45">
                  <c:v>1.83E-2</c:v>
                </c:pt>
                <c:pt idx="46">
                  <c:v>1.9300000000000001E-2</c:v>
                </c:pt>
                <c:pt idx="48">
                  <c:v>6.83E-2</c:v>
                </c:pt>
                <c:pt idx="49">
                  <c:v>9.6100000000000005E-2</c:v>
                </c:pt>
                <c:pt idx="50">
                  <c:v>9.6799999999999997E-2</c:v>
                </c:pt>
                <c:pt idx="51">
                  <c:v>9.06E-2</c:v>
                </c:pt>
                <c:pt idx="52">
                  <c:v>3.9199999999999999E-2</c:v>
                </c:pt>
                <c:pt idx="53">
                  <c:v>7.1000000000000004E-3</c:v>
                </c:pt>
                <c:pt idx="54">
                  <c:v>8.2199999999999995E-2</c:v>
                </c:pt>
                <c:pt idx="55">
                  <c:v>5.8000000000000003E-2</c:v>
                </c:pt>
                <c:pt idx="56">
                  <c:v>5.79E-2</c:v>
                </c:pt>
                <c:pt idx="57">
                  <c:v>5.8299999999999998E-2</c:v>
                </c:pt>
                <c:pt idx="58">
                  <c:v>4.6899999999999997E-2</c:v>
                </c:pt>
                <c:pt idx="59">
                  <c:v>1.77E-2</c:v>
                </c:pt>
                <c:pt idx="60">
                  <c:v>3.1800000000000002E-2</c:v>
                </c:pt>
                <c:pt idx="61">
                  <c:v>4.8099999999999997E-2</c:v>
                </c:pt>
                <c:pt idx="62">
                  <c:v>1.8800000000000001E-2</c:v>
                </c:pt>
                <c:pt idx="63">
                  <c:v>6.4299999999999996E-2</c:v>
                </c:pt>
                <c:pt idx="64">
                  <c:v>3.4000000000000002E-2</c:v>
                </c:pt>
                <c:pt idx="66">
                  <c:v>5.8700000000000002E-2</c:v>
                </c:pt>
                <c:pt idx="67">
                  <c:v>0.12139999999999999</c:v>
                </c:pt>
                <c:pt idx="68">
                  <c:v>2.3699999999999999E-2</c:v>
                </c:pt>
                <c:pt idx="69">
                  <c:v>9.7699999999999995E-2</c:v>
                </c:pt>
                <c:pt idx="70">
                  <c:v>0.17730000000000001</c:v>
                </c:pt>
                <c:pt idx="72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26-4F0D-BE85-81716D39D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SRP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'!$L$2:$L$87</c:f>
              <c:numCache>
                <c:formatCode>General</c:formatCode>
                <c:ptCount val="86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4.2000000000000003E-2</c:v>
                </c:pt>
                <c:pt idx="7">
                  <c:v>4.4999999999999998E-2</c:v>
                </c:pt>
                <c:pt idx="8">
                  <c:v>0.09</c:v>
                </c:pt>
                <c:pt idx="9">
                  <c:v>8.3000000000000004E-2</c:v>
                </c:pt>
                <c:pt idx="10">
                  <c:v>6.7000000000000004E-2</c:v>
                </c:pt>
                <c:pt idx="11">
                  <c:v>4.8000000000000001E-2</c:v>
                </c:pt>
                <c:pt idx="12">
                  <c:v>1.49059E-2</c:v>
                </c:pt>
                <c:pt idx="13">
                  <c:v>7.15306E-2</c:v>
                </c:pt>
                <c:pt idx="14">
                  <c:v>5.4371599999999999E-2</c:v>
                </c:pt>
                <c:pt idx="17">
                  <c:v>2.8633100000000002E-2</c:v>
                </c:pt>
                <c:pt idx="20">
                  <c:v>1.1474099999999999E-2</c:v>
                </c:pt>
                <c:pt idx="22">
                  <c:v>2.6917199999999999E-2</c:v>
                </c:pt>
                <c:pt idx="24">
                  <c:v>5.09398E-2</c:v>
                </c:pt>
                <c:pt idx="25">
                  <c:v>3.8928499999999998E-2</c:v>
                </c:pt>
                <c:pt idx="30">
                  <c:v>3.0349000000000001E-2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54-41BC-8C12-80FA44C80D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TP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082568694473166"/>
                  <c:y val="-1.70650898175209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'!$M$2:$M$87</c:f>
              <c:numCache>
                <c:formatCode>General</c:formatCode>
                <c:ptCount val="86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9.4E-2</c:v>
                </c:pt>
                <c:pt idx="7">
                  <c:v>0.12</c:v>
                </c:pt>
                <c:pt idx="8">
                  <c:v>0.36199999999999999</c:v>
                </c:pt>
                <c:pt idx="9">
                  <c:v>0.20799999999999999</c:v>
                </c:pt>
                <c:pt idx="10">
                  <c:v>0.13200000000000001</c:v>
                </c:pt>
                <c:pt idx="11">
                  <c:v>8.5999999999999993E-2</c:v>
                </c:pt>
                <c:pt idx="12">
                  <c:v>9.9315000000000001E-2</c:v>
                </c:pt>
                <c:pt idx="13">
                  <c:v>0.1012671</c:v>
                </c:pt>
                <c:pt idx="14">
                  <c:v>8.5650299999999999E-2</c:v>
                </c:pt>
                <c:pt idx="17">
                  <c:v>4.46562E-2</c:v>
                </c:pt>
                <c:pt idx="20">
                  <c:v>2.90394E-2</c:v>
                </c:pt>
                <c:pt idx="22">
                  <c:v>6.3819200000000006E-2</c:v>
                </c:pt>
                <c:pt idx="24">
                  <c:v>7.3937699999999995E-2</c:v>
                </c:pt>
                <c:pt idx="25">
                  <c:v>4.0751999999999997E-2</c:v>
                </c:pt>
                <c:pt idx="30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7D-4722-A566-B044AACF0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153080</xdr:colOff>
      <xdr:row>0</xdr:row>
      <xdr:rowOff>492579</xdr:rowOff>
    </xdr:from>
    <xdr:to>
      <xdr:col>22</xdr:col>
      <xdr:colOff>177836</xdr:colOff>
      <xdr:row>12</xdr:row>
      <xdr:rowOff>166007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CABAC6-3D75-48F9-A3D1-F0FD2F3715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176895</xdr:colOff>
      <xdr:row>13</xdr:row>
      <xdr:rowOff>68035</xdr:rowOff>
    </xdr:from>
    <xdr:to>
      <xdr:col>22</xdr:col>
      <xdr:colOff>204109</xdr:colOff>
      <xdr:row>24</xdr:row>
      <xdr:rowOff>122464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89A407-391B-40DC-B31E-179063CD71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176894</xdr:colOff>
      <xdr:row>25</xdr:row>
      <xdr:rowOff>0</xdr:rowOff>
    </xdr:from>
    <xdr:to>
      <xdr:col>22</xdr:col>
      <xdr:colOff>204108</xdr:colOff>
      <xdr:row>36</xdr:row>
      <xdr:rowOff>108857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8E2C45-15B5-42CD-A4F7-DB2BBE91AA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285749</xdr:colOff>
      <xdr:row>13</xdr:row>
      <xdr:rowOff>54428</xdr:rowOff>
    </xdr:from>
    <xdr:to>
      <xdr:col>27</xdr:col>
      <xdr:colOff>312964</xdr:colOff>
      <xdr:row>24</xdr:row>
      <xdr:rowOff>108857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2785775-554C-4406-8B64-BCFC6D48AB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312963</xdr:colOff>
      <xdr:row>25</xdr:row>
      <xdr:rowOff>0</xdr:rowOff>
    </xdr:from>
    <xdr:to>
      <xdr:col>27</xdr:col>
      <xdr:colOff>340178</xdr:colOff>
      <xdr:row>36</xdr:row>
      <xdr:rowOff>108857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2B105F3-8486-480F-A338-24BD35E584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285750</xdr:colOff>
      <xdr:row>0</xdr:row>
      <xdr:rowOff>489858</xdr:rowOff>
    </xdr:from>
    <xdr:to>
      <xdr:col>27</xdr:col>
      <xdr:colOff>312965</xdr:colOff>
      <xdr:row>12</xdr:row>
      <xdr:rowOff>163286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37596DE-93CB-4F72-A599-0FFC79027D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153080</xdr:colOff>
      <xdr:row>0</xdr:row>
      <xdr:rowOff>492579</xdr:rowOff>
    </xdr:from>
    <xdr:to>
      <xdr:col>22</xdr:col>
      <xdr:colOff>177836</xdr:colOff>
      <xdr:row>12</xdr:row>
      <xdr:rowOff>166007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A7FEC6-40AE-ACB1-53AA-EA18B3189C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176895</xdr:colOff>
      <xdr:row>13</xdr:row>
      <xdr:rowOff>68035</xdr:rowOff>
    </xdr:from>
    <xdr:to>
      <xdr:col>22</xdr:col>
      <xdr:colOff>204109</xdr:colOff>
      <xdr:row>24</xdr:row>
      <xdr:rowOff>122464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290371-AFAA-4FD8-832A-892924ECE7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176894</xdr:colOff>
      <xdr:row>25</xdr:row>
      <xdr:rowOff>0</xdr:rowOff>
    </xdr:from>
    <xdr:to>
      <xdr:col>22</xdr:col>
      <xdr:colOff>204108</xdr:colOff>
      <xdr:row>36</xdr:row>
      <xdr:rowOff>108857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D67A2D5-A0CF-49A6-B236-DCF450E6F2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285749</xdr:colOff>
      <xdr:row>13</xdr:row>
      <xdr:rowOff>54428</xdr:rowOff>
    </xdr:from>
    <xdr:to>
      <xdr:col>27</xdr:col>
      <xdr:colOff>312964</xdr:colOff>
      <xdr:row>24</xdr:row>
      <xdr:rowOff>108857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34A5B8C-EB65-4632-826E-869D5CC772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312963</xdr:colOff>
      <xdr:row>25</xdr:row>
      <xdr:rowOff>0</xdr:rowOff>
    </xdr:from>
    <xdr:to>
      <xdr:col>27</xdr:col>
      <xdr:colOff>340178</xdr:colOff>
      <xdr:row>36</xdr:row>
      <xdr:rowOff>108857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75BB81A-1557-4F21-B192-3A62C55AA2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285750</xdr:colOff>
      <xdr:row>0</xdr:row>
      <xdr:rowOff>489858</xdr:rowOff>
    </xdr:from>
    <xdr:to>
      <xdr:col>27</xdr:col>
      <xdr:colOff>312965</xdr:colOff>
      <xdr:row>12</xdr:row>
      <xdr:rowOff>163286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46B282B-831E-4965-AB73-9DD0693E59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F5147-870F-4065-86F1-3AC0DA635208}">
  <dimension ref="A1:T167"/>
  <sheetViews>
    <sheetView tabSelected="1" topLeftCell="C143" zoomScale="83" zoomScaleNormal="85" workbookViewId="0">
      <selection activeCell="F161" sqref="F161"/>
    </sheetView>
  </sheetViews>
  <sheetFormatPr defaultRowHeight="14.4" x14ac:dyDescent="0.3"/>
  <cols>
    <col min="1" max="1" width="26.6640625" style="5" customWidth="1"/>
    <col min="2" max="2" width="15.44140625" style="5" customWidth="1"/>
    <col min="3" max="3" width="18" style="5" customWidth="1"/>
    <col min="4" max="4" width="12.6640625" style="5" customWidth="1"/>
    <col min="5" max="5" width="22.44140625" style="5" customWidth="1"/>
    <col min="6" max="10" width="16.88671875" style="5" customWidth="1"/>
    <col min="11" max="11" width="12.109375" customWidth="1"/>
    <col min="12" max="12" width="18" customWidth="1"/>
    <col min="16" max="16" width="18.44140625" customWidth="1"/>
    <col min="17" max="17" width="15.5546875" customWidth="1"/>
    <col min="18" max="18" width="15.44140625" style="5" customWidth="1"/>
    <col min="19" max="19" width="16.33203125" style="5" customWidth="1"/>
    <col min="20" max="20" width="16.88671875" style="5" customWidth="1"/>
  </cols>
  <sheetData>
    <row r="1" spans="1:20" ht="44.25" customHeight="1" x14ac:dyDescent="0.3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97</v>
      </c>
      <c r="H1" s="146" t="s">
        <v>72</v>
      </c>
      <c r="I1" s="146" t="s">
        <v>70</v>
      </c>
      <c r="J1" s="146" t="s">
        <v>69</v>
      </c>
      <c r="K1" s="146" t="s">
        <v>61</v>
      </c>
      <c r="L1" s="146" t="s">
        <v>67</v>
      </c>
      <c r="R1" s="145" t="s">
        <v>117</v>
      </c>
      <c r="S1" s="146" t="s">
        <v>118</v>
      </c>
      <c r="T1" s="146" t="s">
        <v>119</v>
      </c>
    </row>
    <row r="2" spans="1:20" x14ac:dyDescent="0.3">
      <c r="A2" s="233" t="s">
        <v>182</v>
      </c>
      <c r="B2" s="2">
        <v>210</v>
      </c>
      <c r="C2" s="14">
        <v>0.23780000000000001</v>
      </c>
      <c r="D2" s="14">
        <v>0.2404</v>
      </c>
      <c r="E2" s="2">
        <f>D2-C2</f>
        <v>2.5999999999999912E-3</v>
      </c>
      <c r="F2" s="149">
        <f>E2/B2*1000*1000</f>
        <v>12.380952380952339</v>
      </c>
      <c r="G2" s="2"/>
      <c r="H2" s="234"/>
      <c r="I2" s="31"/>
      <c r="J2" s="2">
        <v>3.7290000000000001</v>
      </c>
      <c r="K2" s="2">
        <v>195</v>
      </c>
      <c r="L2" s="235">
        <v>45031.520833333336</v>
      </c>
      <c r="P2" s="222" t="s">
        <v>180</v>
      </c>
      <c r="R2" s="232"/>
      <c r="S2" s="232"/>
      <c r="T2" s="232"/>
    </row>
    <row r="3" spans="1:20" x14ac:dyDescent="0.3">
      <c r="A3" s="233" t="s">
        <v>183</v>
      </c>
      <c r="B3" s="2">
        <v>190</v>
      </c>
      <c r="C3" s="14">
        <v>0.2354</v>
      </c>
      <c r="D3" s="14">
        <v>0.23719999999999999</v>
      </c>
      <c r="E3" s="2">
        <f t="shared" ref="E3:E14" si="0">D3-C3</f>
        <v>1.799999999999996E-3</v>
      </c>
      <c r="F3" s="149">
        <f t="shared" ref="F3:F14" si="1">E3/B3*1000*1000</f>
        <v>9.4736842105262955</v>
      </c>
      <c r="G3" s="2"/>
      <c r="H3" s="234"/>
      <c r="I3" s="31"/>
      <c r="J3" s="236">
        <v>3.573</v>
      </c>
      <c r="K3" s="2">
        <v>196</v>
      </c>
      <c r="L3" s="235">
        <v>45031.6875</v>
      </c>
      <c r="P3" s="201" t="s">
        <v>181</v>
      </c>
      <c r="R3" s="232"/>
      <c r="S3" s="232"/>
      <c r="T3" s="232"/>
    </row>
    <row r="4" spans="1:20" x14ac:dyDescent="0.3">
      <c r="A4" s="233" t="s">
        <v>184</v>
      </c>
      <c r="B4" s="2">
        <v>200</v>
      </c>
      <c r="C4" s="14">
        <v>0.23449999999999999</v>
      </c>
      <c r="D4" s="14">
        <v>0.23549999999999999</v>
      </c>
      <c r="E4" s="2">
        <f t="shared" si="0"/>
        <v>1.0000000000000009E-3</v>
      </c>
      <c r="F4" s="149">
        <f t="shared" si="1"/>
        <v>5.0000000000000044</v>
      </c>
      <c r="G4" s="2"/>
      <c r="H4" s="234"/>
      <c r="I4" s="31"/>
      <c r="J4" s="236">
        <v>3.2410000000000001</v>
      </c>
      <c r="K4" s="2">
        <v>197</v>
      </c>
      <c r="L4" s="235">
        <v>45031.854166666664</v>
      </c>
      <c r="P4" s="5"/>
      <c r="R4" s="232"/>
      <c r="S4" s="232"/>
      <c r="T4" s="232"/>
    </row>
    <row r="5" spans="1:20" x14ac:dyDescent="0.3">
      <c r="A5" s="233" t="s">
        <v>185</v>
      </c>
      <c r="B5" s="2">
        <v>200</v>
      </c>
      <c r="C5" s="14">
        <v>0.23519999999999999</v>
      </c>
      <c r="D5" s="14">
        <v>0.23599999999999999</v>
      </c>
      <c r="E5" s="2">
        <f t="shared" si="0"/>
        <v>7.9999999999999516E-4</v>
      </c>
      <c r="F5" s="149">
        <f t="shared" si="1"/>
        <v>3.999999999999976</v>
      </c>
      <c r="G5" s="2"/>
      <c r="H5" s="234"/>
      <c r="I5" s="31"/>
      <c r="J5" s="236">
        <v>3.202</v>
      </c>
      <c r="K5" s="2">
        <v>198</v>
      </c>
      <c r="L5" s="235">
        <v>45032.020833333336</v>
      </c>
      <c r="P5" s="5"/>
      <c r="R5" s="232"/>
      <c r="S5" s="232"/>
      <c r="T5" s="232"/>
    </row>
    <row r="6" spans="1:20" x14ac:dyDescent="0.3">
      <c r="A6" s="233" t="s">
        <v>186</v>
      </c>
      <c r="B6" s="2">
        <v>210</v>
      </c>
      <c r="C6" s="14">
        <v>0.23469999999999999</v>
      </c>
      <c r="D6" s="14">
        <v>0.2369</v>
      </c>
      <c r="E6" s="2">
        <f t="shared" si="0"/>
        <v>2.2000000000000075E-3</v>
      </c>
      <c r="F6" s="149">
        <f t="shared" si="1"/>
        <v>10.476190476190512</v>
      </c>
      <c r="G6" s="2"/>
      <c r="H6" s="234"/>
      <c r="I6" s="31"/>
      <c r="J6" s="236">
        <v>3.234</v>
      </c>
      <c r="K6" s="2">
        <v>199</v>
      </c>
      <c r="L6" s="235">
        <v>45032.520833333336</v>
      </c>
      <c r="P6" s="5"/>
      <c r="R6" s="232"/>
      <c r="S6" s="232"/>
      <c r="T6" s="232"/>
    </row>
    <row r="7" spans="1:20" x14ac:dyDescent="0.3">
      <c r="A7" s="233" t="s">
        <v>187</v>
      </c>
      <c r="B7" s="2">
        <v>150</v>
      </c>
      <c r="C7" s="14">
        <v>0.2346</v>
      </c>
      <c r="D7" s="14">
        <v>0.23599999999999999</v>
      </c>
      <c r="E7" s="2">
        <f t="shared" si="0"/>
        <v>1.3999999999999846E-3</v>
      </c>
      <c r="F7" s="149">
        <f t="shared" si="1"/>
        <v>9.3333333333332309</v>
      </c>
      <c r="G7" s="2"/>
      <c r="H7" s="234"/>
      <c r="I7" s="31"/>
      <c r="J7" s="236">
        <v>3.2930000000000001</v>
      </c>
      <c r="K7" s="2">
        <v>200</v>
      </c>
      <c r="L7" s="235">
        <v>45032.6875</v>
      </c>
      <c r="P7" s="5"/>
      <c r="R7" s="232"/>
      <c r="S7" s="232"/>
      <c r="T7" s="232"/>
    </row>
    <row r="8" spans="1:20" x14ac:dyDescent="0.3">
      <c r="A8" s="233" t="s">
        <v>188</v>
      </c>
      <c r="B8" s="2">
        <v>145</v>
      </c>
      <c r="C8" s="14">
        <v>0.23710000000000001</v>
      </c>
      <c r="D8" s="14">
        <v>0.23849999999999999</v>
      </c>
      <c r="E8" s="2">
        <f t="shared" si="0"/>
        <v>1.3999999999999846E-3</v>
      </c>
      <c r="F8" s="149">
        <f t="shared" si="1"/>
        <v>9.6551724137929966</v>
      </c>
      <c r="G8" s="2"/>
      <c r="H8" s="234"/>
      <c r="I8" s="31"/>
      <c r="J8" s="236">
        <v>3.1789999999999998</v>
      </c>
      <c r="K8" s="2">
        <v>201</v>
      </c>
      <c r="L8" s="235">
        <v>45033.020833333336</v>
      </c>
      <c r="P8" s="5"/>
      <c r="R8" s="232"/>
      <c r="S8" s="232"/>
      <c r="T8" s="232"/>
    </row>
    <row r="9" spans="1:20" x14ac:dyDescent="0.3">
      <c r="A9" s="233" t="s">
        <v>189</v>
      </c>
      <c r="B9" s="2">
        <v>150</v>
      </c>
      <c r="C9" s="14">
        <v>0.23330000000000001</v>
      </c>
      <c r="D9" s="14">
        <v>0.2339</v>
      </c>
      <c r="E9" s="2">
        <f t="shared" si="0"/>
        <v>5.9999999999998943E-4</v>
      </c>
      <c r="F9" s="149">
        <f t="shared" si="1"/>
        <v>3.9999999999999298</v>
      </c>
      <c r="G9" s="2"/>
      <c r="H9" s="234"/>
      <c r="I9" s="31"/>
      <c r="J9" s="236">
        <v>3.1110000000000002</v>
      </c>
      <c r="K9" s="2">
        <v>202</v>
      </c>
      <c r="L9" s="235">
        <v>45033.1875</v>
      </c>
      <c r="R9" s="232"/>
      <c r="S9" s="232"/>
      <c r="T9" s="232"/>
    </row>
    <row r="10" spans="1:20" x14ac:dyDescent="0.3">
      <c r="A10" s="233" t="s">
        <v>190</v>
      </c>
      <c r="B10" s="2">
        <v>200</v>
      </c>
      <c r="C10" s="14">
        <v>0.23630000000000001</v>
      </c>
      <c r="D10" s="14">
        <v>0.2366</v>
      </c>
      <c r="E10" s="2">
        <f t="shared" si="0"/>
        <v>2.9999999999999472E-4</v>
      </c>
      <c r="F10" s="149">
        <f t="shared" si="1"/>
        <v>1.4999999999999736</v>
      </c>
      <c r="G10" s="2"/>
      <c r="H10" s="234"/>
      <c r="I10" s="31"/>
      <c r="J10" s="236">
        <v>3.0259999999999998</v>
      </c>
      <c r="K10" s="2">
        <v>203</v>
      </c>
      <c r="L10" s="235">
        <v>45033.354166666664</v>
      </c>
      <c r="R10" s="232"/>
      <c r="S10" s="232"/>
      <c r="T10" s="232"/>
    </row>
    <row r="11" spans="1:20" ht="13.2" customHeight="1" x14ac:dyDescent="0.3">
      <c r="A11" s="233" t="s">
        <v>191</v>
      </c>
      <c r="B11" s="2">
        <v>200</v>
      </c>
      <c r="C11" s="14">
        <v>0.23549999999999999</v>
      </c>
      <c r="D11" s="14">
        <v>0.2366</v>
      </c>
      <c r="E11" s="2">
        <f t="shared" si="0"/>
        <v>1.1000000000000176E-3</v>
      </c>
      <c r="F11" s="149">
        <f t="shared" si="1"/>
        <v>5.5000000000000879</v>
      </c>
      <c r="G11" s="2"/>
      <c r="H11" s="234"/>
      <c r="I11" s="31"/>
      <c r="J11" s="236">
        <v>3.0910000000000002</v>
      </c>
      <c r="K11" s="2">
        <v>204</v>
      </c>
      <c r="L11" s="235">
        <v>45033.520833333336</v>
      </c>
      <c r="R11" s="232"/>
      <c r="S11" s="232"/>
      <c r="T11" s="232"/>
    </row>
    <row r="12" spans="1:20" x14ac:dyDescent="0.3">
      <c r="A12" s="233" t="s">
        <v>192</v>
      </c>
      <c r="B12" s="2">
        <v>190</v>
      </c>
      <c r="C12" s="14">
        <v>0.23780000000000001</v>
      </c>
      <c r="D12" s="14">
        <v>0.2422</v>
      </c>
      <c r="E12" s="2">
        <f t="shared" si="0"/>
        <v>4.3999999999999873E-3</v>
      </c>
      <c r="F12" s="149">
        <f t="shared" si="1"/>
        <v>23.157894736842042</v>
      </c>
      <c r="G12" s="2">
        <v>106.21</v>
      </c>
      <c r="H12" s="234"/>
      <c r="I12" s="31"/>
      <c r="J12" s="236">
        <v>3.206</v>
      </c>
      <c r="K12" s="2">
        <v>205</v>
      </c>
      <c r="L12" s="235">
        <v>45033.6875</v>
      </c>
      <c r="R12" s="232"/>
      <c r="S12" s="232"/>
      <c r="T12" s="232"/>
    </row>
    <row r="13" spans="1:20" ht="16.2" customHeight="1" x14ac:dyDescent="0.3">
      <c r="A13" s="233" t="s">
        <v>193</v>
      </c>
      <c r="B13" s="2">
        <v>200</v>
      </c>
      <c r="C13" s="14">
        <v>0.23519999999999999</v>
      </c>
      <c r="D13" s="14">
        <v>0.2382</v>
      </c>
      <c r="E13" s="2">
        <f t="shared" si="0"/>
        <v>3.0000000000000027E-3</v>
      </c>
      <c r="F13" s="149">
        <f t="shared" si="1"/>
        <v>15.000000000000014</v>
      </c>
      <c r="G13" s="2">
        <v>51.232999999999997</v>
      </c>
      <c r="H13" s="234"/>
      <c r="I13" s="31"/>
      <c r="J13" s="236">
        <v>3.6629999999999998</v>
      </c>
      <c r="K13" s="2">
        <v>206</v>
      </c>
      <c r="L13" s="235">
        <v>45033.854166666664</v>
      </c>
      <c r="R13" s="232"/>
      <c r="S13" s="232"/>
      <c r="T13" s="232"/>
    </row>
    <row r="14" spans="1:20" x14ac:dyDescent="0.3">
      <c r="A14" s="233" t="s">
        <v>195</v>
      </c>
      <c r="B14" s="2">
        <v>190</v>
      </c>
      <c r="C14" s="14">
        <v>0.23599999999999999</v>
      </c>
      <c r="D14" s="14">
        <v>0.23769999999999999</v>
      </c>
      <c r="E14" s="2">
        <f t="shared" si="0"/>
        <v>1.7000000000000071E-3</v>
      </c>
      <c r="F14" s="149">
        <f t="shared" si="1"/>
        <v>8.9473684210526692</v>
      </c>
      <c r="G14" s="2">
        <v>59.16</v>
      </c>
      <c r="H14" s="30">
        <v>9.6770277976250003E-3</v>
      </c>
      <c r="I14" s="238">
        <f>H14/(B14/1000)</f>
        <v>5.0931725250657894E-2</v>
      </c>
      <c r="J14" s="236">
        <v>3.806</v>
      </c>
      <c r="K14" s="2">
        <v>222</v>
      </c>
      <c r="L14" s="235">
        <v>45034.020833333336</v>
      </c>
      <c r="R14" s="232"/>
      <c r="S14" s="232"/>
      <c r="T14" s="232"/>
    </row>
    <row r="15" spans="1:20" x14ac:dyDescent="0.3">
      <c r="A15" s="233" t="s">
        <v>194</v>
      </c>
      <c r="B15" s="2">
        <v>200</v>
      </c>
      <c r="C15" s="14">
        <v>0.2341</v>
      </c>
      <c r="D15" s="14">
        <v>0.23599999999999999</v>
      </c>
      <c r="E15" s="2">
        <f>D15-C15</f>
        <v>1.899999999999985E-3</v>
      </c>
      <c r="F15" s="149">
        <f>E15/B15*1000*1000</f>
        <v>9.4999999999999254</v>
      </c>
      <c r="G15" s="2">
        <v>48.47</v>
      </c>
      <c r="H15" s="30"/>
      <c r="I15" s="238"/>
      <c r="J15" s="236">
        <v>3.391</v>
      </c>
      <c r="K15" s="2">
        <v>207</v>
      </c>
      <c r="L15" s="235">
        <v>45034.1875</v>
      </c>
      <c r="R15" s="232"/>
      <c r="S15" s="232"/>
      <c r="T15" s="232"/>
    </row>
    <row r="16" spans="1:20" x14ac:dyDescent="0.3">
      <c r="A16" s="233" t="s">
        <v>196</v>
      </c>
      <c r="B16" s="2">
        <v>210</v>
      </c>
      <c r="C16" s="14">
        <v>0.2311</v>
      </c>
      <c r="D16" s="14">
        <v>0.23200000000000001</v>
      </c>
      <c r="E16" s="2">
        <f t="shared" ref="E16:E78" si="2">D16-C16</f>
        <v>9.000000000000119E-4</v>
      </c>
      <c r="F16" s="149">
        <f t="shared" ref="F16:F78" si="3">E16/B16*1000*1000</f>
        <v>4.2857142857143424</v>
      </c>
      <c r="G16" s="2">
        <v>0</v>
      </c>
      <c r="H16" s="14"/>
      <c r="I16" s="238"/>
      <c r="J16" s="236">
        <v>3.3119999999999998</v>
      </c>
      <c r="K16" s="2">
        <v>223</v>
      </c>
      <c r="L16" s="235">
        <v>45034.354166666664</v>
      </c>
      <c r="P16" s="42"/>
      <c r="R16" s="232"/>
      <c r="S16" s="232"/>
      <c r="T16" s="232"/>
    </row>
    <row r="17" spans="1:20" x14ac:dyDescent="0.3">
      <c r="A17" s="233" t="s">
        <v>197</v>
      </c>
      <c r="B17" s="2" t="s">
        <v>179</v>
      </c>
      <c r="C17" s="14" t="s">
        <v>179</v>
      </c>
      <c r="D17" s="14" t="s">
        <v>179</v>
      </c>
      <c r="E17" s="2" t="s">
        <v>179</v>
      </c>
      <c r="F17" s="149" t="s">
        <v>179</v>
      </c>
      <c r="G17" s="2">
        <v>0</v>
      </c>
      <c r="H17" s="30"/>
      <c r="I17" s="238"/>
      <c r="J17" s="236">
        <v>3.3530000000000002</v>
      </c>
      <c r="K17" s="2">
        <v>224</v>
      </c>
      <c r="L17" s="235">
        <v>45034.520833333336</v>
      </c>
      <c r="R17" s="232"/>
      <c r="S17" s="232"/>
      <c r="T17" s="232"/>
    </row>
    <row r="18" spans="1:20" x14ac:dyDescent="0.3">
      <c r="A18" s="233" t="s">
        <v>198</v>
      </c>
      <c r="B18" s="2">
        <v>200</v>
      </c>
      <c r="C18" s="14">
        <v>0.23069999999999999</v>
      </c>
      <c r="D18" s="14">
        <v>0.23530000000000001</v>
      </c>
      <c r="E18" s="2">
        <f t="shared" si="2"/>
        <v>4.6000000000000207E-3</v>
      </c>
      <c r="F18" s="149">
        <f t="shared" si="3"/>
        <v>23.000000000000103</v>
      </c>
      <c r="G18" s="2">
        <v>78.709999999999994</v>
      </c>
      <c r="H18" s="30"/>
      <c r="I18" s="238"/>
      <c r="J18" s="236">
        <v>3.5139999999999998</v>
      </c>
      <c r="K18" s="2">
        <v>225</v>
      </c>
      <c r="L18" s="235">
        <v>45034.6875</v>
      </c>
      <c r="R18" s="232"/>
      <c r="S18" s="232"/>
      <c r="T18" s="232"/>
    </row>
    <row r="19" spans="1:20" x14ac:dyDescent="0.3">
      <c r="A19" s="233" t="s">
        <v>199</v>
      </c>
      <c r="B19" s="2">
        <v>200</v>
      </c>
      <c r="C19" s="14">
        <v>0.22900000000000001</v>
      </c>
      <c r="D19" s="14">
        <v>0.23200000000000001</v>
      </c>
      <c r="E19" s="2">
        <f t="shared" si="2"/>
        <v>3.0000000000000027E-3</v>
      </c>
      <c r="F19" s="149">
        <f t="shared" si="3"/>
        <v>15.000000000000014</v>
      </c>
      <c r="G19" s="2">
        <v>45.42</v>
      </c>
      <c r="H19" s="30"/>
      <c r="I19" s="238"/>
      <c r="J19" s="236">
        <v>3.6539999999999999</v>
      </c>
      <c r="K19" s="2">
        <v>226</v>
      </c>
      <c r="L19" s="235">
        <v>45034.895833333336</v>
      </c>
      <c r="P19" s="5"/>
      <c r="Q19" s="5"/>
      <c r="R19" s="232"/>
      <c r="S19" s="232"/>
      <c r="T19" s="232"/>
    </row>
    <row r="20" spans="1:20" x14ac:dyDescent="0.3">
      <c r="A20" s="233" t="s">
        <v>200</v>
      </c>
      <c r="B20" s="2">
        <v>220</v>
      </c>
      <c r="C20" s="14">
        <v>0.22850000000000001</v>
      </c>
      <c r="D20" s="14">
        <v>0.23050000000000001</v>
      </c>
      <c r="E20" s="2">
        <f t="shared" si="2"/>
        <v>2.0000000000000018E-3</v>
      </c>
      <c r="F20" s="149">
        <f t="shared" si="3"/>
        <v>9.0909090909090988</v>
      </c>
      <c r="G20" s="2">
        <v>74.75</v>
      </c>
      <c r="H20" s="30"/>
      <c r="I20" s="238"/>
      <c r="J20" s="236">
        <v>3.5760000000000001</v>
      </c>
      <c r="K20" s="2">
        <v>227</v>
      </c>
      <c r="L20" s="235">
        <v>45035.104166666664</v>
      </c>
      <c r="R20" s="232"/>
      <c r="S20" s="232"/>
      <c r="T20" s="232"/>
    </row>
    <row r="21" spans="1:20" x14ac:dyDescent="0.3">
      <c r="A21" s="233" t="s">
        <v>201</v>
      </c>
      <c r="B21" s="2">
        <v>200</v>
      </c>
      <c r="C21" s="14">
        <v>0.23469999999999999</v>
      </c>
      <c r="D21" s="14">
        <v>0.23619999999999999</v>
      </c>
      <c r="E21" s="2">
        <f t="shared" si="2"/>
        <v>1.5000000000000013E-3</v>
      </c>
      <c r="F21" s="149">
        <f t="shared" si="3"/>
        <v>7.5000000000000071</v>
      </c>
      <c r="G21" s="2">
        <v>0</v>
      </c>
      <c r="H21" s="30"/>
      <c r="I21" s="238"/>
      <c r="J21" s="236">
        <v>3.3889999999999998</v>
      </c>
      <c r="K21" s="2">
        <v>228</v>
      </c>
      <c r="L21" s="235">
        <v>45035.3125</v>
      </c>
      <c r="R21" s="232"/>
      <c r="S21" s="232"/>
      <c r="T21" s="232"/>
    </row>
    <row r="22" spans="1:20" x14ac:dyDescent="0.3">
      <c r="A22" s="233" t="s">
        <v>202</v>
      </c>
      <c r="B22" s="2">
        <v>160</v>
      </c>
      <c r="C22" s="14">
        <v>0.2354</v>
      </c>
      <c r="D22" s="14">
        <v>0.2361</v>
      </c>
      <c r="E22" s="2">
        <f t="shared" si="2"/>
        <v>7.0000000000000617E-4</v>
      </c>
      <c r="F22" s="149">
        <f t="shared" si="3"/>
        <v>4.3750000000000382</v>
      </c>
      <c r="G22" s="2">
        <v>56.59</v>
      </c>
      <c r="H22" s="30"/>
      <c r="I22" s="238"/>
      <c r="J22" s="236">
        <v>3.226</v>
      </c>
      <c r="K22" s="2">
        <v>229</v>
      </c>
      <c r="L22" s="235">
        <v>45035.520833333336</v>
      </c>
      <c r="R22" s="232"/>
      <c r="S22" s="232"/>
      <c r="T22" s="232"/>
    </row>
    <row r="23" spans="1:20" x14ac:dyDescent="0.3">
      <c r="A23" s="233" t="s">
        <v>203</v>
      </c>
      <c r="B23" s="2">
        <v>150</v>
      </c>
      <c r="C23" s="14">
        <v>0.23499999999999999</v>
      </c>
      <c r="D23" s="14" t="s">
        <v>179</v>
      </c>
      <c r="E23" s="2" t="s">
        <v>179</v>
      </c>
      <c r="F23" s="149" t="s">
        <v>179</v>
      </c>
      <c r="G23" s="2">
        <v>0</v>
      </c>
      <c r="H23" s="30"/>
      <c r="I23" s="238"/>
      <c r="J23" s="236">
        <v>3.552</v>
      </c>
      <c r="K23" s="2">
        <v>230</v>
      </c>
      <c r="L23" s="235">
        <v>45036.666666666664</v>
      </c>
      <c r="R23" s="232"/>
      <c r="S23" s="232"/>
      <c r="T23" s="232"/>
    </row>
    <row r="24" spans="1:20" x14ac:dyDescent="0.3">
      <c r="A24" s="233" t="s">
        <v>204</v>
      </c>
      <c r="B24" s="2">
        <v>160</v>
      </c>
      <c r="C24" s="14">
        <v>0.23730000000000001</v>
      </c>
      <c r="D24" s="14">
        <v>0.2382</v>
      </c>
      <c r="E24" s="2">
        <f t="shared" si="2"/>
        <v>8.9999999999998415E-4</v>
      </c>
      <c r="F24" s="149">
        <f t="shared" si="3"/>
        <v>5.6249999999999005</v>
      </c>
      <c r="G24" s="2">
        <v>0</v>
      </c>
      <c r="H24" s="30"/>
      <c r="I24" s="238"/>
      <c r="J24" s="236">
        <v>3.323</v>
      </c>
      <c r="K24" s="2">
        <v>231</v>
      </c>
      <c r="L24" s="235">
        <v>45036.770833333336</v>
      </c>
      <c r="R24" s="232"/>
      <c r="S24" s="232"/>
      <c r="T24" s="232"/>
    </row>
    <row r="25" spans="1:20" x14ac:dyDescent="0.3">
      <c r="A25" s="233" t="s">
        <v>205</v>
      </c>
      <c r="B25" s="2">
        <v>150</v>
      </c>
      <c r="C25" s="14">
        <v>0.23599999999999999</v>
      </c>
      <c r="D25" s="14">
        <v>0.23699999999999999</v>
      </c>
      <c r="E25" s="2">
        <f t="shared" si="2"/>
        <v>1.0000000000000009E-3</v>
      </c>
      <c r="F25" s="149">
        <f t="shared" si="3"/>
        <v>6.6666666666666723</v>
      </c>
      <c r="G25" s="2">
        <v>0</v>
      </c>
      <c r="H25" s="30"/>
      <c r="I25" s="238"/>
      <c r="J25" s="236">
        <v>3.3159999999999998</v>
      </c>
      <c r="K25" s="2">
        <v>232</v>
      </c>
      <c r="L25" s="235">
        <v>45036.979166666664</v>
      </c>
      <c r="R25" s="232"/>
      <c r="S25" s="232"/>
      <c r="T25" s="232"/>
    </row>
    <row r="26" spans="1:20" x14ac:dyDescent="0.3">
      <c r="A26" s="233" t="s">
        <v>206</v>
      </c>
      <c r="B26" s="2" t="s">
        <v>179</v>
      </c>
      <c r="C26" s="14">
        <v>0.2349</v>
      </c>
      <c r="D26" s="14">
        <v>0.23580000000000001</v>
      </c>
      <c r="E26" s="2">
        <f t="shared" si="2"/>
        <v>9.000000000000119E-4</v>
      </c>
      <c r="F26" s="149" t="s">
        <v>179</v>
      </c>
      <c r="G26" s="2">
        <v>0</v>
      </c>
      <c r="H26" s="30"/>
      <c r="I26" s="238"/>
      <c r="J26" s="236">
        <v>3.2069999999999999</v>
      </c>
      <c r="K26" s="2">
        <v>233</v>
      </c>
      <c r="L26" s="235">
        <v>45037.1875</v>
      </c>
      <c r="R26" s="232"/>
      <c r="S26" s="232"/>
      <c r="T26" s="232"/>
    </row>
    <row r="27" spans="1:20" x14ac:dyDescent="0.3">
      <c r="A27" s="233" t="s">
        <v>207</v>
      </c>
      <c r="B27" s="2" t="s">
        <v>179</v>
      </c>
      <c r="C27" s="14">
        <v>0.23780000000000001</v>
      </c>
      <c r="D27" s="14">
        <v>0.23880000000000001</v>
      </c>
      <c r="E27" s="2">
        <f t="shared" si="2"/>
        <v>1.0000000000000009E-3</v>
      </c>
      <c r="F27" s="149" t="s">
        <v>179</v>
      </c>
      <c r="G27" s="2">
        <v>27.23</v>
      </c>
      <c r="H27" s="30"/>
      <c r="I27" s="238"/>
      <c r="J27" s="236">
        <v>3.153</v>
      </c>
      <c r="K27" s="2">
        <v>234</v>
      </c>
      <c r="L27" s="235">
        <v>45037.395833333336</v>
      </c>
      <c r="R27" s="232"/>
      <c r="S27" s="232"/>
      <c r="T27" s="232"/>
    </row>
    <row r="28" spans="1:20" x14ac:dyDescent="0.3">
      <c r="A28" s="233" t="s">
        <v>208</v>
      </c>
      <c r="B28" s="2" t="s">
        <v>179</v>
      </c>
      <c r="C28" s="14">
        <v>0.23649999999999999</v>
      </c>
      <c r="D28" s="14">
        <v>0.23719999999999999</v>
      </c>
      <c r="E28" s="2">
        <f t="shared" si="2"/>
        <v>7.0000000000000617E-4</v>
      </c>
      <c r="F28" s="149" t="s">
        <v>179</v>
      </c>
      <c r="G28" s="2">
        <v>0</v>
      </c>
      <c r="H28" s="30"/>
      <c r="I28" s="238"/>
      <c r="J28" s="236">
        <v>3.2869999999999999</v>
      </c>
      <c r="K28" s="2">
        <v>235</v>
      </c>
      <c r="L28" s="235">
        <v>45037.604166666664</v>
      </c>
      <c r="R28" s="231"/>
      <c r="S28" s="232"/>
      <c r="T28" s="231"/>
    </row>
    <row r="29" spans="1:20" x14ac:dyDescent="0.3">
      <c r="A29" s="233" t="s">
        <v>209</v>
      </c>
      <c r="B29" s="2">
        <v>145</v>
      </c>
      <c r="C29" s="2">
        <v>0.2306</v>
      </c>
      <c r="D29" s="2">
        <v>0.2321</v>
      </c>
      <c r="E29" s="2">
        <f t="shared" si="2"/>
        <v>1.5000000000000013E-3</v>
      </c>
      <c r="F29" s="149">
        <f t="shared" si="3"/>
        <v>10.344827586206906</v>
      </c>
      <c r="G29" s="2">
        <v>0</v>
      </c>
      <c r="H29" s="30"/>
      <c r="I29" s="238"/>
      <c r="J29" s="236">
        <v>3.2440000000000002</v>
      </c>
      <c r="K29" s="2">
        <v>254</v>
      </c>
      <c r="L29" s="235">
        <v>45039.666666666664</v>
      </c>
      <c r="R29" s="232"/>
      <c r="S29" s="232"/>
      <c r="T29" s="232"/>
    </row>
    <row r="30" spans="1:20" x14ac:dyDescent="0.3">
      <c r="A30" s="233" t="s">
        <v>210</v>
      </c>
      <c r="B30" s="2">
        <v>150</v>
      </c>
      <c r="C30" s="2">
        <v>0.2271</v>
      </c>
      <c r="D30" s="2">
        <v>0.22789999999999999</v>
      </c>
      <c r="E30" s="2">
        <f t="shared" si="2"/>
        <v>7.9999999999999516E-4</v>
      </c>
      <c r="F30" s="149">
        <f t="shared" si="3"/>
        <v>5.3333333333333011</v>
      </c>
      <c r="G30" s="2">
        <v>0</v>
      </c>
      <c r="H30" s="30"/>
      <c r="I30" s="238"/>
      <c r="J30" s="236">
        <v>3.3380000000000001</v>
      </c>
      <c r="K30" s="2">
        <v>255</v>
      </c>
      <c r="L30" s="235">
        <v>45039.875</v>
      </c>
      <c r="R30" s="232"/>
      <c r="S30" s="232"/>
      <c r="T30" s="232"/>
    </row>
    <row r="31" spans="1:20" x14ac:dyDescent="0.3">
      <c r="A31" s="233" t="s">
        <v>211</v>
      </c>
      <c r="B31" s="2">
        <v>140</v>
      </c>
      <c r="C31" s="2">
        <v>0.2321</v>
      </c>
      <c r="D31" s="2">
        <v>0.23300000000000001</v>
      </c>
      <c r="E31" s="2">
        <f t="shared" si="2"/>
        <v>9.000000000000119E-4</v>
      </c>
      <c r="F31" s="149">
        <f t="shared" si="3"/>
        <v>6.4285714285715132</v>
      </c>
      <c r="G31" s="2">
        <v>0</v>
      </c>
      <c r="H31" s="30"/>
      <c r="I31" s="238"/>
      <c r="J31" s="236">
        <v>3.2010000000000001</v>
      </c>
      <c r="K31" s="2">
        <v>256</v>
      </c>
      <c r="L31" s="235">
        <v>45040.083333333336</v>
      </c>
      <c r="R31" s="232"/>
      <c r="S31" s="232"/>
      <c r="T31" s="232"/>
    </row>
    <row r="32" spans="1:20" x14ac:dyDescent="0.3">
      <c r="A32" s="233" t="s">
        <v>212</v>
      </c>
      <c r="B32" s="2">
        <v>140</v>
      </c>
      <c r="C32" s="2">
        <v>0.23480000000000001</v>
      </c>
      <c r="D32" s="2">
        <v>0.23569999999999999</v>
      </c>
      <c r="E32" s="2">
        <f t="shared" si="2"/>
        <v>8.9999999999998415E-4</v>
      </c>
      <c r="F32" s="149">
        <f t="shared" si="3"/>
        <v>6.4285714285713151</v>
      </c>
      <c r="G32" s="2">
        <v>0</v>
      </c>
      <c r="H32" s="30"/>
      <c r="I32" s="238"/>
      <c r="J32" s="236">
        <v>3.056</v>
      </c>
      <c r="K32" s="2">
        <v>257</v>
      </c>
      <c r="L32" s="235">
        <v>45040.291666666664</v>
      </c>
      <c r="R32" s="232"/>
      <c r="S32" s="232"/>
      <c r="T32" s="232"/>
    </row>
    <row r="33" spans="1:20" x14ac:dyDescent="0.3">
      <c r="A33" s="233" t="s">
        <v>213</v>
      </c>
      <c r="B33" s="2">
        <v>155</v>
      </c>
      <c r="C33" s="2">
        <v>0.2253</v>
      </c>
      <c r="D33" s="2">
        <v>0.22750000000000001</v>
      </c>
      <c r="E33" s="2">
        <f t="shared" si="2"/>
        <v>2.2000000000000075E-3</v>
      </c>
      <c r="F33" s="149">
        <f t="shared" si="3"/>
        <v>14.193548387096822</v>
      </c>
      <c r="G33" s="2">
        <v>0</v>
      </c>
      <c r="H33" s="30"/>
      <c r="I33" s="238"/>
      <c r="J33" s="236">
        <v>3.0910000000000002</v>
      </c>
      <c r="K33" s="2">
        <v>258</v>
      </c>
      <c r="L33" s="235">
        <v>45040.5</v>
      </c>
      <c r="R33" s="232"/>
      <c r="S33" s="232"/>
      <c r="T33" s="232"/>
    </row>
    <row r="34" spans="1:20" x14ac:dyDescent="0.3">
      <c r="A34" s="233" t="s">
        <v>214</v>
      </c>
      <c r="B34" s="2">
        <v>95</v>
      </c>
      <c r="C34" s="2">
        <v>0.2382</v>
      </c>
      <c r="D34" s="2">
        <v>0.23960000000000001</v>
      </c>
      <c r="E34" s="2">
        <f t="shared" si="2"/>
        <v>1.4000000000000123E-3</v>
      </c>
      <c r="F34" s="149">
        <f t="shared" si="3"/>
        <v>14.736842105263287</v>
      </c>
      <c r="G34" s="2">
        <v>0</v>
      </c>
      <c r="H34" s="30"/>
      <c r="I34" s="238"/>
      <c r="J34" s="236">
        <v>3.26</v>
      </c>
      <c r="K34" s="2">
        <v>259</v>
      </c>
      <c r="L34" s="235">
        <v>45040.708333333336</v>
      </c>
      <c r="R34" s="232"/>
      <c r="S34" s="232"/>
      <c r="T34" s="232"/>
    </row>
    <row r="35" spans="1:20" x14ac:dyDescent="0.3">
      <c r="A35" s="233" t="s">
        <v>215</v>
      </c>
      <c r="B35" s="2">
        <v>95</v>
      </c>
      <c r="C35" s="2">
        <v>0.23219999999999999</v>
      </c>
      <c r="D35" s="2">
        <v>0.23400000000000001</v>
      </c>
      <c r="E35" s="2">
        <f t="shared" si="2"/>
        <v>1.8000000000000238E-3</v>
      </c>
      <c r="F35" s="149">
        <f t="shared" si="3"/>
        <v>18.947368421052882</v>
      </c>
      <c r="G35" s="2">
        <v>0</v>
      </c>
      <c r="H35" s="30"/>
      <c r="I35" s="238"/>
      <c r="J35" s="236">
        <v>3.37</v>
      </c>
      <c r="K35" s="2">
        <v>260</v>
      </c>
      <c r="L35" s="235">
        <v>45040.916666666664</v>
      </c>
      <c r="R35" s="232"/>
      <c r="S35" s="232"/>
      <c r="T35" s="232"/>
    </row>
    <row r="36" spans="1:20" x14ac:dyDescent="0.3">
      <c r="A36" s="233" t="s">
        <v>216</v>
      </c>
      <c r="B36" s="2">
        <v>115</v>
      </c>
      <c r="C36" s="2">
        <v>0.2298</v>
      </c>
      <c r="D36" s="2">
        <v>0.23280000000000001</v>
      </c>
      <c r="E36" s="2">
        <f t="shared" si="2"/>
        <v>3.0000000000000027E-3</v>
      </c>
      <c r="F36" s="149">
        <f t="shared" si="3"/>
        <v>26.086956521739157</v>
      </c>
      <c r="G36" s="2">
        <v>0</v>
      </c>
      <c r="H36" s="30"/>
      <c r="I36" s="238"/>
      <c r="J36" s="236">
        <v>3.246</v>
      </c>
      <c r="K36" s="2">
        <v>261</v>
      </c>
      <c r="L36" s="235">
        <v>45041.125</v>
      </c>
      <c r="R36" s="232"/>
      <c r="S36" s="232"/>
      <c r="T36" s="232"/>
    </row>
    <row r="37" spans="1:20" x14ac:dyDescent="0.3">
      <c r="A37" s="233" t="s">
        <v>217</v>
      </c>
      <c r="B37" s="2">
        <v>110</v>
      </c>
      <c r="C37" s="2">
        <v>0.23449999999999999</v>
      </c>
      <c r="D37" s="2">
        <v>0.23530000000000001</v>
      </c>
      <c r="E37" s="2">
        <f t="shared" si="2"/>
        <v>8.0000000000002292E-4</v>
      </c>
      <c r="F37" s="149">
        <f t="shared" si="3"/>
        <v>7.2727272727274812</v>
      </c>
      <c r="G37" s="2">
        <v>0</v>
      </c>
      <c r="H37" s="30"/>
      <c r="I37" s="238"/>
      <c r="J37" s="236">
        <v>2.9489999999999998</v>
      </c>
      <c r="K37" s="2">
        <v>262</v>
      </c>
      <c r="L37" s="235">
        <v>45041.333333333336</v>
      </c>
      <c r="R37" s="232"/>
      <c r="S37" s="232"/>
      <c r="T37" s="232"/>
    </row>
    <row r="38" spans="1:20" x14ac:dyDescent="0.3">
      <c r="A38" s="233" t="s">
        <v>218</v>
      </c>
      <c r="B38" s="2" t="s">
        <v>179</v>
      </c>
      <c r="C38" s="2">
        <v>0.2331</v>
      </c>
      <c r="D38" s="2">
        <v>0.23419999999999999</v>
      </c>
      <c r="E38" s="2">
        <f t="shared" si="2"/>
        <v>1.0999999999999899E-3</v>
      </c>
      <c r="F38" s="149" t="s">
        <v>179</v>
      </c>
      <c r="G38" s="2">
        <v>0</v>
      </c>
      <c r="H38" s="30"/>
      <c r="I38" s="238"/>
      <c r="J38" s="236">
        <v>3.0939999999999999</v>
      </c>
      <c r="K38" s="2">
        <v>263</v>
      </c>
      <c r="L38" s="235">
        <v>45041.541666666664</v>
      </c>
      <c r="R38" s="232"/>
      <c r="S38" s="232"/>
      <c r="T38" s="232"/>
    </row>
    <row r="39" spans="1:20" x14ac:dyDescent="0.3">
      <c r="A39" s="233" t="s">
        <v>219</v>
      </c>
      <c r="B39" s="2">
        <v>150</v>
      </c>
      <c r="C39" s="2">
        <v>0.23230000000000001</v>
      </c>
      <c r="D39" s="2">
        <v>0.2331</v>
      </c>
      <c r="E39" s="2">
        <f t="shared" si="2"/>
        <v>7.9999999999999516E-4</v>
      </c>
      <c r="F39" s="149">
        <f t="shared" si="3"/>
        <v>5.3333333333333011</v>
      </c>
      <c r="G39" s="2">
        <v>0</v>
      </c>
      <c r="H39" s="30"/>
      <c r="I39" s="238"/>
      <c r="J39" s="236">
        <v>3.32</v>
      </c>
      <c r="K39" s="2">
        <v>264</v>
      </c>
      <c r="L39" s="235">
        <v>45041.75</v>
      </c>
      <c r="R39" s="232"/>
      <c r="S39" s="232"/>
      <c r="T39" s="232"/>
    </row>
    <row r="40" spans="1:20" x14ac:dyDescent="0.3">
      <c r="A40" s="233" t="s">
        <v>220</v>
      </c>
      <c r="B40" s="2">
        <v>140</v>
      </c>
      <c r="C40" s="2">
        <v>0.23569999999999999</v>
      </c>
      <c r="D40" s="2">
        <v>0.2364</v>
      </c>
      <c r="E40" s="2">
        <f t="shared" si="2"/>
        <v>7.0000000000000617E-4</v>
      </c>
      <c r="F40" s="149">
        <f t="shared" si="3"/>
        <v>5.0000000000000444</v>
      </c>
      <c r="G40" s="2">
        <v>0</v>
      </c>
      <c r="H40" s="30"/>
      <c r="I40" s="238"/>
      <c r="J40" s="236">
        <v>2.996</v>
      </c>
      <c r="K40" s="2">
        <v>265</v>
      </c>
      <c r="L40" s="235">
        <v>45041.958333333336</v>
      </c>
      <c r="R40" s="232"/>
      <c r="S40" s="232"/>
      <c r="T40" s="232"/>
    </row>
    <row r="41" spans="1:20" x14ac:dyDescent="0.3">
      <c r="A41" s="233" t="s">
        <v>221</v>
      </c>
      <c r="B41" s="2">
        <v>150</v>
      </c>
      <c r="C41" s="2">
        <v>0.23880000000000001</v>
      </c>
      <c r="D41" s="2" t="s">
        <v>179</v>
      </c>
      <c r="E41" s="2" t="s">
        <v>179</v>
      </c>
      <c r="F41" s="149" t="s">
        <v>179</v>
      </c>
      <c r="G41" s="2">
        <v>0</v>
      </c>
      <c r="H41" s="30"/>
      <c r="I41" s="238"/>
      <c r="J41" s="236">
        <v>2.8530000000000002</v>
      </c>
      <c r="K41" s="2">
        <v>266</v>
      </c>
      <c r="L41" s="235">
        <v>45042.166666666664</v>
      </c>
      <c r="R41" s="232"/>
      <c r="S41" s="232"/>
      <c r="T41" s="232"/>
    </row>
    <row r="42" spans="1:20" x14ac:dyDescent="0.3">
      <c r="A42" s="233" t="s">
        <v>222</v>
      </c>
      <c r="B42" s="2">
        <v>159</v>
      </c>
      <c r="C42" s="2">
        <v>0.23119999999999999</v>
      </c>
      <c r="D42" s="2">
        <v>0.23469999999999999</v>
      </c>
      <c r="E42" s="2">
        <f t="shared" si="2"/>
        <v>3.5000000000000031E-3</v>
      </c>
      <c r="F42" s="149">
        <f t="shared" si="3"/>
        <v>22.012578616352222</v>
      </c>
      <c r="G42" s="2">
        <v>0</v>
      </c>
      <c r="H42" s="30"/>
      <c r="I42" s="238"/>
      <c r="J42" s="236">
        <v>3.2490000000000001</v>
      </c>
      <c r="K42" s="2">
        <v>267</v>
      </c>
      <c r="L42" s="235">
        <v>45042.583333333336</v>
      </c>
      <c r="R42" s="232"/>
      <c r="S42" s="232"/>
      <c r="T42" s="232"/>
    </row>
    <row r="43" spans="1:20" x14ac:dyDescent="0.3">
      <c r="A43" s="233" t="s">
        <v>223</v>
      </c>
      <c r="B43" s="2">
        <v>140</v>
      </c>
      <c r="C43" s="2">
        <v>0.2361</v>
      </c>
      <c r="D43" s="2">
        <v>0.23780000000000001</v>
      </c>
      <c r="E43" s="2">
        <f t="shared" si="2"/>
        <v>1.7000000000000071E-3</v>
      </c>
      <c r="F43" s="149">
        <f t="shared" si="3"/>
        <v>12.142857142857194</v>
      </c>
      <c r="G43" s="2">
        <v>0</v>
      </c>
      <c r="H43" s="30"/>
      <c r="I43" s="238"/>
      <c r="J43" s="236">
        <v>3.1539999999999999</v>
      </c>
      <c r="K43" s="2">
        <v>268</v>
      </c>
      <c r="L43" s="235">
        <v>45042.791666666664</v>
      </c>
      <c r="R43" s="232"/>
      <c r="S43" s="232"/>
      <c r="T43" s="232"/>
    </row>
    <row r="44" spans="1:20" x14ac:dyDescent="0.3">
      <c r="A44" s="233" t="s">
        <v>224</v>
      </c>
      <c r="B44" s="2">
        <v>150</v>
      </c>
      <c r="C44" s="2">
        <v>0.22950000000000001</v>
      </c>
      <c r="D44" s="2">
        <v>0.2311</v>
      </c>
      <c r="E44" s="2">
        <f t="shared" si="2"/>
        <v>1.5999999999999903E-3</v>
      </c>
      <c r="F44" s="149">
        <f t="shared" si="3"/>
        <v>10.666666666666602</v>
      </c>
      <c r="G44" s="2">
        <v>0</v>
      </c>
      <c r="H44" s="30"/>
      <c r="I44" s="238"/>
      <c r="J44" s="236">
        <v>3.069</v>
      </c>
      <c r="K44" s="2">
        <v>292</v>
      </c>
      <c r="L44" s="235">
        <v>45043</v>
      </c>
      <c r="R44" s="232"/>
      <c r="S44" s="232"/>
      <c r="T44" s="232"/>
    </row>
    <row r="45" spans="1:20" x14ac:dyDescent="0.3">
      <c r="A45" s="233" t="s">
        <v>225</v>
      </c>
      <c r="B45" s="2">
        <v>170</v>
      </c>
      <c r="C45" s="2">
        <v>0.23169999999999999</v>
      </c>
      <c r="D45" s="2">
        <v>0.2326</v>
      </c>
      <c r="E45" s="2">
        <f t="shared" si="2"/>
        <v>9.000000000000119E-4</v>
      </c>
      <c r="F45" s="149">
        <f t="shared" si="3"/>
        <v>5.2941176470588935</v>
      </c>
      <c r="G45" s="2">
        <v>0</v>
      </c>
      <c r="H45" s="30"/>
      <c r="I45" s="238"/>
      <c r="J45" s="236">
        <v>2.8119999999999998</v>
      </c>
      <c r="K45" s="2">
        <v>293</v>
      </c>
      <c r="L45" s="235">
        <v>45043.208333333336</v>
      </c>
      <c r="R45" s="232"/>
      <c r="S45" s="232"/>
      <c r="T45" s="232"/>
    </row>
    <row r="46" spans="1:20" x14ac:dyDescent="0.3">
      <c r="A46" s="233" t="s">
        <v>226</v>
      </c>
      <c r="B46" s="2">
        <v>170</v>
      </c>
      <c r="C46" s="2">
        <v>0.2336</v>
      </c>
      <c r="D46" s="2">
        <v>0.23430000000000001</v>
      </c>
      <c r="E46" s="2">
        <f t="shared" si="2"/>
        <v>7.0000000000000617E-4</v>
      </c>
      <c r="F46" s="149">
        <f t="shared" si="3"/>
        <v>4.1176470588235654</v>
      </c>
      <c r="G46" s="2">
        <v>0</v>
      </c>
      <c r="H46" s="30"/>
      <c r="I46" s="238"/>
      <c r="J46" s="236">
        <v>2.774</v>
      </c>
      <c r="K46" s="2">
        <v>294</v>
      </c>
      <c r="L46" s="235">
        <v>45043.416666666664</v>
      </c>
      <c r="R46" s="232"/>
      <c r="S46" s="232"/>
      <c r="T46" s="232"/>
    </row>
    <row r="47" spans="1:20" x14ac:dyDescent="0.3">
      <c r="A47" s="233" t="s">
        <v>227</v>
      </c>
      <c r="B47" s="2">
        <v>160</v>
      </c>
      <c r="C47" s="2">
        <v>0.23549999999999999</v>
      </c>
      <c r="D47" s="2">
        <v>0.23680000000000001</v>
      </c>
      <c r="E47" s="2">
        <f t="shared" si="2"/>
        <v>1.3000000000000234E-3</v>
      </c>
      <c r="F47" s="149">
        <f t="shared" si="3"/>
        <v>8.1250000000001457</v>
      </c>
      <c r="G47" s="2">
        <v>0</v>
      </c>
      <c r="H47" s="30"/>
      <c r="I47" s="238"/>
      <c r="J47" s="236">
        <v>3.0510000000000002</v>
      </c>
      <c r="K47" s="2">
        <v>295</v>
      </c>
      <c r="L47" s="235">
        <v>45043.625</v>
      </c>
      <c r="R47" s="232"/>
      <c r="S47" s="232"/>
      <c r="T47" s="232"/>
    </row>
    <row r="48" spans="1:20" x14ac:dyDescent="0.3">
      <c r="A48" s="233" t="s">
        <v>228</v>
      </c>
      <c r="B48" s="2">
        <v>160</v>
      </c>
      <c r="C48" s="2">
        <v>0.2319</v>
      </c>
      <c r="D48" s="2">
        <v>0.23300000000000001</v>
      </c>
      <c r="E48" s="2">
        <f t="shared" si="2"/>
        <v>1.1000000000000176E-3</v>
      </c>
      <c r="F48" s="149">
        <f t="shared" si="3"/>
        <v>6.8750000000001101</v>
      </c>
      <c r="G48" s="2">
        <v>0</v>
      </c>
      <c r="H48" s="30"/>
      <c r="I48" s="238"/>
      <c r="J48" s="236">
        <v>3.2709999999999999</v>
      </c>
      <c r="K48" s="2">
        <v>296</v>
      </c>
      <c r="L48" s="235">
        <v>45043.833333333336</v>
      </c>
      <c r="R48" s="232"/>
      <c r="S48" s="232"/>
      <c r="T48" s="232"/>
    </row>
    <row r="49" spans="1:20" x14ac:dyDescent="0.3">
      <c r="A49" s="233" t="s">
        <v>229</v>
      </c>
      <c r="B49" s="2">
        <v>145</v>
      </c>
      <c r="C49" s="2">
        <v>0.23230000000000001</v>
      </c>
      <c r="D49" s="2">
        <v>0.23300000000000001</v>
      </c>
      <c r="E49" s="2">
        <f t="shared" si="2"/>
        <v>7.0000000000000617E-4</v>
      </c>
      <c r="F49" s="149">
        <f t="shared" si="3"/>
        <v>4.8275862068965933</v>
      </c>
      <c r="G49" s="2">
        <v>0</v>
      </c>
      <c r="H49" s="30"/>
      <c r="I49" s="238"/>
      <c r="J49" s="236">
        <v>3.2989999999999999</v>
      </c>
      <c r="K49" s="2">
        <v>297</v>
      </c>
      <c r="L49" s="235">
        <v>45044.041666666664</v>
      </c>
      <c r="R49" s="232"/>
      <c r="S49" s="232"/>
      <c r="T49" s="232"/>
    </row>
    <row r="50" spans="1:20" x14ac:dyDescent="0.3">
      <c r="A50" s="233" t="s">
        <v>230</v>
      </c>
      <c r="B50" s="2">
        <v>170</v>
      </c>
      <c r="C50" s="2">
        <v>0.2339</v>
      </c>
      <c r="D50" s="2">
        <v>0.23430000000000001</v>
      </c>
      <c r="E50" s="2">
        <f t="shared" si="2"/>
        <v>4.0000000000001146E-4</v>
      </c>
      <c r="F50" s="149">
        <f t="shared" si="3"/>
        <v>2.3529411764706558</v>
      </c>
      <c r="G50" s="2">
        <v>0</v>
      </c>
      <c r="H50" s="30"/>
      <c r="I50" s="238"/>
      <c r="J50" s="236">
        <v>2.8559999999999999</v>
      </c>
      <c r="K50" s="2">
        <v>298</v>
      </c>
      <c r="L50" s="235">
        <v>45044.25</v>
      </c>
      <c r="R50" s="232"/>
      <c r="S50" s="232"/>
      <c r="T50" s="232"/>
    </row>
    <row r="51" spans="1:20" x14ac:dyDescent="0.3">
      <c r="A51" s="233" t="s">
        <v>231</v>
      </c>
      <c r="B51" s="2">
        <v>150</v>
      </c>
      <c r="C51" s="2">
        <v>0.23330000000000001</v>
      </c>
      <c r="D51" s="2">
        <v>0.2341</v>
      </c>
      <c r="E51" s="2">
        <f t="shared" si="2"/>
        <v>7.9999999999999516E-4</v>
      </c>
      <c r="F51" s="149">
        <f t="shared" si="3"/>
        <v>5.3333333333333011</v>
      </c>
      <c r="G51" s="2">
        <v>0</v>
      </c>
      <c r="H51" s="30"/>
      <c r="I51" s="238"/>
      <c r="J51" s="236">
        <v>2.7429999999999999</v>
      </c>
      <c r="K51" s="2">
        <v>299</v>
      </c>
      <c r="L51" s="235">
        <v>45044.458333333336</v>
      </c>
      <c r="R51" s="232"/>
      <c r="S51" s="232"/>
      <c r="T51" s="232"/>
    </row>
    <row r="52" spans="1:20" x14ac:dyDescent="0.3">
      <c r="A52" s="233" t="s">
        <v>232</v>
      </c>
      <c r="B52" s="2">
        <v>170</v>
      </c>
      <c r="C52" s="2">
        <v>0.23350000000000001</v>
      </c>
      <c r="D52" s="2">
        <v>0.2344</v>
      </c>
      <c r="E52" s="2">
        <f t="shared" si="2"/>
        <v>8.9999999999998415E-4</v>
      </c>
      <c r="F52" s="149">
        <f t="shared" si="3"/>
        <v>5.2941176470587292</v>
      </c>
      <c r="G52" s="2">
        <v>0</v>
      </c>
      <c r="H52" s="30"/>
      <c r="I52" s="238"/>
      <c r="J52" s="236">
        <v>2.7890000000000001</v>
      </c>
      <c r="K52" s="2">
        <v>300</v>
      </c>
      <c r="L52" s="235">
        <v>45044.666666666664</v>
      </c>
      <c r="R52" s="232"/>
      <c r="S52" s="232"/>
      <c r="T52" s="232"/>
    </row>
    <row r="53" spans="1:20" x14ac:dyDescent="0.3">
      <c r="A53" s="233" t="s">
        <v>233</v>
      </c>
      <c r="B53" s="2">
        <v>155</v>
      </c>
      <c r="C53" s="2">
        <v>0.2349</v>
      </c>
      <c r="D53" s="2">
        <v>0.2354</v>
      </c>
      <c r="E53" s="2">
        <f t="shared" si="2"/>
        <v>5.0000000000000044E-4</v>
      </c>
      <c r="F53" s="149">
        <f t="shared" si="3"/>
        <v>3.2258064516129061</v>
      </c>
      <c r="G53" s="2">
        <v>0</v>
      </c>
      <c r="H53" s="30"/>
      <c r="I53" s="238"/>
      <c r="J53" s="236">
        <v>2.8090000000000002</v>
      </c>
      <c r="K53" s="2">
        <v>301</v>
      </c>
      <c r="L53" s="235">
        <v>45044.875</v>
      </c>
      <c r="R53" s="232"/>
      <c r="S53" s="232"/>
      <c r="T53" s="232"/>
    </row>
    <row r="54" spans="1:20" x14ac:dyDescent="0.3">
      <c r="A54" s="233" t="s">
        <v>234</v>
      </c>
      <c r="B54" s="2">
        <v>160</v>
      </c>
      <c r="C54" s="2">
        <v>0.23569999999999999</v>
      </c>
      <c r="D54" s="2">
        <v>0.23569999999999999</v>
      </c>
      <c r="E54" s="2">
        <f t="shared" si="2"/>
        <v>0</v>
      </c>
      <c r="F54" s="149">
        <f t="shared" si="3"/>
        <v>0</v>
      </c>
      <c r="G54" s="2">
        <v>0</v>
      </c>
      <c r="H54" s="30"/>
      <c r="I54" s="238"/>
      <c r="J54" s="236">
        <v>2.6989999999999998</v>
      </c>
      <c r="K54" s="2">
        <v>315</v>
      </c>
      <c r="L54" s="235">
        <v>45045.083333333336</v>
      </c>
      <c r="R54" s="232"/>
      <c r="S54" s="232"/>
      <c r="T54" s="232"/>
    </row>
    <row r="55" spans="1:20" x14ac:dyDescent="0.3">
      <c r="A55" s="233" t="s">
        <v>235</v>
      </c>
      <c r="B55" s="2">
        <v>150</v>
      </c>
      <c r="C55" s="2">
        <v>0.23780000000000001</v>
      </c>
      <c r="D55" s="2">
        <v>0.23830000000000001</v>
      </c>
      <c r="E55" s="2">
        <f t="shared" si="2"/>
        <v>5.0000000000000044E-4</v>
      </c>
      <c r="F55" s="149">
        <f t="shared" si="3"/>
        <v>3.3333333333333361</v>
      </c>
      <c r="G55" s="2">
        <v>0</v>
      </c>
      <c r="H55" s="30"/>
      <c r="I55" s="238"/>
      <c r="J55" s="236">
        <v>2.8239999999999998</v>
      </c>
      <c r="K55" s="2">
        <v>316</v>
      </c>
      <c r="L55" s="235">
        <v>45045.291666666664</v>
      </c>
      <c r="R55" s="232"/>
      <c r="S55" s="232"/>
      <c r="T55" s="232"/>
    </row>
    <row r="56" spans="1:20" x14ac:dyDescent="0.3">
      <c r="A56" s="233" t="s">
        <v>236</v>
      </c>
      <c r="B56" s="2">
        <v>150</v>
      </c>
      <c r="C56" s="2">
        <v>0.2339</v>
      </c>
      <c r="D56" s="2">
        <v>0.23469999999999999</v>
      </c>
      <c r="E56" s="2">
        <f t="shared" si="2"/>
        <v>7.9999999999999516E-4</v>
      </c>
      <c r="F56" s="149">
        <f t="shared" si="3"/>
        <v>5.3333333333333011</v>
      </c>
      <c r="G56" s="2">
        <v>0</v>
      </c>
      <c r="H56" s="30"/>
      <c r="I56" s="238"/>
      <c r="J56" s="236">
        <v>2.6429999999999998</v>
      </c>
      <c r="K56" s="2">
        <v>317</v>
      </c>
      <c r="L56" s="235">
        <v>45045.5</v>
      </c>
      <c r="R56" s="232"/>
      <c r="S56" s="232"/>
      <c r="T56" s="232"/>
    </row>
    <row r="57" spans="1:20" x14ac:dyDescent="0.3">
      <c r="A57" s="233" t="s">
        <v>237</v>
      </c>
      <c r="B57" s="2">
        <v>150</v>
      </c>
      <c r="C57" s="2">
        <v>0.23230000000000001</v>
      </c>
      <c r="D57" s="2">
        <v>0.23419999999999999</v>
      </c>
      <c r="E57" s="2">
        <f t="shared" si="2"/>
        <v>1.899999999999985E-3</v>
      </c>
      <c r="F57" s="149">
        <f t="shared" si="3"/>
        <v>12.666666666666567</v>
      </c>
      <c r="G57" s="2">
        <v>0</v>
      </c>
      <c r="H57" s="30"/>
      <c r="I57" s="238"/>
      <c r="J57" s="222">
        <v>2.9510000000000001</v>
      </c>
      <c r="K57" s="239">
        <v>318</v>
      </c>
      <c r="L57" s="235">
        <v>45045.708333333336</v>
      </c>
      <c r="R57" s="232"/>
      <c r="S57" s="232"/>
      <c r="T57" s="232"/>
    </row>
    <row r="58" spans="1:20" x14ac:dyDescent="0.3">
      <c r="A58" s="233" t="s">
        <v>238</v>
      </c>
      <c r="B58" s="2">
        <v>150</v>
      </c>
      <c r="C58" s="2">
        <v>0.23669999999999999</v>
      </c>
      <c r="D58" s="2">
        <v>0.23830000000000001</v>
      </c>
      <c r="E58" s="2">
        <f t="shared" si="2"/>
        <v>1.6000000000000181E-3</v>
      </c>
      <c r="F58" s="149">
        <f t="shared" si="3"/>
        <v>10.666666666666787</v>
      </c>
      <c r="G58" s="2">
        <v>0</v>
      </c>
      <c r="H58" s="30"/>
      <c r="I58" s="238"/>
      <c r="J58" s="236">
        <v>3.1309999999999998</v>
      </c>
      <c r="K58" s="2">
        <v>319</v>
      </c>
      <c r="L58" s="235">
        <v>45045.916666666664</v>
      </c>
      <c r="R58" s="232"/>
      <c r="S58" s="232"/>
      <c r="T58" s="232"/>
    </row>
    <row r="59" spans="1:20" x14ac:dyDescent="0.3">
      <c r="A59" s="233" t="s">
        <v>239</v>
      </c>
      <c r="B59" s="2">
        <v>140</v>
      </c>
      <c r="C59" s="2">
        <v>0.23100000000000001</v>
      </c>
      <c r="D59" s="2">
        <v>0.2321</v>
      </c>
      <c r="E59" s="2">
        <f t="shared" si="2"/>
        <v>1.0999999999999899E-3</v>
      </c>
      <c r="F59" s="149">
        <f t="shared" si="3"/>
        <v>7.8571428571427848</v>
      </c>
      <c r="G59" s="2">
        <v>0</v>
      </c>
      <c r="H59" s="30"/>
      <c r="I59" s="238"/>
      <c r="J59" s="236">
        <v>2.8330000000000002</v>
      </c>
      <c r="K59" s="2">
        <v>320</v>
      </c>
      <c r="L59" s="235">
        <v>45046.125</v>
      </c>
      <c r="R59" s="232"/>
      <c r="S59" s="232"/>
      <c r="T59" s="232"/>
    </row>
    <row r="60" spans="1:20" x14ac:dyDescent="0.3">
      <c r="A60" s="233" t="s">
        <v>240</v>
      </c>
      <c r="B60" s="2">
        <v>150</v>
      </c>
      <c r="C60" s="2">
        <v>0.2351</v>
      </c>
      <c r="D60" s="2">
        <v>0.2364</v>
      </c>
      <c r="E60" s="2">
        <f t="shared" si="2"/>
        <v>1.2999999999999956E-3</v>
      </c>
      <c r="F60" s="149">
        <f t="shared" si="3"/>
        <v>8.6666666666666377</v>
      </c>
      <c r="G60" s="2">
        <v>0</v>
      </c>
      <c r="H60" s="30"/>
      <c r="I60" s="238"/>
      <c r="J60" s="236">
        <v>2.7509999999999999</v>
      </c>
      <c r="K60" s="2">
        <v>321</v>
      </c>
      <c r="L60" s="235">
        <v>45046.333333333336</v>
      </c>
      <c r="R60" s="232"/>
      <c r="S60" s="232"/>
      <c r="T60" s="232"/>
    </row>
    <row r="61" spans="1:20" x14ac:dyDescent="0.3">
      <c r="A61" s="233" t="s">
        <v>241</v>
      </c>
      <c r="B61" s="2">
        <v>160</v>
      </c>
      <c r="C61" s="2">
        <v>0.2311</v>
      </c>
      <c r="D61" s="2">
        <v>0.2326</v>
      </c>
      <c r="E61" s="2">
        <f t="shared" si="2"/>
        <v>1.5000000000000013E-3</v>
      </c>
      <c r="F61" s="149">
        <f t="shared" si="3"/>
        <v>9.3750000000000089</v>
      </c>
      <c r="G61" s="2">
        <v>0</v>
      </c>
      <c r="H61" s="30"/>
      <c r="I61" s="238"/>
      <c r="J61" s="236">
        <v>2.8889999999999998</v>
      </c>
      <c r="K61" s="2">
        <v>322</v>
      </c>
      <c r="L61" s="235">
        <v>45046.541666666664</v>
      </c>
      <c r="R61" s="232"/>
      <c r="S61" s="232"/>
      <c r="T61" s="232"/>
    </row>
    <row r="62" spans="1:20" x14ac:dyDescent="0.3">
      <c r="A62" s="233" t="s">
        <v>242</v>
      </c>
      <c r="B62" s="2">
        <v>150</v>
      </c>
      <c r="C62" s="2">
        <v>0.2293</v>
      </c>
      <c r="D62" s="2">
        <v>0.2356</v>
      </c>
      <c r="E62" s="2">
        <f t="shared" si="2"/>
        <v>6.3E-3</v>
      </c>
      <c r="F62" s="149">
        <f t="shared" si="3"/>
        <v>41.999999999999993</v>
      </c>
      <c r="G62" s="2">
        <v>63.56</v>
      </c>
      <c r="H62" s="30"/>
      <c r="I62" s="238"/>
      <c r="J62" s="236">
        <v>3.7759999999999998</v>
      </c>
      <c r="K62" s="2">
        <v>323</v>
      </c>
      <c r="L62" s="235">
        <v>45046.75</v>
      </c>
      <c r="R62" s="232"/>
      <c r="S62" s="232"/>
      <c r="T62" s="232"/>
    </row>
    <row r="63" spans="1:20" x14ac:dyDescent="0.3">
      <c r="A63" s="233" t="s">
        <v>243</v>
      </c>
      <c r="B63" s="2">
        <v>155</v>
      </c>
      <c r="C63" s="2">
        <v>0.2301</v>
      </c>
      <c r="D63" s="2">
        <v>0.23280000000000001</v>
      </c>
      <c r="E63" s="2">
        <f t="shared" si="2"/>
        <v>2.7000000000000079E-3</v>
      </c>
      <c r="F63" s="149">
        <f t="shared" si="3"/>
        <v>17.419354838709729</v>
      </c>
      <c r="G63" s="2">
        <v>85.89</v>
      </c>
      <c r="H63" s="30"/>
      <c r="I63" s="238"/>
      <c r="J63" s="236">
        <v>3.4470000000000001</v>
      </c>
      <c r="K63" s="2">
        <v>324</v>
      </c>
      <c r="L63" s="235">
        <v>45046.958333333336</v>
      </c>
      <c r="R63" s="232"/>
      <c r="S63" s="232"/>
      <c r="T63" s="232"/>
    </row>
    <row r="64" spans="1:20" x14ac:dyDescent="0.3">
      <c r="A64" s="233" t="s">
        <v>244</v>
      </c>
      <c r="B64" s="2">
        <v>150</v>
      </c>
      <c r="C64" s="2">
        <v>0.2205</v>
      </c>
      <c r="D64" s="2">
        <v>0.2215</v>
      </c>
      <c r="E64" s="2">
        <f t="shared" si="2"/>
        <v>1.0000000000000009E-3</v>
      </c>
      <c r="F64" s="149">
        <f t="shared" si="3"/>
        <v>6.6666666666666723</v>
      </c>
      <c r="G64" s="2">
        <v>0</v>
      </c>
      <c r="H64" s="30"/>
      <c r="I64" s="238"/>
      <c r="J64" s="236">
        <v>3.1629999999999998</v>
      </c>
      <c r="K64" s="2">
        <v>325</v>
      </c>
      <c r="L64" s="235">
        <v>45047.166666666664</v>
      </c>
      <c r="R64" s="232"/>
      <c r="S64" s="232"/>
      <c r="T64" s="232"/>
    </row>
    <row r="65" spans="1:20" x14ac:dyDescent="0.3">
      <c r="A65" s="233" t="s">
        <v>245</v>
      </c>
      <c r="B65" s="2">
        <v>160</v>
      </c>
      <c r="C65" s="2">
        <v>0.2316</v>
      </c>
      <c r="D65" s="2">
        <v>0.23200000000000001</v>
      </c>
      <c r="E65" s="2">
        <f t="shared" si="2"/>
        <v>4.0000000000001146E-4</v>
      </c>
      <c r="F65" s="149">
        <f t="shared" si="3"/>
        <v>2.5000000000000715</v>
      </c>
      <c r="G65" s="2">
        <v>0</v>
      </c>
      <c r="H65" s="30"/>
      <c r="I65" s="238"/>
      <c r="J65" s="236">
        <v>2.9590000000000001</v>
      </c>
      <c r="K65" s="2">
        <v>326</v>
      </c>
      <c r="L65" s="235">
        <v>45047.375</v>
      </c>
      <c r="R65" s="232"/>
      <c r="S65" s="232"/>
      <c r="T65" s="232"/>
    </row>
    <row r="66" spans="1:20" x14ac:dyDescent="0.3">
      <c r="A66" s="233" t="s">
        <v>246</v>
      </c>
      <c r="B66" s="2">
        <v>150</v>
      </c>
      <c r="C66" s="2">
        <v>0.23319999999999999</v>
      </c>
      <c r="D66" s="2">
        <v>0.2341</v>
      </c>
      <c r="E66" s="2">
        <f t="shared" si="2"/>
        <v>9.000000000000119E-4</v>
      </c>
      <c r="F66" s="149">
        <f t="shared" si="3"/>
        <v>6.000000000000079</v>
      </c>
      <c r="G66" s="2">
        <v>50.13</v>
      </c>
      <c r="H66" s="30"/>
      <c r="I66" s="238"/>
      <c r="J66" s="236">
        <v>3.1480000000000001</v>
      </c>
      <c r="K66" s="2">
        <v>327</v>
      </c>
      <c r="L66" s="235">
        <v>45047.583333333336</v>
      </c>
      <c r="R66" s="232"/>
      <c r="S66" s="232"/>
      <c r="T66" s="232"/>
    </row>
    <row r="67" spans="1:20" x14ac:dyDescent="0.3">
      <c r="A67" s="2" t="s">
        <v>247</v>
      </c>
      <c r="B67" s="2">
        <v>140</v>
      </c>
      <c r="C67" s="2">
        <v>0.23400000000000001</v>
      </c>
      <c r="D67" s="2">
        <v>0.23710000000000001</v>
      </c>
      <c r="E67" s="2">
        <f t="shared" si="2"/>
        <v>3.0999999999999917E-3</v>
      </c>
      <c r="F67" s="149">
        <f t="shared" si="3"/>
        <v>22.142857142857082</v>
      </c>
      <c r="G67" s="14">
        <v>44.99</v>
      </c>
      <c r="H67" s="30">
        <v>1.1708204506E-2</v>
      </c>
      <c r="I67" s="238">
        <f t="shared" ref="I67:I76" si="4">H67/(B67/1000)</f>
        <v>8.3630032185714284E-2</v>
      </c>
      <c r="J67" s="236">
        <v>3.5409999999999999</v>
      </c>
      <c r="K67" s="2">
        <v>343</v>
      </c>
      <c r="L67" s="235">
        <v>45047.833333333336</v>
      </c>
      <c r="R67" s="232"/>
      <c r="S67" s="232"/>
      <c r="T67" s="232"/>
    </row>
    <row r="68" spans="1:20" x14ac:dyDescent="0.3">
      <c r="A68" s="2" t="s">
        <v>248</v>
      </c>
      <c r="B68" s="2">
        <v>150</v>
      </c>
      <c r="C68" s="2">
        <v>0.23649999999999999</v>
      </c>
      <c r="D68" s="2">
        <v>0.23799999999999999</v>
      </c>
      <c r="E68" s="2">
        <f t="shared" si="2"/>
        <v>1.5000000000000013E-3</v>
      </c>
      <c r="F68" s="149">
        <f t="shared" si="3"/>
        <v>10.000000000000009</v>
      </c>
      <c r="G68" s="2">
        <v>35.729999999999997</v>
      </c>
      <c r="H68" s="31"/>
      <c r="I68" s="238"/>
      <c r="J68" s="236">
        <v>3.0760000000000001</v>
      </c>
      <c r="K68" s="2">
        <v>344</v>
      </c>
      <c r="L68" s="235">
        <v>45048.125</v>
      </c>
      <c r="R68" s="232"/>
      <c r="S68" s="232"/>
      <c r="T68" s="232"/>
    </row>
    <row r="69" spans="1:20" x14ac:dyDescent="0.3">
      <c r="A69" s="2" t="s">
        <v>249</v>
      </c>
      <c r="B69" s="2">
        <v>140</v>
      </c>
      <c r="C69" s="2">
        <v>0.23080000000000001</v>
      </c>
      <c r="D69" s="2">
        <v>0.23169999999999999</v>
      </c>
      <c r="E69" s="2">
        <f t="shared" si="2"/>
        <v>8.9999999999998415E-4</v>
      </c>
      <c r="F69" s="149">
        <f t="shared" si="3"/>
        <v>6.4285714285713151</v>
      </c>
      <c r="G69" s="2">
        <v>31.62</v>
      </c>
      <c r="H69" s="31"/>
      <c r="I69" s="238"/>
      <c r="J69" s="236">
        <v>2.8559999999999999</v>
      </c>
      <c r="K69" s="2">
        <v>345</v>
      </c>
      <c r="L69" s="235">
        <v>45048.416666666664</v>
      </c>
      <c r="R69" s="232"/>
      <c r="S69" s="232"/>
      <c r="T69" s="232"/>
    </row>
    <row r="70" spans="1:20" x14ac:dyDescent="0.3">
      <c r="A70" s="2" t="s">
        <v>250</v>
      </c>
      <c r="B70" s="2">
        <v>150</v>
      </c>
      <c r="C70" s="2">
        <v>0.23319999999999999</v>
      </c>
      <c r="D70" s="2">
        <v>0.2359</v>
      </c>
      <c r="E70" s="2">
        <f t="shared" si="2"/>
        <v>2.7000000000000079E-3</v>
      </c>
      <c r="F70" s="149">
        <f t="shared" si="3"/>
        <v>18.000000000000053</v>
      </c>
      <c r="G70" s="2">
        <v>25.42</v>
      </c>
      <c r="H70" s="31"/>
      <c r="I70" s="238"/>
      <c r="J70" s="236">
        <v>2.9209999999999998</v>
      </c>
      <c r="K70" s="2">
        <v>346</v>
      </c>
      <c r="L70" s="235">
        <v>45048.708333333336</v>
      </c>
      <c r="R70" s="232"/>
      <c r="S70" s="232"/>
      <c r="T70" s="232"/>
    </row>
    <row r="71" spans="1:20" x14ac:dyDescent="0.3">
      <c r="A71" s="2" t="s">
        <v>251</v>
      </c>
      <c r="B71" s="2">
        <v>150</v>
      </c>
      <c r="C71" s="2">
        <v>0.22939999999999999</v>
      </c>
      <c r="D71" s="2">
        <v>0.23080000000000001</v>
      </c>
      <c r="E71" s="2">
        <f t="shared" si="2"/>
        <v>1.4000000000000123E-3</v>
      </c>
      <c r="F71" s="149">
        <f t="shared" si="3"/>
        <v>9.3333333333334156</v>
      </c>
      <c r="G71" s="2">
        <v>0</v>
      </c>
      <c r="H71" s="31"/>
      <c r="I71" s="238"/>
      <c r="J71" s="236">
        <v>3.0609999999999999</v>
      </c>
      <c r="K71" s="2">
        <v>347</v>
      </c>
      <c r="L71" s="235">
        <v>45049</v>
      </c>
      <c r="R71" s="232"/>
      <c r="S71" s="232"/>
      <c r="T71" s="232"/>
    </row>
    <row r="72" spans="1:20" x14ac:dyDescent="0.3">
      <c r="A72" s="2" t="s">
        <v>252</v>
      </c>
      <c r="B72" s="2">
        <v>140</v>
      </c>
      <c r="C72" s="2">
        <v>0.2346</v>
      </c>
      <c r="D72" s="2">
        <v>0.2354</v>
      </c>
      <c r="E72" s="2">
        <f t="shared" si="2"/>
        <v>7.9999999999999516E-4</v>
      </c>
      <c r="F72" s="149">
        <f t="shared" si="3"/>
        <v>5.7142857142856798</v>
      </c>
      <c r="G72" s="2">
        <v>0</v>
      </c>
      <c r="H72" s="31"/>
      <c r="I72" s="238"/>
      <c r="J72" s="236">
        <v>2.823</v>
      </c>
      <c r="K72" s="2">
        <v>348</v>
      </c>
      <c r="L72" s="235">
        <v>45049.291666666664</v>
      </c>
      <c r="R72" s="232"/>
      <c r="S72" s="232"/>
      <c r="T72" s="232"/>
    </row>
    <row r="73" spans="1:20" x14ac:dyDescent="0.3">
      <c r="A73" s="2" t="s">
        <v>253</v>
      </c>
      <c r="B73" s="2">
        <v>140</v>
      </c>
      <c r="C73" s="2">
        <v>0.22889999999999999</v>
      </c>
      <c r="D73" s="2">
        <v>0.2293</v>
      </c>
      <c r="E73" s="2">
        <f t="shared" si="2"/>
        <v>4.0000000000001146E-4</v>
      </c>
      <c r="F73" s="149">
        <f t="shared" si="3"/>
        <v>2.8571428571429389</v>
      </c>
      <c r="G73" s="2">
        <v>0</v>
      </c>
      <c r="H73" s="31"/>
      <c r="I73" s="238"/>
      <c r="J73" s="236">
        <v>2.923</v>
      </c>
      <c r="K73" s="2">
        <v>349</v>
      </c>
      <c r="L73" s="235">
        <v>45049.583333333336</v>
      </c>
      <c r="R73" s="232"/>
      <c r="S73" s="232"/>
      <c r="T73" s="232"/>
    </row>
    <row r="74" spans="1:20" x14ac:dyDescent="0.3">
      <c r="A74" s="2" t="s">
        <v>254</v>
      </c>
      <c r="B74" s="2">
        <v>150</v>
      </c>
      <c r="C74" s="2">
        <v>0.23580000000000001</v>
      </c>
      <c r="D74" s="2">
        <v>0.2389</v>
      </c>
      <c r="E74" s="2">
        <f t="shared" si="2"/>
        <v>3.0999999999999917E-3</v>
      </c>
      <c r="F74" s="149">
        <f t="shared" si="3"/>
        <v>20.666666666666611</v>
      </c>
      <c r="G74" s="2">
        <v>68.760000000000005</v>
      </c>
      <c r="H74" s="30">
        <v>1.7282514145E-2</v>
      </c>
      <c r="I74" s="238">
        <f t="shared" si="4"/>
        <v>0.11521676096666668</v>
      </c>
      <c r="J74" s="236">
        <v>3.5110000000000001</v>
      </c>
      <c r="K74" s="2">
        <v>350</v>
      </c>
      <c r="L74" s="235">
        <v>45049.833333333336</v>
      </c>
      <c r="R74" s="232"/>
      <c r="S74" s="232"/>
      <c r="T74" s="232"/>
    </row>
    <row r="75" spans="1:20" x14ac:dyDescent="0.3">
      <c r="A75" s="2"/>
      <c r="B75" s="2" t="s">
        <v>179</v>
      </c>
      <c r="C75" s="2" t="s">
        <v>179</v>
      </c>
      <c r="D75" s="2" t="s">
        <v>179</v>
      </c>
      <c r="E75" s="2" t="s">
        <v>179</v>
      </c>
      <c r="F75" s="149" t="s">
        <v>179</v>
      </c>
      <c r="G75" s="2">
        <v>0</v>
      </c>
      <c r="H75" s="31"/>
      <c r="I75" s="238"/>
      <c r="J75" s="236" t="s">
        <v>179</v>
      </c>
      <c r="K75" s="2" t="s">
        <v>179</v>
      </c>
      <c r="L75" s="235">
        <v>45049.958333333336</v>
      </c>
      <c r="R75" s="232"/>
      <c r="S75" s="232"/>
      <c r="T75" s="232"/>
    </row>
    <row r="76" spans="1:20" x14ac:dyDescent="0.3">
      <c r="A76" s="2" t="s">
        <v>255</v>
      </c>
      <c r="B76" s="2">
        <v>160</v>
      </c>
      <c r="C76" s="2">
        <v>0.2319</v>
      </c>
      <c r="D76" s="2">
        <v>0.23380000000000001</v>
      </c>
      <c r="E76" s="2">
        <f t="shared" si="2"/>
        <v>1.9000000000000128E-3</v>
      </c>
      <c r="F76" s="149">
        <f t="shared" si="3"/>
        <v>11.87500000000008</v>
      </c>
      <c r="G76" s="2">
        <v>50.92</v>
      </c>
      <c r="H76" s="30">
        <v>1.30381562765E-2</v>
      </c>
      <c r="I76" s="238">
        <f t="shared" si="4"/>
        <v>8.1488476728124995E-2</v>
      </c>
      <c r="J76" s="236">
        <v>3.1459999999999999</v>
      </c>
      <c r="K76" s="2">
        <v>351</v>
      </c>
      <c r="L76" s="235">
        <v>45050.083333333336</v>
      </c>
      <c r="R76" s="232"/>
      <c r="S76" s="232"/>
      <c r="T76" s="232"/>
    </row>
    <row r="77" spans="1:20" x14ac:dyDescent="0.3">
      <c r="A77" s="2"/>
      <c r="B77" s="2" t="s">
        <v>179</v>
      </c>
      <c r="C77" s="2" t="s">
        <v>179</v>
      </c>
      <c r="D77" s="2" t="s">
        <v>179</v>
      </c>
      <c r="E77" s="2" t="s">
        <v>179</v>
      </c>
      <c r="F77" s="149" t="s">
        <v>179</v>
      </c>
      <c r="G77" s="2">
        <v>0</v>
      </c>
      <c r="H77" s="237"/>
      <c r="I77" s="238"/>
      <c r="J77" s="2" t="s">
        <v>179</v>
      </c>
      <c r="K77" s="2" t="s">
        <v>179</v>
      </c>
      <c r="L77" s="235">
        <v>45050.208333333336</v>
      </c>
      <c r="R77" s="232"/>
      <c r="S77" s="232"/>
      <c r="T77" s="232"/>
    </row>
    <row r="78" spans="1:20" x14ac:dyDescent="0.3">
      <c r="A78" s="2" t="s">
        <v>256</v>
      </c>
      <c r="B78" s="2">
        <v>140</v>
      </c>
      <c r="C78" s="2">
        <v>0.2324</v>
      </c>
      <c r="D78" s="2">
        <v>0.23280000000000001</v>
      </c>
      <c r="E78" s="2">
        <f t="shared" si="2"/>
        <v>4.0000000000001146E-4</v>
      </c>
      <c r="F78" s="149">
        <f t="shared" si="3"/>
        <v>2.8571428571429389</v>
      </c>
      <c r="G78" s="2">
        <v>0</v>
      </c>
      <c r="H78" s="30"/>
      <c r="I78" s="238"/>
      <c r="J78" s="2">
        <v>2.8879999999999999</v>
      </c>
      <c r="K78" s="2">
        <v>352</v>
      </c>
      <c r="L78" s="235">
        <v>45050.333333333336</v>
      </c>
      <c r="R78" s="232"/>
      <c r="S78" s="232"/>
      <c r="T78" s="232"/>
    </row>
    <row r="79" spans="1:20" x14ac:dyDescent="0.3">
      <c r="A79" s="2"/>
      <c r="B79" s="2" t="s">
        <v>179</v>
      </c>
      <c r="C79" s="2" t="s">
        <v>179</v>
      </c>
      <c r="D79" s="2" t="s">
        <v>179</v>
      </c>
      <c r="E79" s="2" t="s">
        <v>179</v>
      </c>
      <c r="F79" s="149" t="s">
        <v>179</v>
      </c>
      <c r="G79" s="2">
        <v>0</v>
      </c>
      <c r="H79" s="30"/>
      <c r="I79" s="238"/>
      <c r="J79" s="2" t="s">
        <v>179</v>
      </c>
      <c r="K79" s="2" t="s">
        <v>179</v>
      </c>
      <c r="L79" s="235">
        <v>45050.458333333336</v>
      </c>
      <c r="R79" s="232"/>
      <c r="S79" s="232"/>
      <c r="T79" s="232"/>
    </row>
    <row r="80" spans="1:20" x14ac:dyDescent="0.3">
      <c r="A80" s="2" t="s">
        <v>257</v>
      </c>
      <c r="B80" s="2">
        <v>150</v>
      </c>
      <c r="C80" s="2">
        <v>0.23769999999999999</v>
      </c>
      <c r="D80" s="2">
        <v>0.2384</v>
      </c>
      <c r="E80" s="2">
        <f t="shared" ref="E80:E143" si="5">D80-C80</f>
        <v>7.0000000000000617E-4</v>
      </c>
      <c r="F80" s="149">
        <f t="shared" ref="F80:F143" si="6">E80/B80*1000*1000</f>
        <v>4.6666666666667078</v>
      </c>
      <c r="G80" s="2">
        <v>0</v>
      </c>
      <c r="H80" s="30"/>
      <c r="I80" s="238"/>
      <c r="J80" s="2">
        <v>2.9329999999999998</v>
      </c>
      <c r="K80" s="2">
        <v>353</v>
      </c>
      <c r="L80" s="235">
        <v>45050.083333333336</v>
      </c>
      <c r="R80" s="232"/>
      <c r="S80" s="232"/>
      <c r="T80" s="232"/>
    </row>
    <row r="81" spans="1:20" x14ac:dyDescent="0.3">
      <c r="A81" s="2" t="s">
        <v>258</v>
      </c>
      <c r="B81" s="2">
        <v>160</v>
      </c>
      <c r="C81" s="2">
        <v>0.23569999999999999</v>
      </c>
      <c r="D81" s="2">
        <v>0.23710000000000001</v>
      </c>
      <c r="E81" s="2">
        <f t="shared" si="5"/>
        <v>1.4000000000000123E-3</v>
      </c>
      <c r="F81" s="149">
        <f t="shared" si="6"/>
        <v>8.7500000000000764</v>
      </c>
      <c r="G81" s="14">
        <v>0</v>
      </c>
      <c r="H81" s="30"/>
      <c r="I81" s="238"/>
      <c r="J81" s="2">
        <v>3.1819999999999999</v>
      </c>
      <c r="K81" s="2">
        <v>354</v>
      </c>
      <c r="L81" s="235">
        <v>45050.708333333336</v>
      </c>
      <c r="R81" s="232"/>
      <c r="S81" s="232"/>
      <c r="T81" s="232"/>
    </row>
    <row r="82" spans="1:20" x14ac:dyDescent="0.3">
      <c r="A82" s="2" t="s">
        <v>259</v>
      </c>
      <c r="B82" s="2">
        <v>150</v>
      </c>
      <c r="C82" s="2">
        <v>0.2316</v>
      </c>
      <c r="D82" s="2">
        <v>0.23300000000000001</v>
      </c>
      <c r="E82" s="2">
        <f t="shared" si="5"/>
        <v>1.4000000000000123E-3</v>
      </c>
      <c r="F82" s="149">
        <f t="shared" si="6"/>
        <v>9.3333333333334156</v>
      </c>
      <c r="G82" s="2">
        <v>33.08</v>
      </c>
      <c r="H82" s="30"/>
      <c r="I82" s="238"/>
      <c r="J82" s="2">
        <v>3.2719999999999998</v>
      </c>
      <c r="K82" s="2">
        <v>355</v>
      </c>
      <c r="L82" s="235">
        <v>45050.958333333336</v>
      </c>
      <c r="R82" s="232"/>
      <c r="S82" s="232"/>
      <c r="T82" s="232"/>
    </row>
    <row r="83" spans="1:20" x14ac:dyDescent="0.3">
      <c r="A83" s="2" t="s">
        <v>260</v>
      </c>
      <c r="B83" s="2">
        <v>140</v>
      </c>
      <c r="C83" s="2">
        <v>0.2354</v>
      </c>
      <c r="D83" s="2">
        <v>0.2364</v>
      </c>
      <c r="E83" s="2">
        <f t="shared" si="5"/>
        <v>1.0000000000000009E-3</v>
      </c>
      <c r="F83" s="149">
        <f t="shared" si="6"/>
        <v>7.1428571428571495</v>
      </c>
      <c r="G83" s="2">
        <v>77.489999999999995</v>
      </c>
      <c r="H83" s="30"/>
      <c r="I83" s="238"/>
      <c r="J83" s="2">
        <v>3.0419999999999998</v>
      </c>
      <c r="K83" s="2">
        <v>356</v>
      </c>
      <c r="L83" s="235">
        <v>45051.083333333336</v>
      </c>
      <c r="R83" s="232"/>
      <c r="S83" s="232"/>
      <c r="T83" s="232"/>
    </row>
    <row r="84" spans="1:20" x14ac:dyDescent="0.3">
      <c r="A84" s="241" t="s">
        <v>261</v>
      </c>
      <c r="B84" s="9">
        <v>200</v>
      </c>
      <c r="C84" s="9">
        <v>0.23849999999999999</v>
      </c>
      <c r="D84" s="9">
        <v>0.2417</v>
      </c>
      <c r="E84" s="9">
        <f t="shared" si="5"/>
        <v>3.2000000000000084E-3</v>
      </c>
      <c r="F84" s="243">
        <f t="shared" si="6"/>
        <v>16.000000000000043</v>
      </c>
      <c r="G84" s="9">
        <v>103.31</v>
      </c>
      <c r="H84" s="240"/>
      <c r="I84" s="246"/>
      <c r="J84" s="9">
        <v>3.8290000000000002</v>
      </c>
      <c r="K84" s="9">
        <v>190</v>
      </c>
      <c r="L84" s="244">
        <v>45033.6875</v>
      </c>
      <c r="R84" s="232"/>
      <c r="S84" s="232"/>
      <c r="T84" s="232"/>
    </row>
    <row r="85" spans="1:20" x14ac:dyDescent="0.3">
      <c r="A85" s="241" t="s">
        <v>262</v>
      </c>
      <c r="B85" s="9">
        <v>200</v>
      </c>
      <c r="C85" s="9">
        <v>0.23760000000000001</v>
      </c>
      <c r="D85" s="9">
        <v>0.23769999999999999</v>
      </c>
      <c r="E85" s="9">
        <f t="shared" si="5"/>
        <v>9.9999999999988987E-5</v>
      </c>
      <c r="F85" s="243">
        <f t="shared" si="6"/>
        <v>0.49999999999994493</v>
      </c>
      <c r="G85" s="9">
        <v>65.48</v>
      </c>
      <c r="H85" s="240"/>
      <c r="I85" s="246"/>
      <c r="J85" s="9">
        <v>3.4729999999999999</v>
      </c>
      <c r="K85" s="9">
        <v>191</v>
      </c>
      <c r="L85" s="244">
        <v>45033.854166666664</v>
      </c>
      <c r="R85" s="232"/>
      <c r="S85" s="232"/>
      <c r="T85" s="232"/>
    </row>
    <row r="86" spans="1:20" x14ac:dyDescent="0.3">
      <c r="A86" s="241" t="s">
        <v>263</v>
      </c>
      <c r="B86" s="9">
        <v>190</v>
      </c>
      <c r="C86" s="9">
        <v>0.23649999999999999</v>
      </c>
      <c r="D86" s="9">
        <v>0.23769999999999999</v>
      </c>
      <c r="E86" s="9">
        <f t="shared" si="5"/>
        <v>1.2000000000000066E-3</v>
      </c>
      <c r="F86" s="243">
        <f t="shared" si="6"/>
        <v>6.3157894736842453</v>
      </c>
      <c r="G86" s="9">
        <v>73.680000000000007</v>
      </c>
      <c r="H86" s="240"/>
      <c r="I86" s="246"/>
      <c r="J86" s="9">
        <v>3.4209999999999998</v>
      </c>
      <c r="K86" s="9">
        <v>192</v>
      </c>
      <c r="L86" s="244">
        <v>45034.020833333336</v>
      </c>
      <c r="R86" s="232"/>
      <c r="S86" s="232"/>
      <c r="T86" s="232"/>
    </row>
    <row r="87" spans="1:20" x14ac:dyDescent="0.3">
      <c r="A87" s="241" t="s">
        <v>264</v>
      </c>
      <c r="B87" s="9" t="s">
        <v>179</v>
      </c>
      <c r="C87" s="9">
        <v>0.23749999999999999</v>
      </c>
      <c r="D87" s="9">
        <v>0.23780000000000001</v>
      </c>
      <c r="E87" s="9">
        <f t="shared" si="5"/>
        <v>3.0000000000002247E-4</v>
      </c>
      <c r="F87" s="243" t="s">
        <v>179</v>
      </c>
      <c r="G87" s="9">
        <v>48.9</v>
      </c>
      <c r="H87" s="240"/>
      <c r="I87" s="246"/>
      <c r="J87" s="9">
        <v>3.3460000000000001</v>
      </c>
      <c r="K87" s="9">
        <v>193</v>
      </c>
      <c r="L87" s="244">
        <v>45034.1875</v>
      </c>
      <c r="R87" s="232"/>
      <c r="S87" s="232"/>
      <c r="T87" s="232"/>
    </row>
    <row r="88" spans="1:20" x14ac:dyDescent="0.3">
      <c r="A88" s="241" t="s">
        <v>265</v>
      </c>
      <c r="B88" s="9">
        <v>190</v>
      </c>
      <c r="C88" s="9">
        <v>0.23039999999999999</v>
      </c>
      <c r="D88" s="9">
        <v>0.23230000000000001</v>
      </c>
      <c r="E88" s="9">
        <f t="shared" si="5"/>
        <v>1.9000000000000128E-3</v>
      </c>
      <c r="F88" s="243">
        <f t="shared" si="6"/>
        <v>10.000000000000066</v>
      </c>
      <c r="G88" s="9">
        <v>0</v>
      </c>
      <c r="H88" s="9"/>
      <c r="I88" s="9"/>
      <c r="J88" s="9">
        <v>3.2709999999999999</v>
      </c>
      <c r="K88" s="9">
        <v>211</v>
      </c>
      <c r="L88" s="244">
        <v>45034.354166666664</v>
      </c>
    </row>
    <row r="89" spans="1:20" x14ac:dyDescent="0.3">
      <c r="A89" s="241" t="s">
        <v>266</v>
      </c>
      <c r="B89" s="9">
        <v>220</v>
      </c>
      <c r="C89" s="9">
        <v>0.22720000000000001</v>
      </c>
      <c r="D89" s="9">
        <v>0.22869999999999999</v>
      </c>
      <c r="E89" s="9">
        <f t="shared" si="5"/>
        <v>1.4999999999999736E-3</v>
      </c>
      <c r="F89" s="243">
        <f t="shared" si="6"/>
        <v>6.8181818181816984</v>
      </c>
      <c r="G89" s="9">
        <v>0</v>
      </c>
      <c r="H89" s="242"/>
      <c r="I89" s="242"/>
      <c r="J89" s="9">
        <v>3.4089999999999998</v>
      </c>
      <c r="K89" s="9">
        <v>212</v>
      </c>
      <c r="L89" s="244">
        <v>45034.520833333336</v>
      </c>
      <c r="M89" s="5"/>
      <c r="N89" s="5"/>
      <c r="O89" s="5"/>
      <c r="R89"/>
      <c r="S89"/>
      <c r="T89"/>
    </row>
    <row r="90" spans="1:20" x14ac:dyDescent="0.3">
      <c r="A90" s="241" t="s">
        <v>267</v>
      </c>
      <c r="B90" s="9">
        <v>200</v>
      </c>
      <c r="C90" s="9">
        <v>0.23100000000000001</v>
      </c>
      <c r="D90" s="9">
        <v>0.23530000000000001</v>
      </c>
      <c r="E90" s="9">
        <f t="shared" si="5"/>
        <v>4.2999999999999983E-3</v>
      </c>
      <c r="F90" s="243">
        <f t="shared" si="6"/>
        <v>21.499999999999993</v>
      </c>
      <c r="G90" s="9">
        <v>93.48</v>
      </c>
      <c r="H90" s="242"/>
      <c r="I90" s="242"/>
      <c r="J90" s="9">
        <v>4.6630000000000003</v>
      </c>
      <c r="K90" s="9">
        <v>213</v>
      </c>
      <c r="L90" s="244">
        <v>45034.6875</v>
      </c>
      <c r="M90" s="5"/>
      <c r="N90" s="5"/>
      <c r="O90" s="5"/>
      <c r="R90"/>
      <c r="S90"/>
      <c r="T90"/>
    </row>
    <row r="91" spans="1:20" x14ac:dyDescent="0.3">
      <c r="A91" s="241" t="s">
        <v>268</v>
      </c>
      <c r="B91" s="9">
        <v>190</v>
      </c>
      <c r="C91" s="9">
        <v>0.2281</v>
      </c>
      <c r="D91" s="9">
        <v>0.23019999999999999</v>
      </c>
      <c r="E91" s="9">
        <f t="shared" si="5"/>
        <v>2.0999999999999908E-3</v>
      </c>
      <c r="F91" s="243">
        <f t="shared" si="6"/>
        <v>11.05263157894732</v>
      </c>
      <c r="G91" s="9">
        <v>53.79</v>
      </c>
      <c r="H91" s="242"/>
      <c r="I91" s="242"/>
      <c r="J91" s="9">
        <v>3.581</v>
      </c>
      <c r="K91" s="9">
        <v>214</v>
      </c>
      <c r="L91" s="244">
        <v>45034.895833333336</v>
      </c>
      <c r="M91" s="5"/>
      <c r="N91" s="5"/>
      <c r="O91" s="5"/>
      <c r="R91"/>
      <c r="S91"/>
      <c r="T91"/>
    </row>
    <row r="92" spans="1:20" x14ac:dyDescent="0.3">
      <c r="A92" s="241" t="s">
        <v>269</v>
      </c>
      <c r="B92" s="9">
        <v>200</v>
      </c>
      <c r="C92" s="9">
        <v>0.22850000000000001</v>
      </c>
      <c r="D92" s="9">
        <v>0.2321</v>
      </c>
      <c r="E92" s="9">
        <f t="shared" si="5"/>
        <v>3.5999999999999921E-3</v>
      </c>
      <c r="F92" s="243">
        <f t="shared" si="6"/>
        <v>17.999999999999961</v>
      </c>
      <c r="G92" s="9">
        <v>47.58</v>
      </c>
      <c r="H92" s="240">
        <v>1.1515777695E-2</v>
      </c>
      <c r="I92" s="245">
        <f>H92/(B92/1000)</f>
        <v>5.7578888474999999E-2</v>
      </c>
      <c r="J92" s="9">
        <v>3.5859999999999999</v>
      </c>
      <c r="K92" s="9">
        <v>215</v>
      </c>
      <c r="L92" s="244">
        <v>45035.104166666664</v>
      </c>
      <c r="M92" s="5"/>
      <c r="N92" s="5"/>
      <c r="O92" s="5"/>
      <c r="R92"/>
      <c r="S92"/>
      <c r="T92"/>
    </row>
    <row r="93" spans="1:20" x14ac:dyDescent="0.3">
      <c r="A93" s="241" t="s">
        <v>270</v>
      </c>
      <c r="B93" s="9">
        <v>200</v>
      </c>
      <c r="C93" s="9">
        <v>0.2339</v>
      </c>
      <c r="D93" s="9">
        <v>0.23519999999999999</v>
      </c>
      <c r="E93" s="9">
        <f t="shared" si="5"/>
        <v>1.2999999999999956E-3</v>
      </c>
      <c r="F93" s="243">
        <f t="shared" si="6"/>
        <v>6.4999999999999778</v>
      </c>
      <c r="G93" s="9">
        <v>30.72</v>
      </c>
      <c r="H93" s="242"/>
      <c r="I93" s="242"/>
      <c r="J93" s="9">
        <v>3.4009999999999998</v>
      </c>
      <c r="K93" s="9">
        <v>216</v>
      </c>
      <c r="L93" s="244">
        <v>45035.3125</v>
      </c>
      <c r="M93" s="5"/>
      <c r="N93" s="5"/>
      <c r="O93" s="5"/>
      <c r="R93"/>
      <c r="S93"/>
      <c r="T93"/>
    </row>
    <row r="94" spans="1:20" x14ac:dyDescent="0.3">
      <c r="A94" s="241" t="s">
        <v>271</v>
      </c>
      <c r="B94" s="9">
        <v>200</v>
      </c>
      <c r="C94" s="9">
        <v>0.23300000000000001</v>
      </c>
      <c r="D94" s="9">
        <v>0.2346</v>
      </c>
      <c r="E94" s="9">
        <f t="shared" si="5"/>
        <v>1.5999999999999903E-3</v>
      </c>
      <c r="F94" s="243">
        <f t="shared" si="6"/>
        <v>7.999999999999952</v>
      </c>
      <c r="G94" s="9">
        <v>0</v>
      </c>
      <c r="H94" s="242"/>
      <c r="I94" s="242"/>
      <c r="J94" s="9">
        <v>3.1459999999999999</v>
      </c>
      <c r="K94" s="9">
        <v>217</v>
      </c>
      <c r="L94" s="244">
        <v>45035.520833333336</v>
      </c>
      <c r="M94" s="5"/>
      <c r="N94" s="5"/>
      <c r="O94" s="5"/>
      <c r="R94"/>
      <c r="S94"/>
      <c r="T94"/>
    </row>
    <row r="95" spans="1:20" x14ac:dyDescent="0.3">
      <c r="A95" s="241" t="s">
        <v>272</v>
      </c>
      <c r="B95" s="9">
        <v>100</v>
      </c>
      <c r="C95" s="9">
        <v>0.23480000000000001</v>
      </c>
      <c r="D95" s="9">
        <v>0.23599999999999999</v>
      </c>
      <c r="E95" s="9">
        <f t="shared" si="5"/>
        <v>1.1999999999999789E-3</v>
      </c>
      <c r="F95" s="243">
        <f t="shared" si="6"/>
        <v>11.999999999999789</v>
      </c>
      <c r="G95" s="9">
        <v>0</v>
      </c>
      <c r="H95" s="242"/>
      <c r="I95" s="242"/>
      <c r="J95" s="9">
        <v>3.9940000000000002</v>
      </c>
      <c r="K95" s="9">
        <v>218</v>
      </c>
      <c r="L95" s="244">
        <v>45035.729166666664</v>
      </c>
      <c r="M95" s="5"/>
      <c r="N95" s="5"/>
      <c r="O95" s="5"/>
      <c r="R95"/>
      <c r="S95"/>
      <c r="T95"/>
    </row>
    <row r="96" spans="1:20" x14ac:dyDescent="0.3">
      <c r="A96" s="241" t="s">
        <v>273</v>
      </c>
      <c r="B96" s="9">
        <v>100</v>
      </c>
      <c r="C96" s="9">
        <v>0.23530000000000001</v>
      </c>
      <c r="D96" s="9">
        <v>0.2359</v>
      </c>
      <c r="E96" s="9">
        <f t="shared" si="5"/>
        <v>5.9999999999998943E-4</v>
      </c>
      <c r="F96" s="243">
        <f t="shared" si="6"/>
        <v>5.9999999999998943</v>
      </c>
      <c r="G96" s="9">
        <v>22.36</v>
      </c>
      <c r="H96" s="242"/>
      <c r="I96" s="242"/>
      <c r="J96" s="9">
        <v>3.5329999999999999</v>
      </c>
      <c r="K96" s="9">
        <v>219</v>
      </c>
      <c r="L96" s="244">
        <v>45035.9375</v>
      </c>
      <c r="M96" s="5"/>
      <c r="N96" s="5"/>
      <c r="O96" s="5"/>
      <c r="R96"/>
      <c r="S96"/>
      <c r="T96"/>
    </row>
    <row r="97" spans="1:20" x14ac:dyDescent="0.3">
      <c r="A97" s="241" t="s">
        <v>274</v>
      </c>
      <c r="B97" s="9">
        <v>90</v>
      </c>
      <c r="C97" s="9">
        <v>0.2346</v>
      </c>
      <c r="D97" s="9">
        <v>0.2354</v>
      </c>
      <c r="E97" s="9">
        <f t="shared" si="5"/>
        <v>7.9999999999999516E-4</v>
      </c>
      <c r="F97" s="243">
        <f t="shared" si="6"/>
        <v>8.888888888888836</v>
      </c>
      <c r="G97" s="9">
        <v>30.83</v>
      </c>
      <c r="H97" s="242"/>
      <c r="I97" s="242"/>
      <c r="J97" s="9">
        <v>3.4340000000000002</v>
      </c>
      <c r="K97" s="9">
        <v>220</v>
      </c>
      <c r="L97" s="244">
        <v>45036.145833333336</v>
      </c>
      <c r="M97" s="5"/>
      <c r="N97" s="5"/>
      <c r="O97" s="5"/>
      <c r="R97"/>
      <c r="S97"/>
      <c r="T97"/>
    </row>
    <row r="98" spans="1:20" x14ac:dyDescent="0.3">
      <c r="A98" s="241" t="s">
        <v>275</v>
      </c>
      <c r="B98" s="9">
        <v>90</v>
      </c>
      <c r="C98" s="9">
        <v>0.2369</v>
      </c>
      <c r="D98" s="9">
        <v>0.23799999999999999</v>
      </c>
      <c r="E98" s="9">
        <f t="shared" si="5"/>
        <v>1.0999999999999899E-3</v>
      </c>
      <c r="F98" s="243">
        <f t="shared" si="6"/>
        <v>12.222222222222108</v>
      </c>
      <c r="G98" s="9">
        <v>0</v>
      </c>
      <c r="H98" s="242"/>
      <c r="I98" s="242"/>
      <c r="J98" s="9">
        <v>3.4279999999999999</v>
      </c>
      <c r="K98" s="9">
        <v>221</v>
      </c>
      <c r="L98" s="244">
        <v>45036.354166666664</v>
      </c>
      <c r="M98" s="5"/>
      <c r="N98" s="5"/>
      <c r="O98" s="5"/>
      <c r="R98"/>
      <c r="S98"/>
      <c r="T98"/>
    </row>
    <row r="99" spans="1:20" x14ac:dyDescent="0.3">
      <c r="A99" s="241" t="s">
        <v>276</v>
      </c>
      <c r="B99" s="9">
        <v>160</v>
      </c>
      <c r="C99" s="9">
        <v>0.23549999999999999</v>
      </c>
      <c r="D99" s="9">
        <v>0.2366</v>
      </c>
      <c r="E99" s="9">
        <f t="shared" si="5"/>
        <v>1.1000000000000176E-3</v>
      </c>
      <c r="F99" s="243">
        <f t="shared" si="6"/>
        <v>6.8750000000001101</v>
      </c>
      <c r="G99" s="9">
        <v>0</v>
      </c>
      <c r="H99" s="242"/>
      <c r="I99" s="242"/>
      <c r="J99" s="9">
        <v>3.4809999999999999</v>
      </c>
      <c r="K99" s="9">
        <v>236</v>
      </c>
      <c r="L99" s="244">
        <v>45036.770833333336</v>
      </c>
      <c r="M99" s="5"/>
      <c r="N99" s="5"/>
      <c r="O99" s="5"/>
      <c r="R99"/>
      <c r="S99"/>
      <c r="T99"/>
    </row>
    <row r="100" spans="1:20" x14ac:dyDescent="0.3">
      <c r="A100" s="241" t="s">
        <v>277</v>
      </c>
      <c r="B100" s="9">
        <v>150</v>
      </c>
      <c r="C100" s="9">
        <v>0.23280000000000001</v>
      </c>
      <c r="D100" s="9">
        <v>0.23350000000000001</v>
      </c>
      <c r="E100" s="9">
        <f t="shared" si="5"/>
        <v>7.0000000000000617E-4</v>
      </c>
      <c r="F100" s="243">
        <f t="shared" si="6"/>
        <v>4.6666666666667078</v>
      </c>
      <c r="G100" s="9">
        <v>24.91</v>
      </c>
      <c r="H100" s="242"/>
      <c r="I100" s="242"/>
      <c r="J100" s="9">
        <v>3.2829999999999999</v>
      </c>
      <c r="K100" s="9">
        <v>237</v>
      </c>
      <c r="L100" s="244">
        <v>45036.979166666664</v>
      </c>
      <c r="M100" s="5"/>
      <c r="N100" s="5"/>
      <c r="O100" s="5"/>
      <c r="R100"/>
      <c r="S100"/>
      <c r="T100"/>
    </row>
    <row r="101" spans="1:20" x14ac:dyDescent="0.3">
      <c r="A101" s="241" t="s">
        <v>278</v>
      </c>
      <c r="B101" s="9">
        <v>150</v>
      </c>
      <c r="C101" s="9">
        <v>0.23530000000000001</v>
      </c>
      <c r="D101" s="9">
        <v>0.2361</v>
      </c>
      <c r="E101" s="9">
        <f t="shared" si="5"/>
        <v>7.9999999999999516E-4</v>
      </c>
      <c r="F101" s="243">
        <f t="shared" si="6"/>
        <v>5.3333333333333011</v>
      </c>
      <c r="G101" s="9">
        <v>0</v>
      </c>
      <c r="H101" s="242"/>
      <c r="I101" s="242"/>
      <c r="J101" s="9">
        <v>3.0840000000000001</v>
      </c>
      <c r="K101" s="9">
        <v>238</v>
      </c>
      <c r="L101" s="244">
        <v>45037.395833333336</v>
      </c>
      <c r="M101" s="5"/>
      <c r="N101" s="5"/>
      <c r="O101" s="5"/>
      <c r="R101"/>
      <c r="S101"/>
      <c r="T101"/>
    </row>
    <row r="102" spans="1:20" x14ac:dyDescent="0.3">
      <c r="A102" s="241" t="s">
        <v>279</v>
      </c>
      <c r="B102" s="9">
        <v>150</v>
      </c>
      <c r="C102" s="9">
        <v>0.23719999999999999</v>
      </c>
      <c r="D102" s="9">
        <v>0.23810000000000001</v>
      </c>
      <c r="E102" s="9">
        <f t="shared" si="5"/>
        <v>9.000000000000119E-4</v>
      </c>
      <c r="F102" s="243">
        <f t="shared" si="6"/>
        <v>6.000000000000079</v>
      </c>
      <c r="G102" s="9">
        <v>0</v>
      </c>
      <c r="H102" s="242"/>
      <c r="I102" s="242"/>
      <c r="J102" s="9">
        <v>3.2890000000000001</v>
      </c>
      <c r="K102" s="9">
        <v>239</v>
      </c>
      <c r="L102" s="244">
        <v>45037.604166666664</v>
      </c>
      <c r="M102" s="5"/>
      <c r="N102" s="5"/>
      <c r="O102" s="5"/>
      <c r="R102"/>
      <c r="S102"/>
      <c r="T102"/>
    </row>
    <row r="103" spans="1:20" x14ac:dyDescent="0.3">
      <c r="A103" s="241" t="s">
        <v>280</v>
      </c>
      <c r="B103" s="9">
        <v>140</v>
      </c>
      <c r="C103" s="9">
        <v>0.23400000000000001</v>
      </c>
      <c r="D103" s="9">
        <v>0.23649999999999999</v>
      </c>
      <c r="E103" s="9">
        <f t="shared" si="5"/>
        <v>2.4999999999999745E-3</v>
      </c>
      <c r="F103" s="243">
        <f t="shared" si="6"/>
        <v>17.857142857142676</v>
      </c>
      <c r="G103" s="9">
        <v>67.13</v>
      </c>
      <c r="H103" s="242"/>
      <c r="I103" s="242"/>
      <c r="J103" s="9">
        <v>3.8639999999999999</v>
      </c>
      <c r="K103" s="9">
        <v>240</v>
      </c>
      <c r="L103" s="244">
        <v>45037.8125</v>
      </c>
      <c r="M103" s="5"/>
      <c r="N103" s="5"/>
      <c r="O103" s="5"/>
      <c r="R103"/>
      <c r="S103"/>
      <c r="T103"/>
    </row>
    <row r="104" spans="1:20" x14ac:dyDescent="0.3">
      <c r="A104" s="241" t="s">
        <v>281</v>
      </c>
      <c r="B104" s="9">
        <v>150</v>
      </c>
      <c r="C104" s="9">
        <v>0.2336</v>
      </c>
      <c r="D104" s="9">
        <v>0.23419999999999999</v>
      </c>
      <c r="E104" s="9">
        <f t="shared" si="5"/>
        <v>5.9999999999998943E-4</v>
      </c>
      <c r="F104" s="243">
        <f t="shared" si="6"/>
        <v>3.9999999999999298</v>
      </c>
      <c r="G104" s="9">
        <v>0</v>
      </c>
      <c r="H104" s="242"/>
      <c r="I104" s="242"/>
      <c r="J104" s="9">
        <v>3.3439999999999999</v>
      </c>
      <c r="K104" s="9">
        <v>241</v>
      </c>
      <c r="L104" s="244">
        <v>45038.020833333336</v>
      </c>
      <c r="M104" s="5"/>
      <c r="N104" s="5"/>
      <c r="O104" s="5"/>
      <c r="R104"/>
      <c r="S104"/>
      <c r="T104"/>
    </row>
    <row r="105" spans="1:20" x14ac:dyDescent="0.3">
      <c r="A105" s="241" t="s">
        <v>282</v>
      </c>
      <c r="B105" s="9">
        <v>150</v>
      </c>
      <c r="C105" s="9">
        <v>0.23469999999999999</v>
      </c>
      <c r="D105" s="9">
        <v>0.23569999999999999</v>
      </c>
      <c r="E105" s="9">
        <f t="shared" si="5"/>
        <v>1.0000000000000009E-3</v>
      </c>
      <c r="F105" s="243">
        <f t="shared" si="6"/>
        <v>6.6666666666666723</v>
      </c>
      <c r="G105" s="9">
        <v>51.68</v>
      </c>
      <c r="H105" s="240">
        <v>5.8357639970625002E-3</v>
      </c>
      <c r="I105" s="245">
        <f>H105/(B105/1000)</f>
        <v>3.890509331375E-2</v>
      </c>
      <c r="J105" s="9">
        <v>3.1840000000000002</v>
      </c>
      <c r="K105" s="9">
        <v>242</v>
      </c>
      <c r="L105" s="244">
        <v>45038.229166666664</v>
      </c>
      <c r="M105" s="5"/>
      <c r="N105" s="5"/>
      <c r="O105" s="5"/>
      <c r="R105"/>
      <c r="S105"/>
      <c r="T105"/>
    </row>
    <row r="106" spans="1:20" x14ac:dyDescent="0.3">
      <c r="A106" s="241" t="s">
        <v>283</v>
      </c>
      <c r="B106" s="9">
        <v>145</v>
      </c>
      <c r="C106" s="9">
        <v>0.23680000000000001</v>
      </c>
      <c r="D106" s="9">
        <v>0.23760000000000001</v>
      </c>
      <c r="E106" s="9">
        <f t="shared" si="5"/>
        <v>7.9999999999999516E-4</v>
      </c>
      <c r="F106" s="243">
        <f t="shared" si="6"/>
        <v>5.5172413793103114</v>
      </c>
      <c r="G106" s="9">
        <v>0</v>
      </c>
      <c r="H106" s="242"/>
      <c r="I106" s="242"/>
      <c r="J106" s="9">
        <v>3.246</v>
      </c>
      <c r="K106" s="9">
        <v>243</v>
      </c>
      <c r="L106" s="244">
        <v>45038.4375</v>
      </c>
      <c r="M106" s="5"/>
      <c r="N106" s="5"/>
      <c r="O106" s="5"/>
      <c r="R106"/>
      <c r="S106"/>
      <c r="T106"/>
    </row>
    <row r="107" spans="1:20" x14ac:dyDescent="0.3">
      <c r="A107" s="241" t="s">
        <v>284</v>
      </c>
      <c r="B107" s="9">
        <v>150</v>
      </c>
      <c r="C107" s="9">
        <v>0.23799999999999999</v>
      </c>
      <c r="D107" s="9">
        <v>0.23880000000000001</v>
      </c>
      <c r="E107" s="9">
        <f t="shared" si="5"/>
        <v>8.0000000000002292E-4</v>
      </c>
      <c r="F107" s="243">
        <f t="shared" si="6"/>
        <v>5.3333333333334858</v>
      </c>
      <c r="G107" s="9">
        <v>57.56</v>
      </c>
      <c r="H107" s="242"/>
      <c r="I107" s="242"/>
      <c r="J107" s="9">
        <v>3.8860000000000001</v>
      </c>
      <c r="K107" s="9">
        <v>244</v>
      </c>
      <c r="L107" s="244">
        <v>45038.645833333336</v>
      </c>
      <c r="M107" s="5"/>
      <c r="N107" s="5"/>
      <c r="O107" s="5"/>
      <c r="R107"/>
      <c r="S107"/>
      <c r="T107"/>
    </row>
    <row r="108" spans="1:20" x14ac:dyDescent="0.3">
      <c r="A108" s="241" t="s">
        <v>285</v>
      </c>
      <c r="B108" s="9">
        <v>150</v>
      </c>
      <c r="C108" s="9">
        <v>0.23319999999999999</v>
      </c>
      <c r="D108" s="9">
        <v>0.2344</v>
      </c>
      <c r="E108" s="9">
        <f t="shared" si="5"/>
        <v>1.2000000000000066E-3</v>
      </c>
      <c r="F108" s="243">
        <f t="shared" si="6"/>
        <v>8.0000000000000444</v>
      </c>
      <c r="G108" s="9">
        <v>63.54</v>
      </c>
      <c r="H108" s="242"/>
      <c r="I108" s="242"/>
      <c r="J108" s="9">
        <v>3.4710000000000001</v>
      </c>
      <c r="K108" s="9">
        <v>245</v>
      </c>
      <c r="L108" s="244">
        <v>45038.854166666664</v>
      </c>
      <c r="M108" s="5"/>
      <c r="N108" s="5"/>
      <c r="O108" s="5"/>
      <c r="R108"/>
      <c r="S108"/>
      <c r="T108"/>
    </row>
    <row r="109" spans="1:20" x14ac:dyDescent="0.3">
      <c r="A109" s="241" t="s">
        <v>286</v>
      </c>
      <c r="B109" s="9">
        <v>150</v>
      </c>
      <c r="C109" s="9">
        <v>0.2382</v>
      </c>
      <c r="D109" s="9">
        <v>0.23930000000000001</v>
      </c>
      <c r="E109" s="9">
        <f t="shared" si="5"/>
        <v>1.1000000000000176E-3</v>
      </c>
      <c r="F109" s="243">
        <f t="shared" si="6"/>
        <v>7.3333333333334512</v>
      </c>
      <c r="G109" s="9">
        <v>0</v>
      </c>
      <c r="H109" s="242"/>
      <c r="I109" s="242"/>
      <c r="J109" s="9">
        <v>3.3780000000000001</v>
      </c>
      <c r="K109" s="9">
        <v>246</v>
      </c>
      <c r="L109" s="244">
        <v>45039.0625</v>
      </c>
      <c r="M109" s="5"/>
      <c r="N109" s="5"/>
      <c r="O109" s="5"/>
      <c r="R109"/>
      <c r="S109"/>
      <c r="T109"/>
    </row>
    <row r="110" spans="1:20" x14ac:dyDescent="0.3">
      <c r="A110" s="241" t="s">
        <v>287</v>
      </c>
      <c r="B110" s="9" t="s">
        <v>179</v>
      </c>
      <c r="C110" s="9">
        <v>0.24210000000000001</v>
      </c>
      <c r="D110" s="9">
        <v>0.24349999999999999</v>
      </c>
      <c r="E110" s="9">
        <f t="shared" si="5"/>
        <v>1.3999999999999846E-3</v>
      </c>
      <c r="F110" s="243" t="s">
        <v>179</v>
      </c>
      <c r="G110" s="9">
        <v>0</v>
      </c>
      <c r="H110" s="242"/>
      <c r="I110" s="242"/>
      <c r="J110" s="9">
        <v>3.1680000000000001</v>
      </c>
      <c r="K110" s="9">
        <v>247</v>
      </c>
      <c r="L110" s="244">
        <v>45039.479166666664</v>
      </c>
      <c r="M110" s="5"/>
      <c r="N110" s="5"/>
      <c r="O110" s="5"/>
      <c r="R110"/>
      <c r="S110"/>
      <c r="T110"/>
    </row>
    <row r="111" spans="1:20" x14ac:dyDescent="0.3">
      <c r="A111" s="241" t="s">
        <v>288</v>
      </c>
      <c r="B111" s="9">
        <v>160</v>
      </c>
      <c r="C111" s="9">
        <v>0.22800000000000001</v>
      </c>
      <c r="D111" s="9">
        <v>0.2298</v>
      </c>
      <c r="E111" s="9">
        <f t="shared" si="5"/>
        <v>1.799999999999996E-3</v>
      </c>
      <c r="F111" s="243">
        <f t="shared" si="6"/>
        <v>11.249999999999975</v>
      </c>
      <c r="G111" s="9">
        <v>0</v>
      </c>
      <c r="H111" s="242"/>
      <c r="I111" s="242"/>
      <c r="J111" s="9">
        <v>3.7970000000000002</v>
      </c>
      <c r="K111" s="9">
        <v>248</v>
      </c>
      <c r="L111" s="244">
        <v>45039.666666666664</v>
      </c>
      <c r="M111" s="5"/>
      <c r="N111" s="5"/>
      <c r="O111" s="5"/>
      <c r="R111"/>
      <c r="S111"/>
      <c r="T111"/>
    </row>
    <row r="112" spans="1:20" x14ac:dyDescent="0.3">
      <c r="A112" s="241" t="s">
        <v>289</v>
      </c>
      <c r="B112" s="9">
        <v>155</v>
      </c>
      <c r="C112" s="9">
        <v>0.23250000000000001</v>
      </c>
      <c r="D112" s="9">
        <v>0.23330000000000001</v>
      </c>
      <c r="E112" s="9">
        <f t="shared" si="5"/>
        <v>7.9999999999999516E-4</v>
      </c>
      <c r="F112" s="243">
        <f t="shared" si="6"/>
        <v>5.1612903225806139</v>
      </c>
      <c r="G112" s="9">
        <v>0</v>
      </c>
      <c r="H112" s="242"/>
      <c r="I112" s="242"/>
      <c r="J112" s="9">
        <v>3.1840000000000002</v>
      </c>
      <c r="K112" s="9">
        <v>249</v>
      </c>
      <c r="L112" s="244">
        <v>45039.875</v>
      </c>
      <c r="M112" s="5"/>
      <c r="N112" s="5"/>
      <c r="O112" s="5"/>
      <c r="R112"/>
      <c r="S112"/>
      <c r="T112"/>
    </row>
    <row r="113" spans="1:20" x14ac:dyDescent="0.3">
      <c r="A113" s="241" t="s">
        <v>290</v>
      </c>
      <c r="B113" s="9">
        <v>150</v>
      </c>
      <c r="C113" s="9">
        <v>0.23519999999999999</v>
      </c>
      <c r="D113" s="9">
        <v>0.23649999999999999</v>
      </c>
      <c r="E113" s="9">
        <f t="shared" si="5"/>
        <v>1.2999999999999956E-3</v>
      </c>
      <c r="F113" s="243">
        <f t="shared" si="6"/>
        <v>8.6666666666666377</v>
      </c>
      <c r="G113" s="9">
        <v>66.59</v>
      </c>
      <c r="H113" s="242"/>
      <c r="I113" s="242"/>
      <c r="J113" s="9">
        <v>3.399</v>
      </c>
      <c r="K113" s="9">
        <v>250</v>
      </c>
      <c r="L113" s="244">
        <v>45040.083333333336</v>
      </c>
      <c r="M113" s="5"/>
      <c r="N113" s="5"/>
      <c r="O113" s="5"/>
      <c r="R113"/>
      <c r="S113"/>
      <c r="T113"/>
    </row>
    <row r="114" spans="1:20" x14ac:dyDescent="0.3">
      <c r="A114" s="241" t="s">
        <v>291</v>
      </c>
      <c r="B114" s="9">
        <v>140</v>
      </c>
      <c r="C114" s="9">
        <v>0.2288</v>
      </c>
      <c r="D114" s="9">
        <v>0.23</v>
      </c>
      <c r="E114" s="9">
        <f t="shared" si="5"/>
        <v>1.2000000000000066E-3</v>
      </c>
      <c r="F114" s="243">
        <f t="shared" si="6"/>
        <v>8.5714285714286191</v>
      </c>
      <c r="G114" s="9">
        <v>0</v>
      </c>
      <c r="H114" s="242"/>
      <c r="I114" s="242"/>
      <c r="J114" s="9">
        <v>3.23</v>
      </c>
      <c r="K114" s="9">
        <v>251</v>
      </c>
      <c r="L114" s="244">
        <v>45040.291666666664</v>
      </c>
      <c r="M114" s="5"/>
      <c r="N114" s="5"/>
      <c r="O114" s="5"/>
      <c r="R114"/>
      <c r="S114"/>
      <c r="T114"/>
    </row>
    <row r="115" spans="1:20" x14ac:dyDescent="0.3">
      <c r="A115" s="241" t="s">
        <v>292</v>
      </c>
      <c r="B115" s="9">
        <v>150</v>
      </c>
      <c r="C115" s="9">
        <v>0.23319999999999999</v>
      </c>
      <c r="D115" s="9" t="s">
        <v>179</v>
      </c>
      <c r="E115" s="9" t="s">
        <v>179</v>
      </c>
      <c r="F115" s="243" t="s">
        <v>179</v>
      </c>
      <c r="G115" s="9">
        <v>46.75</v>
      </c>
      <c r="H115" s="240">
        <v>6.9204867741875006E-3</v>
      </c>
      <c r="I115" s="245">
        <f>H115/(B115/1000)</f>
        <v>4.6136578494583337E-2</v>
      </c>
      <c r="J115" s="9">
        <v>3.6640000000000001</v>
      </c>
      <c r="K115" s="9">
        <v>252</v>
      </c>
      <c r="L115" s="244">
        <v>45040.5</v>
      </c>
      <c r="M115" s="5"/>
      <c r="N115" s="5"/>
      <c r="O115" s="5"/>
      <c r="R115"/>
      <c r="S115"/>
      <c r="T115"/>
    </row>
    <row r="116" spans="1:20" x14ac:dyDescent="0.3">
      <c r="A116" s="241" t="s">
        <v>293</v>
      </c>
      <c r="B116" s="9">
        <v>160</v>
      </c>
      <c r="C116" s="9">
        <v>0.2311</v>
      </c>
      <c r="D116" s="9">
        <v>0.23350000000000001</v>
      </c>
      <c r="E116" s="9">
        <f t="shared" si="5"/>
        <v>2.4000000000000132E-3</v>
      </c>
      <c r="F116" s="243">
        <f t="shared" si="6"/>
        <v>15.000000000000083</v>
      </c>
      <c r="G116" s="9">
        <v>27.12</v>
      </c>
      <c r="H116" s="240">
        <v>9.508337120500001E-3</v>
      </c>
      <c r="I116" s="245">
        <f>H116/(B116/1000)</f>
        <v>5.9427107003125007E-2</v>
      </c>
      <c r="J116" s="9">
        <v>4.5410000000000004</v>
      </c>
      <c r="K116" s="9">
        <v>253</v>
      </c>
      <c r="L116" s="244">
        <v>45040.708333333336</v>
      </c>
      <c r="M116" s="5"/>
      <c r="N116" s="5"/>
      <c r="O116" s="5"/>
      <c r="R116"/>
      <c r="S116"/>
      <c r="T116"/>
    </row>
    <row r="117" spans="1:20" x14ac:dyDescent="0.3">
      <c r="A117" s="241" t="s">
        <v>299</v>
      </c>
      <c r="B117" s="9">
        <v>140</v>
      </c>
      <c r="C117" s="9">
        <v>0.23089999999999999</v>
      </c>
      <c r="D117" s="9">
        <v>0.2319</v>
      </c>
      <c r="E117" s="9">
        <f t="shared" si="5"/>
        <v>1.0000000000000009E-3</v>
      </c>
      <c r="F117" s="243">
        <f t="shared" si="6"/>
        <v>7.1428571428571495</v>
      </c>
      <c r="G117" s="9">
        <v>14.59</v>
      </c>
      <c r="H117" s="240">
        <v>8.3706300997500004E-3</v>
      </c>
      <c r="I117" s="245">
        <f>H117/(B117/1000)</f>
        <v>5.9790214998214283E-2</v>
      </c>
      <c r="J117" s="9">
        <v>3.4580000000000002</v>
      </c>
      <c r="K117" s="9">
        <v>269</v>
      </c>
      <c r="L117" s="244">
        <v>45040.916666666664</v>
      </c>
      <c r="M117" s="5"/>
      <c r="N117" s="5"/>
      <c r="O117" s="5"/>
      <c r="R117"/>
      <c r="S117"/>
      <c r="T117"/>
    </row>
    <row r="118" spans="1:20" x14ac:dyDescent="0.3">
      <c r="A118" s="241" t="s">
        <v>294</v>
      </c>
      <c r="B118" s="9">
        <v>170</v>
      </c>
      <c r="C118" s="9">
        <v>0.23269999999999999</v>
      </c>
      <c r="D118" s="9">
        <v>0.2334</v>
      </c>
      <c r="E118" s="9">
        <f t="shared" si="5"/>
        <v>7.0000000000000617E-4</v>
      </c>
      <c r="F118" s="243">
        <f t="shared" si="6"/>
        <v>4.1176470588235654</v>
      </c>
      <c r="G118" s="9">
        <v>0</v>
      </c>
      <c r="H118" s="242"/>
      <c r="I118" s="245"/>
      <c r="J118" s="9">
        <v>3.2360000000000002</v>
      </c>
      <c r="K118" s="9">
        <v>270</v>
      </c>
      <c r="L118" s="244">
        <v>45041.125</v>
      </c>
      <c r="M118" s="5"/>
      <c r="N118" s="5"/>
      <c r="O118" s="5"/>
      <c r="R118"/>
      <c r="S118"/>
      <c r="T118"/>
    </row>
    <row r="119" spans="1:20" x14ac:dyDescent="0.3">
      <c r="A119" s="241" t="s">
        <v>295</v>
      </c>
      <c r="B119" s="9">
        <v>140</v>
      </c>
      <c r="C119" s="9">
        <v>0.2359</v>
      </c>
      <c r="D119" s="9">
        <v>0.2369</v>
      </c>
      <c r="E119" s="9">
        <f t="shared" si="5"/>
        <v>1.0000000000000009E-3</v>
      </c>
      <c r="F119" s="243">
        <f t="shared" si="6"/>
        <v>7.1428571428571495</v>
      </c>
      <c r="G119" s="9">
        <v>0</v>
      </c>
      <c r="H119" s="242"/>
      <c r="I119" s="245"/>
      <c r="J119" s="9">
        <v>3.2829999999999999</v>
      </c>
      <c r="K119" s="9">
        <v>271</v>
      </c>
      <c r="L119" s="244">
        <v>45041.541666666664</v>
      </c>
      <c r="M119" s="5"/>
      <c r="N119" s="5"/>
      <c r="O119" s="5"/>
      <c r="R119"/>
      <c r="S119"/>
      <c r="T119"/>
    </row>
    <row r="120" spans="1:20" x14ac:dyDescent="0.3">
      <c r="A120" s="241" t="s">
        <v>296</v>
      </c>
      <c r="B120" s="9" t="s">
        <v>179</v>
      </c>
      <c r="C120" s="9">
        <v>0.2306</v>
      </c>
      <c r="D120" s="9">
        <v>0.23139999999999999</v>
      </c>
      <c r="E120" s="9">
        <f t="shared" si="5"/>
        <v>7.9999999999999516E-4</v>
      </c>
      <c r="F120" s="243" t="s">
        <v>179</v>
      </c>
      <c r="G120" s="9">
        <v>0</v>
      </c>
      <c r="H120" s="242"/>
      <c r="I120" s="245"/>
      <c r="J120" s="9">
        <v>3.1280000000000001</v>
      </c>
      <c r="K120" s="9">
        <v>272</v>
      </c>
      <c r="L120" s="244">
        <v>45041.75</v>
      </c>
      <c r="M120" s="5"/>
      <c r="N120" s="5"/>
      <c r="O120" s="5"/>
      <c r="R120"/>
      <c r="S120"/>
      <c r="T120"/>
    </row>
    <row r="121" spans="1:20" x14ac:dyDescent="0.3">
      <c r="A121" s="241" t="s">
        <v>297</v>
      </c>
      <c r="B121" s="9">
        <v>145</v>
      </c>
      <c r="C121" s="9">
        <v>0.23280000000000001</v>
      </c>
      <c r="D121" s="9">
        <v>0.2336</v>
      </c>
      <c r="E121" s="9">
        <f t="shared" si="5"/>
        <v>7.9999999999999516E-4</v>
      </c>
      <c r="F121" s="243">
        <f t="shared" si="6"/>
        <v>5.5172413793103114</v>
      </c>
      <c r="G121" s="9">
        <v>0</v>
      </c>
      <c r="H121" s="242"/>
      <c r="I121" s="245"/>
      <c r="J121" s="9">
        <v>3.044</v>
      </c>
      <c r="K121" s="9">
        <v>273</v>
      </c>
      <c r="L121" s="244">
        <v>45042.5625</v>
      </c>
      <c r="M121" s="5"/>
      <c r="N121" s="5"/>
      <c r="O121" s="5"/>
      <c r="R121"/>
      <c r="S121"/>
      <c r="T121"/>
    </row>
    <row r="122" spans="1:20" x14ac:dyDescent="0.3">
      <c r="A122" s="241" t="s">
        <v>298</v>
      </c>
      <c r="B122" s="9">
        <v>150</v>
      </c>
      <c r="C122" s="9">
        <v>0.2356</v>
      </c>
      <c r="D122" s="9">
        <v>0.23730000000000001</v>
      </c>
      <c r="E122" s="9">
        <f t="shared" si="5"/>
        <v>1.7000000000000071E-3</v>
      </c>
      <c r="F122" s="243">
        <f t="shared" si="6"/>
        <v>11.33333333333338</v>
      </c>
      <c r="G122" s="9">
        <v>0</v>
      </c>
      <c r="H122" s="242"/>
      <c r="I122" s="245"/>
      <c r="J122" s="9">
        <v>3.0270000000000001</v>
      </c>
      <c r="K122" s="9">
        <v>274</v>
      </c>
      <c r="L122" s="244">
        <v>45042.791666666664</v>
      </c>
      <c r="M122" s="5"/>
      <c r="N122" s="5"/>
      <c r="O122" s="5"/>
      <c r="R122"/>
      <c r="S122"/>
      <c r="T122"/>
    </row>
    <row r="123" spans="1:20" x14ac:dyDescent="0.3">
      <c r="A123" s="241" t="s">
        <v>300</v>
      </c>
      <c r="B123" s="9">
        <v>150</v>
      </c>
      <c r="C123" s="9">
        <v>0.2394</v>
      </c>
      <c r="D123" s="9">
        <v>0.2404</v>
      </c>
      <c r="E123" s="9">
        <f t="shared" si="5"/>
        <v>1.0000000000000009E-3</v>
      </c>
      <c r="F123" s="243">
        <f t="shared" si="6"/>
        <v>6.6666666666666723</v>
      </c>
      <c r="G123" s="9">
        <v>0</v>
      </c>
      <c r="H123" s="242"/>
      <c r="I123" s="245"/>
      <c r="J123" s="9">
        <v>2.9550000000000001</v>
      </c>
      <c r="K123" s="9">
        <v>283</v>
      </c>
      <c r="L123" s="244">
        <v>45043</v>
      </c>
      <c r="M123" s="5"/>
      <c r="N123" s="5"/>
      <c r="O123" s="5"/>
      <c r="R123"/>
      <c r="S123"/>
      <c r="T123"/>
    </row>
    <row r="124" spans="1:20" x14ac:dyDescent="0.3">
      <c r="A124" s="241" t="s">
        <v>301</v>
      </c>
      <c r="B124" s="9">
        <v>170</v>
      </c>
      <c r="C124" s="9">
        <v>0.2349</v>
      </c>
      <c r="D124" s="9">
        <v>0.23580000000000001</v>
      </c>
      <c r="E124" s="9">
        <f t="shared" si="5"/>
        <v>9.000000000000119E-4</v>
      </c>
      <c r="F124" s="243">
        <f t="shared" si="6"/>
        <v>5.2941176470588935</v>
      </c>
      <c r="G124" s="9">
        <v>0</v>
      </c>
      <c r="H124" s="242"/>
      <c r="I124" s="245"/>
      <c r="J124" s="9">
        <v>2.5230000000000001</v>
      </c>
      <c r="K124" s="9">
        <v>284</v>
      </c>
      <c r="L124" s="244">
        <v>45043.208333333336</v>
      </c>
      <c r="M124" s="5"/>
      <c r="N124" s="5"/>
      <c r="O124" s="5"/>
      <c r="R124"/>
      <c r="S124"/>
      <c r="T124"/>
    </row>
    <row r="125" spans="1:20" x14ac:dyDescent="0.3">
      <c r="A125" s="241" t="s">
        <v>302</v>
      </c>
      <c r="B125" s="9" t="s">
        <v>179</v>
      </c>
      <c r="C125" s="9" t="s">
        <v>179</v>
      </c>
      <c r="D125" s="9" t="s">
        <v>179</v>
      </c>
      <c r="E125" s="9" t="s">
        <v>179</v>
      </c>
      <c r="F125" s="243" t="s">
        <v>179</v>
      </c>
      <c r="G125" s="9">
        <v>0</v>
      </c>
      <c r="H125" s="242"/>
      <c r="I125" s="245"/>
      <c r="J125" s="9">
        <v>2.681</v>
      </c>
      <c r="K125" s="9">
        <v>285</v>
      </c>
      <c r="L125" s="244">
        <v>45043.416666666664</v>
      </c>
      <c r="M125" s="5"/>
      <c r="N125" s="5"/>
      <c r="O125" s="5"/>
      <c r="R125"/>
      <c r="S125"/>
      <c r="T125"/>
    </row>
    <row r="126" spans="1:20" x14ac:dyDescent="0.3">
      <c r="A126" s="241" t="s">
        <v>303</v>
      </c>
      <c r="B126" s="9">
        <v>160</v>
      </c>
      <c r="C126" s="9">
        <v>0.2339</v>
      </c>
      <c r="D126" s="9">
        <v>0.2351</v>
      </c>
      <c r="E126" s="9">
        <f t="shared" si="5"/>
        <v>1.2000000000000066E-3</v>
      </c>
      <c r="F126" s="243">
        <f t="shared" si="6"/>
        <v>7.5000000000000417</v>
      </c>
      <c r="G126" s="9">
        <v>0</v>
      </c>
      <c r="H126" s="242"/>
      <c r="I126" s="245"/>
      <c r="J126" s="9">
        <v>3.456</v>
      </c>
      <c r="K126" s="9">
        <v>286</v>
      </c>
      <c r="L126" s="244">
        <v>45043.625</v>
      </c>
      <c r="M126" s="5"/>
      <c r="N126" s="5"/>
      <c r="O126" s="5"/>
      <c r="R126"/>
      <c r="S126"/>
      <c r="T126"/>
    </row>
    <row r="127" spans="1:20" x14ac:dyDescent="0.3">
      <c r="A127" s="241" t="s">
        <v>304</v>
      </c>
      <c r="B127" s="9" t="s">
        <v>179</v>
      </c>
      <c r="C127" s="9">
        <v>0.23080000000000001</v>
      </c>
      <c r="D127" s="9">
        <v>0.23230000000000001</v>
      </c>
      <c r="E127" s="9">
        <f t="shared" si="5"/>
        <v>1.5000000000000013E-3</v>
      </c>
      <c r="F127" s="243" t="s">
        <v>179</v>
      </c>
      <c r="G127" s="9">
        <v>0</v>
      </c>
      <c r="H127" s="242"/>
      <c r="I127" s="245"/>
      <c r="J127" s="9">
        <v>3.1459999999999999</v>
      </c>
      <c r="K127" s="9">
        <v>287</v>
      </c>
      <c r="L127" s="244">
        <v>45043.833333333336</v>
      </c>
      <c r="M127" s="5"/>
      <c r="N127" s="5"/>
      <c r="O127" s="5"/>
      <c r="R127"/>
      <c r="S127"/>
      <c r="T127"/>
    </row>
    <row r="128" spans="1:20" x14ac:dyDescent="0.3">
      <c r="A128" s="241" t="s">
        <v>305</v>
      </c>
      <c r="B128" s="9">
        <v>160</v>
      </c>
      <c r="C128" s="9">
        <v>0.2321</v>
      </c>
      <c r="D128" s="9">
        <v>0.2334</v>
      </c>
      <c r="E128" s="9">
        <f t="shared" si="5"/>
        <v>1.2999999999999956E-3</v>
      </c>
      <c r="F128" s="243">
        <f t="shared" si="6"/>
        <v>8.1249999999999734</v>
      </c>
      <c r="G128" s="9">
        <v>0</v>
      </c>
      <c r="H128" s="9"/>
      <c r="I128" s="245"/>
      <c r="J128" s="9">
        <v>3.0259999999999998</v>
      </c>
      <c r="K128" s="9">
        <v>288</v>
      </c>
      <c r="L128" s="244">
        <v>45044.041666666664</v>
      </c>
    </row>
    <row r="129" spans="1:12" x14ac:dyDescent="0.3">
      <c r="A129" s="241" t="s">
        <v>306</v>
      </c>
      <c r="B129" s="9">
        <v>155</v>
      </c>
      <c r="C129" s="9">
        <v>0.2331</v>
      </c>
      <c r="D129" s="9">
        <v>0.2349</v>
      </c>
      <c r="E129" s="9">
        <f t="shared" si="5"/>
        <v>1.799999999999996E-3</v>
      </c>
      <c r="F129" s="243">
        <f t="shared" si="6"/>
        <v>11.612903225806427</v>
      </c>
      <c r="G129" s="9">
        <v>0</v>
      </c>
      <c r="H129" s="9"/>
      <c r="I129" s="245"/>
      <c r="J129" s="9">
        <v>2.7909999999999999</v>
      </c>
      <c r="K129" s="9">
        <v>289</v>
      </c>
      <c r="L129" s="244">
        <v>45044.25</v>
      </c>
    </row>
    <row r="130" spans="1:12" x14ac:dyDescent="0.3">
      <c r="A130" s="241" t="s">
        <v>307</v>
      </c>
      <c r="B130" s="9">
        <v>160</v>
      </c>
      <c r="C130" s="9">
        <v>0.23139999999999999</v>
      </c>
      <c r="D130" s="9">
        <v>0.23269999999999999</v>
      </c>
      <c r="E130" s="9">
        <f t="shared" si="5"/>
        <v>1.2999999999999956E-3</v>
      </c>
      <c r="F130" s="243">
        <f t="shared" si="6"/>
        <v>8.1249999999999734</v>
      </c>
      <c r="G130" s="9">
        <v>0</v>
      </c>
      <c r="H130" s="9"/>
      <c r="I130" s="245"/>
      <c r="J130" s="9">
        <v>2.6970000000000001</v>
      </c>
      <c r="K130" s="9">
        <v>290</v>
      </c>
      <c r="L130" s="244">
        <v>45044.458333333336</v>
      </c>
    </row>
    <row r="131" spans="1:12" x14ac:dyDescent="0.3">
      <c r="A131" s="241" t="s">
        <v>308</v>
      </c>
      <c r="B131" s="9">
        <v>150</v>
      </c>
      <c r="C131" s="9">
        <v>0.2321</v>
      </c>
      <c r="D131" s="9">
        <v>0.2331</v>
      </c>
      <c r="E131" s="9">
        <f t="shared" si="5"/>
        <v>1.0000000000000009E-3</v>
      </c>
      <c r="F131" s="243">
        <f t="shared" si="6"/>
        <v>6.6666666666666723</v>
      </c>
      <c r="G131" s="9">
        <v>56.02</v>
      </c>
      <c r="H131" s="9"/>
      <c r="I131" s="245"/>
      <c r="J131" s="9">
        <v>3.1160000000000001</v>
      </c>
      <c r="K131" s="9">
        <v>291</v>
      </c>
      <c r="L131" s="244">
        <v>45044.666666666664</v>
      </c>
    </row>
    <row r="132" spans="1:12" x14ac:dyDescent="0.3">
      <c r="A132" s="241" t="s">
        <v>309</v>
      </c>
      <c r="B132" s="9">
        <v>160</v>
      </c>
      <c r="C132" s="9">
        <v>0.2354</v>
      </c>
      <c r="D132" s="9">
        <v>0.23599999999999999</v>
      </c>
      <c r="E132" s="9">
        <f t="shared" si="5"/>
        <v>5.9999999999998943E-4</v>
      </c>
      <c r="F132" s="243">
        <f t="shared" si="6"/>
        <v>3.7499999999999338</v>
      </c>
      <c r="G132" s="9">
        <v>0</v>
      </c>
      <c r="H132" s="9"/>
      <c r="I132" s="245"/>
      <c r="J132" s="9">
        <v>2.9769999999999999</v>
      </c>
      <c r="K132" s="9">
        <v>302</v>
      </c>
      <c r="L132" s="247">
        <v>45044.875</v>
      </c>
    </row>
    <row r="133" spans="1:12" x14ac:dyDescent="0.3">
      <c r="A133" s="241" t="s">
        <v>310</v>
      </c>
      <c r="B133" s="9">
        <v>160</v>
      </c>
      <c r="C133" s="9">
        <v>0.23300000000000001</v>
      </c>
      <c r="D133" s="9">
        <v>0.23480000000000001</v>
      </c>
      <c r="E133" s="9">
        <f t="shared" si="5"/>
        <v>1.799999999999996E-3</v>
      </c>
      <c r="F133" s="243">
        <f t="shared" si="6"/>
        <v>11.249999999999975</v>
      </c>
      <c r="G133" s="9">
        <v>0</v>
      </c>
      <c r="H133" s="9"/>
      <c r="I133" s="245"/>
      <c r="J133" s="9">
        <v>2.8260000000000001</v>
      </c>
      <c r="K133" s="9">
        <v>303</v>
      </c>
      <c r="L133" s="244">
        <v>45045.083333333336</v>
      </c>
    </row>
    <row r="134" spans="1:12" x14ac:dyDescent="0.3">
      <c r="A134" s="241" t="s">
        <v>311</v>
      </c>
      <c r="B134" s="9">
        <v>150</v>
      </c>
      <c r="C134" s="9">
        <v>0.23630000000000001</v>
      </c>
      <c r="D134" s="9">
        <v>0.23699999999999999</v>
      </c>
      <c r="E134" s="9">
        <f t="shared" si="5"/>
        <v>6.9999999999997842E-4</v>
      </c>
      <c r="F134" s="243">
        <f t="shared" si="6"/>
        <v>4.6666666666665231</v>
      </c>
      <c r="G134" s="9">
        <v>0</v>
      </c>
      <c r="H134" s="9"/>
      <c r="I134" s="245"/>
      <c r="J134" s="9">
        <v>2.944</v>
      </c>
      <c r="K134" s="9">
        <v>304</v>
      </c>
      <c r="L134" s="244">
        <v>45045.5</v>
      </c>
    </row>
    <row r="135" spans="1:12" x14ac:dyDescent="0.3">
      <c r="A135" s="241" t="s">
        <v>312</v>
      </c>
      <c r="B135" s="9">
        <v>165</v>
      </c>
      <c r="C135" s="9">
        <v>0.2321</v>
      </c>
      <c r="D135" s="9">
        <v>0.23449999999999999</v>
      </c>
      <c r="E135" s="9">
        <f t="shared" si="5"/>
        <v>2.3999999999999855E-3</v>
      </c>
      <c r="F135" s="243">
        <f t="shared" si="6"/>
        <v>14.545454545454458</v>
      </c>
      <c r="G135" s="9">
        <v>0</v>
      </c>
      <c r="H135" s="9"/>
      <c r="I135" s="245"/>
      <c r="J135" s="9">
        <v>4.681</v>
      </c>
      <c r="K135" s="9">
        <v>305</v>
      </c>
      <c r="L135" s="244">
        <v>45045.708333333336</v>
      </c>
    </row>
    <row r="136" spans="1:12" x14ac:dyDescent="0.3">
      <c r="A136" s="241" t="s">
        <v>313</v>
      </c>
      <c r="B136" s="9">
        <v>140</v>
      </c>
      <c r="C136" s="9">
        <v>0.2331</v>
      </c>
      <c r="D136" s="9">
        <v>0.2344</v>
      </c>
      <c r="E136" s="9">
        <f t="shared" si="5"/>
        <v>1.2999999999999956E-3</v>
      </c>
      <c r="F136" s="243">
        <f t="shared" si="6"/>
        <v>9.2857142857142527</v>
      </c>
      <c r="G136" s="9">
        <v>0</v>
      </c>
      <c r="H136" s="9"/>
      <c r="I136" s="245"/>
      <c r="J136" s="9">
        <v>3.395</v>
      </c>
      <c r="K136" s="9">
        <v>306</v>
      </c>
      <c r="L136" s="244">
        <v>45045.916666666664</v>
      </c>
    </row>
    <row r="137" spans="1:12" x14ac:dyDescent="0.3">
      <c r="A137" s="241" t="s">
        <v>314</v>
      </c>
      <c r="B137" s="9">
        <v>160</v>
      </c>
      <c r="C137" s="9">
        <v>0.23719999999999999</v>
      </c>
      <c r="D137" s="9">
        <v>0.23830000000000001</v>
      </c>
      <c r="E137" s="9">
        <f t="shared" si="5"/>
        <v>1.1000000000000176E-3</v>
      </c>
      <c r="F137" s="243">
        <f t="shared" si="6"/>
        <v>6.8750000000001101</v>
      </c>
      <c r="G137" s="9">
        <v>0</v>
      </c>
      <c r="H137" s="9"/>
      <c r="I137" s="245"/>
      <c r="J137" s="9">
        <v>3.1139999999999999</v>
      </c>
      <c r="K137" s="9">
        <v>307</v>
      </c>
      <c r="L137" s="244">
        <v>45046.125</v>
      </c>
    </row>
    <row r="138" spans="1:12" x14ac:dyDescent="0.3">
      <c r="A138" s="241" t="s">
        <v>315</v>
      </c>
      <c r="B138" s="9">
        <v>160</v>
      </c>
      <c r="C138" s="9">
        <v>0.23089999999999999</v>
      </c>
      <c r="D138" s="9">
        <v>0.23130000000000001</v>
      </c>
      <c r="E138" s="9">
        <f t="shared" si="5"/>
        <v>4.0000000000001146E-4</v>
      </c>
      <c r="F138" s="243">
        <f t="shared" si="6"/>
        <v>2.5000000000000715</v>
      </c>
      <c r="G138" s="9">
        <v>0</v>
      </c>
      <c r="H138" s="9"/>
      <c r="I138" s="245"/>
      <c r="J138" s="9">
        <v>2.9430000000000001</v>
      </c>
      <c r="K138" s="9">
        <v>308</v>
      </c>
      <c r="L138" s="244">
        <v>45046.333333333336</v>
      </c>
    </row>
    <row r="139" spans="1:12" x14ac:dyDescent="0.3">
      <c r="A139" s="241" t="s">
        <v>316</v>
      </c>
      <c r="B139" s="9">
        <v>150</v>
      </c>
      <c r="C139" s="9">
        <v>0.2354</v>
      </c>
      <c r="D139" s="9">
        <v>0.23730000000000001</v>
      </c>
      <c r="E139" s="9">
        <f t="shared" si="5"/>
        <v>1.9000000000000128E-3</v>
      </c>
      <c r="F139" s="243">
        <f t="shared" si="6"/>
        <v>12.666666666666751</v>
      </c>
      <c r="G139" s="9">
        <v>43.66</v>
      </c>
      <c r="H139" s="9"/>
      <c r="I139" s="245"/>
      <c r="J139" s="9">
        <v>4.1040000000000001</v>
      </c>
      <c r="K139" s="9">
        <v>309</v>
      </c>
      <c r="L139" s="244">
        <v>45046.541666666664</v>
      </c>
    </row>
    <row r="140" spans="1:12" x14ac:dyDescent="0.3">
      <c r="A140" s="241" t="s">
        <v>317</v>
      </c>
      <c r="B140" s="9">
        <v>140</v>
      </c>
      <c r="C140" s="9">
        <v>0.2351</v>
      </c>
      <c r="D140" s="9">
        <v>0.2414</v>
      </c>
      <c r="E140" s="9">
        <f t="shared" si="5"/>
        <v>6.3E-3</v>
      </c>
      <c r="F140" s="243">
        <f t="shared" si="6"/>
        <v>45.000000000000007</v>
      </c>
      <c r="G140" s="9">
        <v>85.5</v>
      </c>
      <c r="H140" s="9"/>
      <c r="I140" s="245"/>
      <c r="J140" s="9">
        <v>4.9790000000000001</v>
      </c>
      <c r="K140" s="9">
        <v>310</v>
      </c>
      <c r="L140" s="244">
        <v>45046.75</v>
      </c>
    </row>
    <row r="141" spans="1:12" x14ac:dyDescent="0.3">
      <c r="A141" s="241" t="s">
        <v>318</v>
      </c>
      <c r="B141" s="9">
        <v>150</v>
      </c>
      <c r="C141" s="9">
        <v>0.2346</v>
      </c>
      <c r="D141" s="9">
        <v>0.23669999999999999</v>
      </c>
      <c r="E141" s="9">
        <f t="shared" si="5"/>
        <v>2.0999999999999908E-3</v>
      </c>
      <c r="F141" s="243">
        <f t="shared" si="6"/>
        <v>13.99999999999994</v>
      </c>
      <c r="G141" s="9">
        <v>0</v>
      </c>
      <c r="H141" s="9"/>
      <c r="I141" s="245"/>
      <c r="J141" s="9">
        <v>3.871</v>
      </c>
      <c r="K141" s="9">
        <v>311</v>
      </c>
      <c r="L141" s="244">
        <v>45046.958333333336</v>
      </c>
    </row>
    <row r="142" spans="1:12" x14ac:dyDescent="0.3">
      <c r="A142" s="241" t="s">
        <v>319</v>
      </c>
      <c r="B142" s="9">
        <v>150</v>
      </c>
      <c r="C142" s="9">
        <v>0.23499999999999999</v>
      </c>
      <c r="D142" s="9">
        <v>0.23649999999999999</v>
      </c>
      <c r="E142" s="9">
        <f t="shared" si="5"/>
        <v>1.5000000000000013E-3</v>
      </c>
      <c r="F142" s="243">
        <f t="shared" si="6"/>
        <v>10.000000000000009</v>
      </c>
      <c r="G142" s="9">
        <v>0</v>
      </c>
      <c r="H142" s="9"/>
      <c r="I142" s="245"/>
      <c r="J142" s="9">
        <v>3.4740000000000002</v>
      </c>
      <c r="K142" s="9">
        <v>312</v>
      </c>
      <c r="L142" s="244">
        <v>45047.166666666664</v>
      </c>
    </row>
    <row r="143" spans="1:12" x14ac:dyDescent="0.3">
      <c r="A143" s="241" t="s">
        <v>320</v>
      </c>
      <c r="B143" s="9">
        <v>160</v>
      </c>
      <c r="C143" s="9">
        <v>0.2334</v>
      </c>
      <c r="D143" s="9">
        <v>0.23469999999999999</v>
      </c>
      <c r="E143" s="9">
        <f t="shared" si="5"/>
        <v>1.2999999999999956E-3</v>
      </c>
      <c r="F143" s="243">
        <f t="shared" si="6"/>
        <v>8.1249999999999734</v>
      </c>
      <c r="G143" s="9">
        <v>0</v>
      </c>
      <c r="H143" s="9"/>
      <c r="I143" s="245"/>
      <c r="J143" s="9">
        <v>3.2690000000000001</v>
      </c>
      <c r="K143" s="9">
        <v>313</v>
      </c>
      <c r="L143" s="244">
        <v>45047.375</v>
      </c>
    </row>
    <row r="144" spans="1:12" x14ac:dyDescent="0.3">
      <c r="A144" s="241" t="s">
        <v>321</v>
      </c>
      <c r="B144" s="9">
        <v>170</v>
      </c>
      <c r="C144" s="9">
        <v>0.2359</v>
      </c>
      <c r="D144" s="9">
        <v>0.2382</v>
      </c>
      <c r="E144" s="9">
        <f t="shared" ref="E144:E160" si="7">D144-C144</f>
        <v>2.2999999999999965E-3</v>
      </c>
      <c r="F144" s="243">
        <f t="shared" ref="F144:F159" si="8">E144/B144*1000*1000</f>
        <v>13.529411764705863</v>
      </c>
      <c r="G144" s="9">
        <v>0</v>
      </c>
      <c r="H144" s="9"/>
      <c r="I144" s="245"/>
      <c r="J144" s="9">
        <v>4.6879999999999997</v>
      </c>
      <c r="K144" s="9">
        <v>314</v>
      </c>
      <c r="L144" s="244">
        <v>45047.583333333336</v>
      </c>
    </row>
    <row r="145" spans="1:12" x14ac:dyDescent="0.3">
      <c r="A145" s="241" t="s">
        <v>322</v>
      </c>
      <c r="B145" s="9">
        <v>150</v>
      </c>
      <c r="C145" s="9">
        <v>0.23849999999999999</v>
      </c>
      <c r="D145" s="9">
        <v>0.24149999999999999</v>
      </c>
      <c r="E145" s="9">
        <f t="shared" si="7"/>
        <v>3.0000000000000027E-3</v>
      </c>
      <c r="F145" s="243">
        <f t="shared" si="8"/>
        <v>20.000000000000018</v>
      </c>
      <c r="G145" s="9">
        <v>64.14</v>
      </c>
      <c r="H145" s="9"/>
      <c r="I145" s="245"/>
      <c r="J145" s="120">
        <v>3.9550000000000001</v>
      </c>
      <c r="K145" s="120">
        <v>328</v>
      </c>
      <c r="L145" s="244">
        <v>45047.833333333336</v>
      </c>
    </row>
    <row r="146" spans="1:12" x14ac:dyDescent="0.3">
      <c r="A146" s="241" t="s">
        <v>323</v>
      </c>
      <c r="B146" s="9">
        <v>160</v>
      </c>
      <c r="C146" s="9">
        <v>0.24010000000000001</v>
      </c>
      <c r="D146" s="9">
        <v>0.2417</v>
      </c>
      <c r="E146" s="9">
        <f t="shared" si="7"/>
        <v>1.5999999999999903E-3</v>
      </c>
      <c r="F146" s="243">
        <f t="shared" si="8"/>
        <v>9.9999999999999396</v>
      </c>
      <c r="G146" s="9">
        <v>0</v>
      </c>
      <c r="H146" s="9"/>
      <c r="I146" s="245"/>
      <c r="J146" s="9">
        <v>3.2229999999999999</v>
      </c>
      <c r="K146" s="9">
        <v>329</v>
      </c>
      <c r="L146" s="244">
        <v>45048.125</v>
      </c>
    </row>
    <row r="147" spans="1:12" x14ac:dyDescent="0.3">
      <c r="A147" s="241" t="s">
        <v>324</v>
      </c>
      <c r="B147" s="9">
        <v>160</v>
      </c>
      <c r="C147" s="9">
        <v>0.23649999999999999</v>
      </c>
      <c r="D147" s="9">
        <v>0.2366</v>
      </c>
      <c r="E147" s="9">
        <f t="shared" si="7"/>
        <v>1.0000000000001674E-4</v>
      </c>
      <c r="F147" s="243">
        <f t="shared" si="8"/>
        <v>0.62500000000010458</v>
      </c>
      <c r="G147" s="9">
        <v>0</v>
      </c>
      <c r="H147" s="9"/>
      <c r="I147" s="245"/>
      <c r="J147" s="9">
        <v>3.044</v>
      </c>
      <c r="K147" s="9">
        <v>330</v>
      </c>
      <c r="L147" s="244">
        <v>45048.416666666664</v>
      </c>
    </row>
    <row r="148" spans="1:12" x14ac:dyDescent="0.3">
      <c r="A148" s="241" t="s">
        <v>325</v>
      </c>
      <c r="B148" s="9">
        <v>160</v>
      </c>
      <c r="C148" s="9">
        <v>0.2344</v>
      </c>
      <c r="D148" s="9">
        <v>0.2351</v>
      </c>
      <c r="E148" s="9">
        <f t="shared" si="7"/>
        <v>7.0000000000000617E-4</v>
      </c>
      <c r="F148" s="243">
        <f t="shared" si="8"/>
        <v>4.3750000000000382</v>
      </c>
      <c r="G148" s="9">
        <v>0</v>
      </c>
      <c r="H148" s="9"/>
      <c r="I148" s="245"/>
      <c r="J148" s="9">
        <v>3.4780000000000002</v>
      </c>
      <c r="K148" s="9">
        <v>331</v>
      </c>
      <c r="L148" s="244">
        <v>45048.708333333336</v>
      </c>
    </row>
    <row r="149" spans="1:12" x14ac:dyDescent="0.3">
      <c r="A149" s="241" t="s">
        <v>326</v>
      </c>
      <c r="B149" s="9">
        <v>150</v>
      </c>
      <c r="C149" s="9">
        <v>0.23019999999999999</v>
      </c>
      <c r="D149" s="9">
        <v>0.23069999999999999</v>
      </c>
      <c r="E149" s="9">
        <f t="shared" si="7"/>
        <v>5.0000000000000044E-4</v>
      </c>
      <c r="F149" s="243">
        <f t="shared" si="8"/>
        <v>3.3333333333333361</v>
      </c>
      <c r="G149" s="9">
        <v>0</v>
      </c>
      <c r="H149" s="9"/>
      <c r="I149" s="245"/>
      <c r="J149" s="9">
        <v>3.1890000000000001</v>
      </c>
      <c r="K149" s="9">
        <v>332</v>
      </c>
      <c r="L149" s="244">
        <v>45049</v>
      </c>
    </row>
    <row r="150" spans="1:12" x14ac:dyDescent="0.3">
      <c r="A150" s="9" t="s">
        <v>327</v>
      </c>
      <c r="B150" s="9">
        <v>140</v>
      </c>
      <c r="C150" s="9">
        <v>0.22739999999999999</v>
      </c>
      <c r="D150" s="9">
        <v>0.2281</v>
      </c>
      <c r="E150" s="9">
        <f t="shared" si="7"/>
        <v>7.0000000000000617E-4</v>
      </c>
      <c r="F150" s="243">
        <f t="shared" si="8"/>
        <v>5.0000000000000444</v>
      </c>
      <c r="G150" s="9">
        <v>0</v>
      </c>
      <c r="H150" s="9"/>
      <c r="I150" s="245"/>
      <c r="J150" s="9">
        <v>2.7290000000000001</v>
      </c>
      <c r="K150" s="9">
        <v>333</v>
      </c>
      <c r="L150" s="244">
        <v>45049.291666666664</v>
      </c>
    </row>
    <row r="151" spans="1:12" x14ac:dyDescent="0.3">
      <c r="A151" s="9" t="s">
        <v>328</v>
      </c>
      <c r="B151" s="9">
        <v>150</v>
      </c>
      <c r="C151" s="9">
        <v>0.23150000000000001</v>
      </c>
      <c r="D151" s="9">
        <v>0.2331</v>
      </c>
      <c r="E151" s="9">
        <f t="shared" si="7"/>
        <v>1.5999999999999903E-3</v>
      </c>
      <c r="F151" s="243">
        <f t="shared" si="8"/>
        <v>10.666666666666602</v>
      </c>
      <c r="G151" s="9">
        <v>39.619999999999997</v>
      </c>
      <c r="H151" s="9"/>
      <c r="I151" s="245"/>
      <c r="J151" s="9">
        <v>3.419</v>
      </c>
      <c r="K151" s="9">
        <v>334</v>
      </c>
      <c r="L151" s="244">
        <v>45049.583333333336</v>
      </c>
    </row>
    <row r="152" spans="1:12" x14ac:dyDescent="0.3">
      <c r="A152" s="9" t="s">
        <v>329</v>
      </c>
      <c r="B152" s="9">
        <v>160</v>
      </c>
      <c r="C152" s="9">
        <v>0.23280000000000001</v>
      </c>
      <c r="D152" s="9">
        <v>0.23669999999999999</v>
      </c>
      <c r="E152" s="9">
        <f t="shared" si="7"/>
        <v>3.8999999999999868E-3</v>
      </c>
      <c r="F152" s="243">
        <f t="shared" si="8"/>
        <v>24.374999999999918</v>
      </c>
      <c r="G152" s="9">
        <v>87.1</v>
      </c>
      <c r="H152" s="9"/>
      <c r="I152" s="245"/>
      <c r="J152" s="9">
        <v>4.0039999999999996</v>
      </c>
      <c r="K152" s="9">
        <v>335</v>
      </c>
      <c r="L152" s="244">
        <v>45049.833333333336</v>
      </c>
    </row>
    <row r="153" spans="1:12" x14ac:dyDescent="0.3">
      <c r="A153" s="9"/>
      <c r="B153" s="9"/>
      <c r="C153" s="9"/>
      <c r="D153" s="9"/>
      <c r="E153" s="9"/>
      <c r="F153" s="9"/>
      <c r="G153" s="9">
        <v>0</v>
      </c>
      <c r="H153" s="9"/>
      <c r="I153" s="245"/>
      <c r="J153" s="9" t="s">
        <v>179</v>
      </c>
      <c r="K153" s="9" t="s">
        <v>179</v>
      </c>
      <c r="L153" s="244">
        <v>45049.958333333336</v>
      </c>
    </row>
    <row r="154" spans="1:12" x14ac:dyDescent="0.3">
      <c r="A154" s="9"/>
      <c r="B154" s="9"/>
      <c r="C154" s="9"/>
      <c r="D154" s="9"/>
      <c r="E154" s="9"/>
      <c r="F154" s="9"/>
      <c r="G154" s="9">
        <v>26.28</v>
      </c>
      <c r="H154" s="9"/>
      <c r="I154" s="245"/>
      <c r="J154" s="9" t="s">
        <v>179</v>
      </c>
      <c r="K154" s="9" t="s">
        <v>179</v>
      </c>
      <c r="L154" s="244">
        <v>45050.083333333336</v>
      </c>
    </row>
    <row r="155" spans="1:12" x14ac:dyDescent="0.3">
      <c r="A155" s="9" t="s">
        <v>330</v>
      </c>
      <c r="B155" s="9">
        <v>160</v>
      </c>
      <c r="C155" s="9">
        <v>0.2341</v>
      </c>
      <c r="D155" s="9">
        <v>0.23499999999999999</v>
      </c>
      <c r="E155" s="9">
        <f>D155-C155</f>
        <v>8.9999999999998415E-4</v>
      </c>
      <c r="F155" s="243">
        <f>E155/B155*1000*1000</f>
        <v>5.6249999999999005</v>
      </c>
      <c r="G155" s="9">
        <v>0</v>
      </c>
      <c r="H155" s="9"/>
      <c r="I155" s="245"/>
      <c r="J155" s="9">
        <v>2.944</v>
      </c>
      <c r="K155" s="9">
        <v>336</v>
      </c>
      <c r="L155" s="244">
        <v>45050.208333333336</v>
      </c>
    </row>
    <row r="156" spans="1:12" x14ac:dyDescent="0.3">
      <c r="A156" s="9"/>
      <c r="B156" s="9"/>
      <c r="C156" s="9"/>
      <c r="D156" s="9"/>
      <c r="E156" s="9"/>
      <c r="F156" s="9"/>
      <c r="G156" s="9">
        <v>0</v>
      </c>
      <c r="H156" s="9"/>
      <c r="I156" s="245"/>
      <c r="J156" s="9" t="s">
        <v>179</v>
      </c>
      <c r="K156" s="9" t="s">
        <v>179</v>
      </c>
      <c r="L156" s="244">
        <v>45050.333333333336</v>
      </c>
    </row>
    <row r="157" spans="1:12" x14ac:dyDescent="0.3">
      <c r="A157" s="9"/>
      <c r="B157" s="9"/>
      <c r="C157" s="9"/>
      <c r="D157" s="9"/>
      <c r="E157" s="9"/>
      <c r="F157" s="9"/>
      <c r="G157" s="9">
        <v>35.26</v>
      </c>
      <c r="H157" s="9"/>
      <c r="I157" s="245"/>
      <c r="J157" s="9" t="s">
        <v>179</v>
      </c>
      <c r="K157" s="9" t="s">
        <v>179</v>
      </c>
      <c r="L157" s="244">
        <v>45050.458333333336</v>
      </c>
    </row>
    <row r="158" spans="1:12" x14ac:dyDescent="0.3">
      <c r="A158" s="9" t="s">
        <v>331</v>
      </c>
      <c r="B158" s="9">
        <v>155</v>
      </c>
      <c r="C158" s="9">
        <v>0.222</v>
      </c>
      <c r="D158" s="9">
        <v>0.22220000000000001</v>
      </c>
      <c r="E158" s="9">
        <f>D158-C158</f>
        <v>2.0000000000000573E-4</v>
      </c>
      <c r="F158" s="243">
        <f>E158/B158*1000*1000</f>
        <v>1.2903225806451981</v>
      </c>
      <c r="G158" s="9">
        <v>0</v>
      </c>
      <c r="H158" s="9"/>
      <c r="I158" s="245"/>
      <c r="J158" s="9">
        <v>3.504</v>
      </c>
      <c r="K158" s="9">
        <v>337</v>
      </c>
      <c r="L158" s="244">
        <v>45050.583333333336</v>
      </c>
    </row>
    <row r="159" spans="1:12" x14ac:dyDescent="0.3">
      <c r="A159" s="9"/>
      <c r="B159" s="9"/>
      <c r="C159" s="9"/>
      <c r="D159" s="9"/>
      <c r="E159" s="9"/>
      <c r="F159" s="9"/>
      <c r="G159" s="9">
        <v>72.78</v>
      </c>
      <c r="H159" s="9"/>
      <c r="I159" s="245"/>
      <c r="J159" s="9" t="s">
        <v>179</v>
      </c>
      <c r="K159" s="9" t="s">
        <v>179</v>
      </c>
      <c r="L159" s="244">
        <v>45050.708333333336</v>
      </c>
    </row>
    <row r="160" spans="1:12" x14ac:dyDescent="0.3">
      <c r="A160" s="9" t="s">
        <v>332</v>
      </c>
      <c r="B160" s="9">
        <v>140</v>
      </c>
      <c r="C160" s="9">
        <v>0.23089999999999999</v>
      </c>
      <c r="D160" s="9">
        <v>0.23100000000000001</v>
      </c>
      <c r="E160" s="9">
        <f>D160-C160</f>
        <v>1.0000000000001674E-4</v>
      </c>
      <c r="F160" s="243">
        <f>E160/B160*1000*1000</f>
        <v>0.71428571428583387</v>
      </c>
      <c r="G160" s="9">
        <v>25.16</v>
      </c>
      <c r="H160" s="240">
        <v>1.17180656445E-2</v>
      </c>
      <c r="I160" s="245">
        <f t="shared" ref="I118:I167" si="9">H160/(B160/1000)</f>
        <v>8.3700468889285701E-2</v>
      </c>
      <c r="J160" s="9">
        <v>3.5750000000000002</v>
      </c>
      <c r="K160" s="9">
        <v>338</v>
      </c>
      <c r="L160" s="244">
        <v>45050.833333333336</v>
      </c>
    </row>
    <row r="161" spans="1:12" x14ac:dyDescent="0.3">
      <c r="A161" s="9" t="s">
        <v>333</v>
      </c>
      <c r="B161" s="9">
        <v>140</v>
      </c>
      <c r="C161" s="9">
        <v>0.23469999999999999</v>
      </c>
      <c r="D161" s="9">
        <v>0.23549999999999999</v>
      </c>
      <c r="E161" s="9">
        <f>D161-C161</f>
        <v>7.9999999999999516E-4</v>
      </c>
      <c r="F161" s="243">
        <f>E161/B161*1000*1000</f>
        <v>5.7142857142856798</v>
      </c>
      <c r="G161" s="9">
        <v>15.19</v>
      </c>
      <c r="H161" s="240">
        <v>8.6452595395000009E-3</v>
      </c>
      <c r="I161" s="245">
        <f t="shared" si="9"/>
        <v>6.1751853853571431E-2</v>
      </c>
      <c r="J161" s="9">
        <v>3.2189999999999999</v>
      </c>
      <c r="K161" s="9">
        <v>339</v>
      </c>
      <c r="L161" s="244">
        <v>45050.958333333336</v>
      </c>
    </row>
    <row r="162" spans="1:12" x14ac:dyDescent="0.3">
      <c r="A162" s="9"/>
      <c r="B162" s="9"/>
      <c r="C162" s="9"/>
      <c r="D162" s="9"/>
      <c r="E162" s="9"/>
      <c r="F162" s="9"/>
      <c r="G162" s="9">
        <v>99.54</v>
      </c>
      <c r="H162" s="9"/>
      <c r="I162" s="245"/>
      <c r="J162" s="9" t="s">
        <v>179</v>
      </c>
      <c r="K162" s="9" t="s">
        <v>179</v>
      </c>
      <c r="L162" s="244">
        <v>45051.083333333336</v>
      </c>
    </row>
    <row r="163" spans="1:12" x14ac:dyDescent="0.3">
      <c r="A163" s="9" t="s">
        <v>334</v>
      </c>
      <c r="B163" s="9">
        <v>140</v>
      </c>
      <c r="C163" s="9">
        <v>0.23580000000000001</v>
      </c>
      <c r="D163" s="9">
        <v>0.2361</v>
      </c>
      <c r="E163" s="9">
        <f>D163-C163</f>
        <v>2.9999999999999472E-4</v>
      </c>
      <c r="F163" s="243">
        <f>E163/B163*1000*1000</f>
        <v>2.142857142857105</v>
      </c>
      <c r="G163" s="9">
        <v>0</v>
      </c>
      <c r="H163" s="9"/>
      <c r="I163" s="245"/>
      <c r="J163" s="9">
        <v>2.7109999999999999</v>
      </c>
      <c r="K163" s="9">
        <v>340</v>
      </c>
      <c r="L163" s="244">
        <v>45051.208333333336</v>
      </c>
    </row>
    <row r="164" spans="1:12" x14ac:dyDescent="0.3">
      <c r="A164" s="9"/>
      <c r="B164" s="9"/>
      <c r="C164" s="9"/>
      <c r="D164" s="9"/>
      <c r="E164" s="9"/>
      <c r="F164" s="9"/>
      <c r="G164" s="9">
        <v>40.119999999999997</v>
      </c>
      <c r="H164" s="9"/>
      <c r="I164" s="245"/>
      <c r="J164" s="9" t="s">
        <v>179</v>
      </c>
      <c r="K164" s="9" t="s">
        <v>179</v>
      </c>
      <c r="L164" s="244">
        <v>45051.333333333336</v>
      </c>
    </row>
    <row r="165" spans="1:12" x14ac:dyDescent="0.3">
      <c r="A165" s="9" t="s">
        <v>335</v>
      </c>
      <c r="B165" s="9">
        <v>150</v>
      </c>
      <c r="C165" s="9">
        <v>0.2329</v>
      </c>
      <c r="D165" s="9">
        <v>0.23300000000000001</v>
      </c>
      <c r="E165" s="9">
        <f>D165-C165</f>
        <v>1.0000000000001674E-4</v>
      </c>
      <c r="F165" s="243">
        <f>E165/B165*1000*1000</f>
        <v>0.66666666666677832</v>
      </c>
      <c r="G165" s="9">
        <v>25.61</v>
      </c>
      <c r="H165" s="240">
        <v>7.4314243210000007E-3</v>
      </c>
      <c r="I165" s="245">
        <f t="shared" si="9"/>
        <v>4.9542828806666675E-2</v>
      </c>
      <c r="J165" s="9">
        <v>2.7170000000000001</v>
      </c>
      <c r="K165" s="9">
        <v>341</v>
      </c>
      <c r="L165" s="244">
        <v>45051.458333333336</v>
      </c>
    </row>
    <row r="166" spans="1:12" x14ac:dyDescent="0.3">
      <c r="A166" s="9"/>
      <c r="B166" s="9"/>
      <c r="C166" s="9"/>
      <c r="D166" s="9"/>
      <c r="E166" s="9"/>
      <c r="F166" s="9"/>
      <c r="G166" s="9">
        <v>0</v>
      </c>
      <c r="H166" s="9"/>
      <c r="I166" s="245"/>
      <c r="J166" s="9" t="s">
        <v>179</v>
      </c>
      <c r="K166" s="9" t="s">
        <v>179</v>
      </c>
      <c r="L166" s="244">
        <v>45051.583333333336</v>
      </c>
    </row>
    <row r="167" spans="1:12" x14ac:dyDescent="0.3">
      <c r="A167" s="9" t="s">
        <v>336</v>
      </c>
      <c r="B167" s="9">
        <v>150</v>
      </c>
      <c r="C167" s="9">
        <v>0.23180000000000001</v>
      </c>
      <c r="D167" s="9">
        <v>0.23319999999999999</v>
      </c>
      <c r="E167" s="9">
        <f>D167-C167</f>
        <v>1.3999999999999846E-3</v>
      </c>
      <c r="F167" s="243" t="s">
        <v>179</v>
      </c>
      <c r="G167" s="9">
        <v>30.82</v>
      </c>
      <c r="H167" s="240">
        <v>9.3669671855000011E-3</v>
      </c>
      <c r="I167" s="245">
        <f t="shared" si="9"/>
        <v>6.2446447903333341E-2</v>
      </c>
      <c r="J167" s="9">
        <v>3.8330000000000002</v>
      </c>
      <c r="K167" s="9">
        <v>342</v>
      </c>
      <c r="L167" s="244">
        <v>45051.708333333336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8195B-C2B1-40DF-A713-EC36D1F92D07}">
  <dimension ref="A1:Q87"/>
  <sheetViews>
    <sheetView zoomScale="85" zoomScaleNormal="85" workbookViewId="0">
      <selection activeCell="F2" sqref="F2"/>
    </sheetView>
  </sheetViews>
  <sheetFormatPr defaultRowHeight="14.4" x14ac:dyDescent="0.3"/>
  <cols>
    <col min="1" max="1" width="26.6640625" style="5" customWidth="1"/>
    <col min="2" max="2" width="15.44140625" style="5" customWidth="1"/>
    <col min="3" max="3" width="16.33203125" style="5" customWidth="1"/>
    <col min="4" max="4" width="12.6640625" style="5" customWidth="1"/>
    <col min="5" max="5" width="22.44140625" style="5" customWidth="1"/>
    <col min="6" max="10" width="16.88671875" style="5" customWidth="1"/>
    <col min="11" max="11" width="15.44140625" style="5" customWidth="1"/>
    <col min="12" max="12" width="16.33203125" style="5" customWidth="1"/>
    <col min="13" max="13" width="16.88671875" style="5" customWidth="1"/>
    <col min="14" max="14" width="12.109375" customWidth="1"/>
    <col min="15" max="15" width="18" customWidth="1"/>
    <col min="16" max="16" width="18.44140625" customWidth="1"/>
    <col min="17" max="17" width="15.5546875" customWidth="1"/>
  </cols>
  <sheetData>
    <row r="1" spans="1:16" ht="44.25" customHeight="1" x14ac:dyDescent="0.3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97</v>
      </c>
      <c r="H1" s="146" t="s">
        <v>72</v>
      </c>
      <c r="I1" s="146" t="s">
        <v>70</v>
      </c>
      <c r="J1" s="146" t="s">
        <v>69</v>
      </c>
      <c r="K1" s="145" t="s">
        <v>117</v>
      </c>
      <c r="L1" s="146" t="s">
        <v>118</v>
      </c>
      <c r="M1" s="146" t="s">
        <v>119</v>
      </c>
      <c r="N1" s="146" t="s">
        <v>61</v>
      </c>
      <c r="O1" s="146" t="s">
        <v>67</v>
      </c>
    </row>
    <row r="2" spans="1:16" x14ac:dyDescent="0.3">
      <c r="A2" s="55" t="s">
        <v>85</v>
      </c>
      <c r="B2" s="55">
        <v>240.43</v>
      </c>
      <c r="C2" s="55">
        <v>0.24310000000000001</v>
      </c>
      <c r="D2" s="55">
        <v>0.37830000000000003</v>
      </c>
      <c r="E2" s="55">
        <f>D2-C2</f>
        <v>0.13520000000000001</v>
      </c>
      <c r="F2" s="56">
        <f>E2/B2*1000*1000</f>
        <v>562.3258328827518</v>
      </c>
      <c r="G2" s="55">
        <v>339.78248000000002</v>
      </c>
      <c r="H2" s="57">
        <v>12.42059499105352</v>
      </c>
      <c r="I2" s="58">
        <f>H2/B2*1000</f>
        <v>51.659921769552554</v>
      </c>
      <c r="J2" s="59">
        <v>9.1790000000000003</v>
      </c>
      <c r="K2" s="55">
        <v>1.19</v>
      </c>
      <c r="L2" s="55">
        <v>6.2E-2</v>
      </c>
      <c r="M2" s="55">
        <v>0.36</v>
      </c>
      <c r="N2" s="55" t="s">
        <v>73</v>
      </c>
      <c r="O2" s="13">
        <v>44400.659722222219</v>
      </c>
      <c r="P2" s="219" t="s">
        <v>5</v>
      </c>
    </row>
    <row r="3" spans="1:16" x14ac:dyDescent="0.3">
      <c r="A3" s="55" t="s">
        <v>86</v>
      </c>
      <c r="B3" s="55">
        <v>257.18</v>
      </c>
      <c r="C3" s="55">
        <v>0.2412</v>
      </c>
      <c r="D3" s="55">
        <v>0.377</v>
      </c>
      <c r="E3" s="55">
        <f t="shared" ref="E3:E37" si="0">D3-C3</f>
        <v>0.1358</v>
      </c>
      <c r="F3" s="56">
        <f>E3/B3*1000*1000</f>
        <v>528.03483941208492</v>
      </c>
      <c r="G3" s="55">
        <v>457.12</v>
      </c>
      <c r="H3" s="57">
        <v>12.917667659613238</v>
      </c>
      <c r="I3" s="58">
        <f t="shared" ref="I3:I12" si="1">H3/B3*1000</f>
        <v>50.228119059076278</v>
      </c>
      <c r="J3" s="59">
        <v>12.625</v>
      </c>
      <c r="K3" s="55">
        <v>1.63</v>
      </c>
      <c r="L3" s="55">
        <v>8.7999999999999995E-2</v>
      </c>
      <c r="M3" s="55">
        <v>0.44500000000000001</v>
      </c>
      <c r="N3" s="55" t="s">
        <v>74</v>
      </c>
      <c r="O3" s="13">
        <v>44400.67291666667</v>
      </c>
      <c r="P3" s="220" t="s">
        <v>6</v>
      </c>
    </row>
    <row r="4" spans="1:16" x14ac:dyDescent="0.3">
      <c r="A4" s="55" t="s">
        <v>87</v>
      </c>
      <c r="B4" s="55">
        <v>279.39000000000004</v>
      </c>
      <c r="C4" s="55">
        <v>0.23849999999999999</v>
      </c>
      <c r="D4" s="55">
        <v>0.27850000000000003</v>
      </c>
      <c r="E4" s="55">
        <f t="shared" si="0"/>
        <v>4.0000000000000036E-2</v>
      </c>
      <c r="F4" s="56">
        <f>E4/B4*1000*1000</f>
        <v>143.16904685207069</v>
      </c>
      <c r="G4" s="55">
        <v>152.79</v>
      </c>
      <c r="H4" s="57">
        <v>4.05181995661607</v>
      </c>
      <c r="I4" s="58">
        <f>H4/B4*1000</f>
        <v>14.502380030123016</v>
      </c>
      <c r="J4" s="59">
        <v>13.388</v>
      </c>
      <c r="K4" s="55">
        <v>0.77</v>
      </c>
      <c r="L4" s="55">
        <v>8.7999999999999995E-2</v>
      </c>
      <c r="M4" s="55">
        <v>0.248</v>
      </c>
      <c r="N4" s="55" t="s">
        <v>84</v>
      </c>
      <c r="O4" s="13">
        <v>44400.694444444445</v>
      </c>
      <c r="P4" s="201" t="s">
        <v>56</v>
      </c>
    </row>
    <row r="5" spans="1:16" x14ac:dyDescent="0.3">
      <c r="A5" s="55" t="s">
        <v>88</v>
      </c>
      <c r="B5" s="55">
        <v>297.24</v>
      </c>
      <c r="C5" s="55">
        <v>0.24379999999999999</v>
      </c>
      <c r="D5" s="55">
        <v>0.26840000000000003</v>
      </c>
      <c r="E5" s="55">
        <f t="shared" si="0"/>
        <v>2.4600000000000039E-2</v>
      </c>
      <c r="F5" s="56">
        <f t="shared" ref="F5:F32" si="2">E5/B5*1000*1000</f>
        <v>82.761404925313002</v>
      </c>
      <c r="G5" s="55">
        <v>168.45</v>
      </c>
      <c r="H5" s="57">
        <v>3.4720828614205299</v>
      </c>
      <c r="I5" s="58">
        <f t="shared" si="1"/>
        <v>11.68107543204323</v>
      </c>
      <c r="J5" s="59">
        <v>12.997</v>
      </c>
      <c r="K5" s="55">
        <v>0.5</v>
      </c>
      <c r="L5" s="55">
        <v>8.3000000000000004E-2</v>
      </c>
      <c r="M5" s="55">
        <v>0.214</v>
      </c>
      <c r="N5" s="55" t="s">
        <v>75</v>
      </c>
      <c r="O5" s="13">
        <v>44400.704861111109</v>
      </c>
      <c r="P5" s="221" t="s">
        <v>58</v>
      </c>
    </row>
    <row r="6" spans="1:16" x14ac:dyDescent="0.3">
      <c r="A6" s="55" t="s">
        <v>89</v>
      </c>
      <c r="B6" s="55">
        <v>262.73</v>
      </c>
      <c r="C6" s="55">
        <v>0.2414</v>
      </c>
      <c r="D6" s="55">
        <v>0.25109999999999999</v>
      </c>
      <c r="E6" s="55">
        <f t="shared" si="0"/>
        <v>9.6999999999999864E-3</v>
      </c>
      <c r="F6" s="56">
        <f t="shared" si="2"/>
        <v>36.920031971986397</v>
      </c>
      <c r="G6" s="55">
        <v>43.15</v>
      </c>
      <c r="H6" s="57">
        <v>1.6843076180902734</v>
      </c>
      <c r="I6" s="58">
        <f t="shared" si="1"/>
        <v>6.4107928979951785</v>
      </c>
      <c r="J6" s="59">
        <v>12.868</v>
      </c>
      <c r="K6" s="55">
        <v>0.1</v>
      </c>
      <c r="L6" s="55">
        <v>5.2999999999999999E-2</v>
      </c>
      <c r="M6" s="55">
        <v>9.7000000000000003E-2</v>
      </c>
      <c r="N6" s="55" t="s">
        <v>76</v>
      </c>
      <c r="O6" s="13">
        <v>44400.804861111108</v>
      </c>
      <c r="P6" s="222" t="s">
        <v>57</v>
      </c>
    </row>
    <row r="7" spans="1:16" x14ac:dyDescent="0.3">
      <c r="A7" s="4" t="s">
        <v>90</v>
      </c>
      <c r="B7" s="4">
        <v>272.58000000000004</v>
      </c>
      <c r="C7" s="4">
        <v>0.23980000000000001</v>
      </c>
      <c r="D7" s="4">
        <v>0.24579999999999999</v>
      </c>
      <c r="E7" s="4">
        <f t="shared" si="0"/>
        <v>5.9999999999999776E-3</v>
      </c>
      <c r="F7" s="10">
        <f t="shared" si="2"/>
        <v>22.011886418665991</v>
      </c>
      <c r="G7" s="4">
        <v>17.7</v>
      </c>
      <c r="H7" s="18">
        <v>1.3097205793723499</v>
      </c>
      <c r="I7" s="19">
        <f t="shared" si="1"/>
        <v>4.8049034388889487</v>
      </c>
      <c r="J7" s="26">
        <v>11.551</v>
      </c>
      <c r="K7" s="4">
        <v>7.0000000000000007E-2</v>
      </c>
      <c r="L7" s="4">
        <v>4.7E-2</v>
      </c>
      <c r="M7" s="4">
        <v>7.6999999999999999E-2</v>
      </c>
      <c r="N7" s="4" t="s">
        <v>77</v>
      </c>
      <c r="O7" s="13">
        <v>44400.876388888886</v>
      </c>
      <c r="P7" s="223" t="s">
        <v>59</v>
      </c>
    </row>
    <row r="8" spans="1:16" x14ac:dyDescent="0.3">
      <c r="A8" s="4" t="s">
        <v>91</v>
      </c>
      <c r="B8" s="4">
        <v>223.25</v>
      </c>
      <c r="C8" s="4">
        <v>0.24010000000000001</v>
      </c>
      <c r="D8" s="4">
        <v>0.2555</v>
      </c>
      <c r="E8" s="4">
        <f t="shared" si="0"/>
        <v>1.5399999999999997E-2</v>
      </c>
      <c r="F8" s="10">
        <f t="shared" si="2"/>
        <v>68.980963045912645</v>
      </c>
      <c r="G8" s="4">
        <v>92.06</v>
      </c>
      <c r="H8" s="18">
        <v>2.4792040459396865</v>
      </c>
      <c r="I8" s="19">
        <f t="shared" si="1"/>
        <v>11.105057316639133</v>
      </c>
      <c r="J8" s="26">
        <v>4.5220000000000002</v>
      </c>
      <c r="K8" s="4">
        <v>0.15</v>
      </c>
      <c r="L8" s="4">
        <v>4.2000000000000003E-2</v>
      </c>
      <c r="M8" s="4">
        <v>9.4E-2</v>
      </c>
      <c r="N8" s="4" t="s">
        <v>78</v>
      </c>
      <c r="O8" s="13">
        <v>44400.620833333334</v>
      </c>
      <c r="P8" s="224" t="s">
        <v>60</v>
      </c>
    </row>
    <row r="9" spans="1:16" x14ac:dyDescent="0.3">
      <c r="A9" s="4" t="s">
        <v>92</v>
      </c>
      <c r="B9" s="4">
        <v>207.27</v>
      </c>
      <c r="C9" s="4">
        <v>0.24149999999999999</v>
      </c>
      <c r="D9" s="4">
        <v>0.26729999999999998</v>
      </c>
      <c r="E9" s="4">
        <f t="shared" si="0"/>
        <v>2.579999999999999E-2</v>
      </c>
      <c r="F9" s="10">
        <f t="shared" si="2"/>
        <v>124.47532204371103</v>
      </c>
      <c r="G9" s="4">
        <v>95.69</v>
      </c>
      <c r="H9" s="18">
        <v>6.1584312598812998</v>
      </c>
      <c r="I9" s="19">
        <f t="shared" si="1"/>
        <v>29.712120711541949</v>
      </c>
      <c r="J9" s="26">
        <v>4.4359999999999999</v>
      </c>
      <c r="K9" s="4">
        <v>0.28000000000000003</v>
      </c>
      <c r="L9" s="4">
        <v>4.4999999999999998E-2</v>
      </c>
      <c r="M9" s="4">
        <v>0.12</v>
      </c>
      <c r="N9" s="4" t="s">
        <v>79</v>
      </c>
      <c r="O9" s="13">
        <v>44400.626388888886</v>
      </c>
    </row>
    <row r="10" spans="1:16" x14ac:dyDescent="0.3">
      <c r="A10" s="4" t="s">
        <v>93</v>
      </c>
      <c r="B10" s="4">
        <v>254.43999999999997</v>
      </c>
      <c r="C10" s="4">
        <v>0.2419</v>
      </c>
      <c r="D10" s="4">
        <v>0.33329999999999999</v>
      </c>
      <c r="E10" s="4">
        <f t="shared" si="0"/>
        <v>9.1399999999999981E-2</v>
      </c>
      <c r="F10" s="10">
        <f t="shared" si="2"/>
        <v>359.22024838861807</v>
      </c>
      <c r="G10" s="4">
        <v>403.51499999999999</v>
      </c>
      <c r="H10" s="18">
        <v>10.503118006915519</v>
      </c>
      <c r="I10" s="19">
        <f t="shared" si="1"/>
        <v>41.279350758196514</v>
      </c>
      <c r="J10" s="26">
        <v>12.442</v>
      </c>
      <c r="K10" s="4">
        <v>1.66</v>
      </c>
      <c r="L10" s="4">
        <v>0.09</v>
      </c>
      <c r="M10" s="4">
        <v>0.36199999999999999</v>
      </c>
      <c r="N10" s="4" t="s">
        <v>81</v>
      </c>
      <c r="O10" s="13">
        <v>44400.675694444442</v>
      </c>
    </row>
    <row r="11" spans="1:16" ht="13.2" customHeight="1" x14ac:dyDescent="0.3">
      <c r="A11" s="4" t="s">
        <v>94</v>
      </c>
      <c r="B11" s="4">
        <v>315.87000000000006</v>
      </c>
      <c r="C11" s="4">
        <v>0.24010000000000001</v>
      </c>
      <c r="D11" s="4">
        <v>0.26729999999999998</v>
      </c>
      <c r="E11" s="4">
        <f t="shared" si="0"/>
        <v>2.7199999999999974E-2</v>
      </c>
      <c r="F11" s="10">
        <f t="shared" si="2"/>
        <v>86.111374932725383</v>
      </c>
      <c r="G11" s="4">
        <v>124.04</v>
      </c>
      <c r="H11" s="18">
        <v>3.0083665576103797</v>
      </c>
      <c r="I11" s="19">
        <f t="shared" si="1"/>
        <v>9.5240654624066199</v>
      </c>
      <c r="J11" s="26">
        <v>12.977</v>
      </c>
      <c r="K11" s="4">
        <v>0.38</v>
      </c>
      <c r="L11" s="4">
        <v>8.3000000000000004E-2</v>
      </c>
      <c r="M11" s="4">
        <v>0.20799999999999999</v>
      </c>
      <c r="N11" s="4" t="s">
        <v>82</v>
      </c>
      <c r="O11" s="13">
        <v>44400.706944444442</v>
      </c>
    </row>
    <row r="12" spans="1:16" x14ac:dyDescent="0.3">
      <c r="A12" s="4" t="s">
        <v>95</v>
      </c>
      <c r="B12" s="4">
        <v>222.95000000000002</v>
      </c>
      <c r="C12" s="4">
        <v>0.2437</v>
      </c>
      <c r="D12" s="4">
        <v>0.252</v>
      </c>
      <c r="E12" s="4">
        <f>D12-C12</f>
        <v>8.3000000000000018E-3</v>
      </c>
      <c r="F12" s="10">
        <f>E12/B12*1000*1000</f>
        <v>37.228078044404583</v>
      </c>
      <c r="G12" s="4">
        <v>65.3</v>
      </c>
      <c r="H12" s="18">
        <v>1.4577906907522695</v>
      </c>
      <c r="I12" s="19">
        <f t="shared" si="1"/>
        <v>6.5386440491243301</v>
      </c>
      <c r="J12" s="26">
        <v>13.108000000000001</v>
      </c>
      <c r="K12" s="4">
        <v>0.13</v>
      </c>
      <c r="L12" s="4">
        <v>6.7000000000000004E-2</v>
      </c>
      <c r="M12" s="4">
        <v>0.13200000000000001</v>
      </c>
      <c r="N12" s="4" t="s">
        <v>80</v>
      </c>
      <c r="O12" s="13">
        <v>44400.748611111114</v>
      </c>
    </row>
    <row r="13" spans="1:16" ht="16.2" customHeight="1" thickBot="1" x14ac:dyDescent="0.35">
      <c r="A13" s="61" t="s">
        <v>96</v>
      </c>
      <c r="B13" s="61">
        <v>213.57</v>
      </c>
      <c r="C13" s="61">
        <v>0.24249999999999999</v>
      </c>
      <c r="D13" s="61">
        <v>0.249</v>
      </c>
      <c r="E13" s="61">
        <f t="shared" si="0"/>
        <v>6.5000000000000058E-3</v>
      </c>
      <c r="F13" s="62">
        <f t="shared" si="2"/>
        <v>30.434986187198604</v>
      </c>
      <c r="G13" s="61">
        <v>42.87</v>
      </c>
      <c r="H13" s="63">
        <v>1.2189465182507433</v>
      </c>
      <c r="I13" s="64">
        <f>H13/B13*1000</f>
        <v>5.7074800685992573</v>
      </c>
      <c r="J13" s="65">
        <v>12.073</v>
      </c>
      <c r="K13" s="61">
        <v>0.06</v>
      </c>
      <c r="L13" s="61">
        <v>4.8000000000000001E-2</v>
      </c>
      <c r="M13" s="61">
        <v>8.5999999999999993E-2</v>
      </c>
      <c r="N13" s="61" t="s">
        <v>83</v>
      </c>
      <c r="O13" s="66">
        <v>44400.842361111114</v>
      </c>
    </row>
    <row r="14" spans="1:16" ht="15.6" x14ac:dyDescent="0.3">
      <c r="A14" s="70" t="s">
        <v>98</v>
      </c>
      <c r="B14" s="70">
        <v>119.53</v>
      </c>
      <c r="C14" s="70">
        <v>0.24010000000000001</v>
      </c>
      <c r="D14" s="70">
        <v>0.247</v>
      </c>
      <c r="E14" s="70">
        <f>D14-C14</f>
        <v>6.8999999999999895E-3</v>
      </c>
      <c r="F14" s="71">
        <f>E14/B14*1000*1000</f>
        <v>57.726093867648203</v>
      </c>
      <c r="G14" s="70">
        <v>206.82</v>
      </c>
      <c r="H14" s="72">
        <v>0.81093355630223884</v>
      </c>
      <c r="I14" s="73">
        <f>H14/B14*1000</f>
        <v>6.7843516799317234</v>
      </c>
      <c r="J14" s="74">
        <v>4.9130000000000003</v>
      </c>
      <c r="K14" s="70">
        <v>0.48</v>
      </c>
      <c r="L14" s="70">
        <v>1.49059E-2</v>
      </c>
      <c r="M14" s="70">
        <v>9.9315000000000001E-2</v>
      </c>
      <c r="N14" s="75">
        <v>95</v>
      </c>
      <c r="O14" s="76">
        <v>44776.626388888886</v>
      </c>
    </row>
    <row r="15" spans="1:16" ht="15.6" x14ac:dyDescent="0.3">
      <c r="A15" s="3" t="s">
        <v>99</v>
      </c>
      <c r="B15" s="3">
        <v>118.59</v>
      </c>
      <c r="C15" s="3">
        <v>0.2432</v>
      </c>
      <c r="D15" s="3">
        <v>0.24890000000000001</v>
      </c>
      <c r="E15" s="3">
        <f t="shared" ref="E15:E20" si="3">D15-C15</f>
        <v>5.7000000000000106E-3</v>
      </c>
      <c r="F15" s="11">
        <f t="shared" ref="F15:F20" si="4">E15/B15*1000*1000</f>
        <v>48.064760941057514</v>
      </c>
      <c r="G15" s="3">
        <v>142.53</v>
      </c>
      <c r="H15" s="20">
        <v>0.67779828329961622</v>
      </c>
      <c r="I15" s="21">
        <f t="shared" ref="I15:I20" si="5">H15/B15*1000</f>
        <v>5.7154758689570473</v>
      </c>
      <c r="J15" s="27">
        <v>6.55</v>
      </c>
      <c r="K15" s="3">
        <v>0.4</v>
      </c>
      <c r="L15" s="3">
        <v>7.15306E-2</v>
      </c>
      <c r="M15" s="3">
        <v>0.1012671</v>
      </c>
      <c r="N15" s="37">
        <v>96</v>
      </c>
      <c r="O15" s="13">
        <v>44776.636805555558</v>
      </c>
    </row>
    <row r="16" spans="1:16" ht="15.6" x14ac:dyDescent="0.3">
      <c r="A16" s="3" t="s">
        <v>100</v>
      </c>
      <c r="B16" s="3">
        <v>121.81</v>
      </c>
      <c r="C16" s="3">
        <v>0.24129999999999999</v>
      </c>
      <c r="D16" s="3">
        <v>0.248</v>
      </c>
      <c r="E16" s="3">
        <f t="shared" si="3"/>
        <v>6.7000000000000115E-3</v>
      </c>
      <c r="F16" s="11">
        <f t="shared" si="4"/>
        <v>55.003694277973992</v>
      </c>
      <c r="G16" s="3">
        <v>55.06</v>
      </c>
      <c r="H16" s="77">
        <v>0.63223097869840805</v>
      </c>
      <c r="I16" s="21">
        <f t="shared" si="5"/>
        <v>5.1903043978196211</v>
      </c>
      <c r="J16" s="27">
        <v>8.0350000000000001</v>
      </c>
      <c r="K16" s="3">
        <v>0.14000000000000001</v>
      </c>
      <c r="L16" s="3">
        <v>5.4371599999999999E-2</v>
      </c>
      <c r="M16" s="3">
        <v>8.5650299999999999E-2</v>
      </c>
      <c r="N16" s="37">
        <v>97</v>
      </c>
      <c r="O16" s="13">
        <v>44776.657638888886</v>
      </c>
      <c r="P16" s="42"/>
    </row>
    <row r="17" spans="1:17" ht="15.6" x14ac:dyDescent="0.3">
      <c r="A17" s="3" t="s">
        <v>101</v>
      </c>
      <c r="B17" s="3">
        <v>117.35</v>
      </c>
      <c r="C17" s="3">
        <v>0.23710000000000001</v>
      </c>
      <c r="D17" s="3">
        <v>0.2424</v>
      </c>
      <c r="E17" s="3">
        <f t="shared" si="3"/>
        <v>5.2999999999999992E-3</v>
      </c>
      <c r="F17" s="11">
        <f t="shared" si="4"/>
        <v>45.164039198977413</v>
      </c>
      <c r="G17" s="3">
        <v>66.040000000000006</v>
      </c>
      <c r="H17" s="20">
        <v>0.64059153994189177</v>
      </c>
      <c r="I17" s="21">
        <f t="shared" si="5"/>
        <v>5.4588115887677189</v>
      </c>
      <c r="J17" s="27">
        <v>8.6910000000000007</v>
      </c>
      <c r="K17" s="3"/>
      <c r="L17" s="3"/>
      <c r="M17" s="3"/>
      <c r="N17" s="37">
        <v>98</v>
      </c>
      <c r="O17" s="13">
        <v>44776.678472222222</v>
      </c>
    </row>
    <row r="18" spans="1:17" ht="15.6" x14ac:dyDescent="0.3">
      <c r="A18" s="3" t="s">
        <v>102</v>
      </c>
      <c r="B18" s="3">
        <v>120.51</v>
      </c>
      <c r="C18" s="3">
        <v>0.23480000000000001</v>
      </c>
      <c r="D18" s="3">
        <v>0.2369</v>
      </c>
      <c r="E18" s="3">
        <f>D18-C18</f>
        <v>2.0999999999999908E-3</v>
      </c>
      <c r="F18" s="11">
        <f t="shared" si="4"/>
        <v>17.425939756036765</v>
      </c>
      <c r="G18" s="3">
        <v>39.15</v>
      </c>
      <c r="H18" s="20">
        <v>0.3795284226614497</v>
      </c>
      <c r="I18" s="21">
        <f>H19/B19*1000</f>
        <v>2.0882180227795768</v>
      </c>
      <c r="J18" s="27">
        <v>8.1240000000000006</v>
      </c>
      <c r="K18" s="3"/>
      <c r="L18" s="3"/>
      <c r="M18" s="3"/>
      <c r="N18" s="37">
        <v>99</v>
      </c>
      <c r="O18" s="13">
        <v>44776.751388888886</v>
      </c>
    </row>
    <row r="19" spans="1:17" ht="15.6" x14ac:dyDescent="0.3">
      <c r="A19" s="3" t="s">
        <v>103</v>
      </c>
      <c r="B19" s="3">
        <v>122.31</v>
      </c>
      <c r="C19" s="3">
        <v>0.23319999999999999</v>
      </c>
      <c r="D19" s="3">
        <v>0.2346</v>
      </c>
      <c r="E19" s="3">
        <f>D19-C19</f>
        <v>1.4000000000000123E-3</v>
      </c>
      <c r="F19" s="11">
        <f t="shared" si="4"/>
        <v>11.446324912108677</v>
      </c>
      <c r="G19" s="3">
        <v>23.32</v>
      </c>
      <c r="H19" s="20">
        <v>0.25540994636617004</v>
      </c>
      <c r="I19" s="21">
        <f>H18/B18*1000</f>
        <v>3.1493521090486243</v>
      </c>
      <c r="J19" s="27">
        <v>8.0730000000000004</v>
      </c>
      <c r="K19" s="3">
        <v>0.08</v>
      </c>
      <c r="L19" s="3">
        <v>2.8633100000000002E-2</v>
      </c>
      <c r="M19" s="3">
        <v>4.46562E-2</v>
      </c>
      <c r="N19" s="37">
        <v>100</v>
      </c>
      <c r="O19" s="13">
        <v>44776.761805555558</v>
      </c>
      <c r="P19" s="5"/>
      <c r="Q19" s="5"/>
    </row>
    <row r="20" spans="1:17" ht="16.2" thickBot="1" x14ac:dyDescent="0.35">
      <c r="A20" s="78" t="s">
        <v>104</v>
      </c>
      <c r="B20" s="78">
        <v>122.5</v>
      </c>
      <c r="C20" s="78">
        <v>0.2417</v>
      </c>
      <c r="D20" s="78">
        <v>0.24249999999999999</v>
      </c>
      <c r="E20" s="78">
        <f t="shared" si="3"/>
        <v>7.9999999999999516E-4</v>
      </c>
      <c r="F20" s="79">
        <f t="shared" si="4"/>
        <v>6.5306122448979194</v>
      </c>
      <c r="G20" s="78">
        <v>0</v>
      </c>
      <c r="H20" s="80">
        <v>0.26461862273170189</v>
      </c>
      <c r="I20" s="81">
        <f t="shared" si="5"/>
        <v>2.1601520222996071</v>
      </c>
      <c r="J20" s="82">
        <v>3.1280000000000001</v>
      </c>
      <c r="K20" s="78"/>
      <c r="L20" s="78"/>
      <c r="M20" s="78"/>
      <c r="N20" s="83">
        <v>101</v>
      </c>
      <c r="O20" s="66">
        <v>44776.793055555558</v>
      </c>
    </row>
    <row r="21" spans="1:17" ht="15.6" x14ac:dyDescent="0.3">
      <c r="A21" s="84" t="s">
        <v>105</v>
      </c>
      <c r="B21" s="84">
        <v>117.93</v>
      </c>
      <c r="C21" s="84">
        <v>0.24030000000000001</v>
      </c>
      <c r="D21" s="84">
        <v>0.24129999999999999</v>
      </c>
      <c r="E21" s="84">
        <f t="shared" si="0"/>
        <v>9.9999999999997313E-4</v>
      </c>
      <c r="F21" s="85">
        <f t="shared" si="2"/>
        <v>8.4796065462560257</v>
      </c>
      <c r="G21" s="84">
        <v>0</v>
      </c>
      <c r="H21" s="86">
        <v>0.17978326915702031</v>
      </c>
      <c r="I21" s="87">
        <f t="shared" ref="I21:I77" si="6">H21/B21*1000</f>
        <v>1.5244913860512195</v>
      </c>
      <c r="J21" s="88">
        <v>3.359</v>
      </c>
      <c r="K21" s="84"/>
      <c r="L21" s="84"/>
      <c r="M21" s="84"/>
      <c r="N21" s="89">
        <v>102</v>
      </c>
      <c r="O21" s="76">
        <v>44781.571527777778</v>
      </c>
    </row>
    <row r="22" spans="1:17" ht="15.6" x14ac:dyDescent="0.3">
      <c r="A22" s="6" t="s">
        <v>106</v>
      </c>
      <c r="B22" s="6">
        <v>121</v>
      </c>
      <c r="C22" s="6">
        <v>0.24199999999999999</v>
      </c>
      <c r="D22" s="6">
        <v>0.24329999999999999</v>
      </c>
      <c r="E22" s="6">
        <f t="shared" si="0"/>
        <v>1.2999999999999956E-3</v>
      </c>
      <c r="F22" s="7">
        <f t="shared" si="2"/>
        <v>10.743801652892525</v>
      </c>
      <c r="G22" s="6">
        <v>0</v>
      </c>
      <c r="H22" s="17">
        <v>0.20670824007668936</v>
      </c>
      <c r="I22" s="22">
        <f t="shared" si="6"/>
        <v>1.7083325626172676</v>
      </c>
      <c r="J22" s="28">
        <v>3.4239999999999999</v>
      </c>
      <c r="K22" s="6">
        <v>0.1</v>
      </c>
      <c r="L22" s="6">
        <v>1.1474099999999999E-2</v>
      </c>
      <c r="M22" s="6">
        <v>2.90394E-2</v>
      </c>
      <c r="N22" s="23">
        <v>103</v>
      </c>
      <c r="O22" s="13">
        <v>44781.581944444442</v>
      </c>
    </row>
    <row r="23" spans="1:17" ht="15.6" x14ac:dyDescent="0.3">
      <c r="A23" s="6" t="s">
        <v>107</v>
      </c>
      <c r="B23" s="6">
        <v>120.98</v>
      </c>
      <c r="C23" s="6">
        <v>0.23780000000000001</v>
      </c>
      <c r="D23" s="6">
        <v>0.2402</v>
      </c>
      <c r="E23" s="6">
        <f t="shared" si="0"/>
        <v>2.3999999999999855E-3</v>
      </c>
      <c r="F23" s="7">
        <f t="shared" si="2"/>
        <v>19.837989750371843</v>
      </c>
      <c r="G23" s="6">
        <v>52.87</v>
      </c>
      <c r="H23" s="17">
        <v>0.37004991918953345</v>
      </c>
      <c r="I23" s="22">
        <f t="shared" si="6"/>
        <v>3.0587693766699737</v>
      </c>
      <c r="J23" s="28">
        <v>3.9</v>
      </c>
      <c r="K23" s="6"/>
      <c r="L23" s="6"/>
      <c r="M23" s="6"/>
      <c r="N23" s="23">
        <v>104</v>
      </c>
      <c r="O23" s="13">
        <v>44781.592361111114</v>
      </c>
    </row>
    <row r="24" spans="1:17" ht="15.6" x14ac:dyDescent="0.3">
      <c r="A24" s="6" t="s">
        <v>108</v>
      </c>
      <c r="B24" s="6">
        <v>122.22</v>
      </c>
      <c r="C24" s="6">
        <v>0.2427</v>
      </c>
      <c r="D24" s="6">
        <v>0.2487</v>
      </c>
      <c r="E24" s="6">
        <f t="shared" si="0"/>
        <v>6.0000000000000053E-3</v>
      </c>
      <c r="F24" s="7">
        <f t="shared" si="2"/>
        <v>49.091801669121296</v>
      </c>
      <c r="G24" s="6">
        <v>204.03</v>
      </c>
      <c r="H24" s="17">
        <v>0.65572150300064624</v>
      </c>
      <c r="I24" s="22">
        <f t="shared" si="6"/>
        <v>5.365091662580971</v>
      </c>
      <c r="J24" s="28">
        <v>5.2789999999999999</v>
      </c>
      <c r="K24" s="6">
        <v>0.11</v>
      </c>
      <c r="L24" s="6">
        <v>2.6917199999999999E-2</v>
      </c>
      <c r="M24" s="6">
        <v>6.3819200000000006E-2</v>
      </c>
      <c r="N24" s="23">
        <v>105</v>
      </c>
      <c r="O24" s="13">
        <v>44781.602777777778</v>
      </c>
    </row>
    <row r="25" spans="1:17" ht="15.6" x14ac:dyDescent="0.3">
      <c r="A25" s="6" t="s">
        <v>109</v>
      </c>
      <c r="B25" s="6">
        <v>121.52</v>
      </c>
      <c r="C25" s="6">
        <v>0.23899999999999999</v>
      </c>
      <c r="D25" s="6">
        <v>0.24329999999999999</v>
      </c>
      <c r="E25" s="6">
        <f t="shared" si="0"/>
        <v>4.2999999999999983E-3</v>
      </c>
      <c r="F25" s="7">
        <f t="shared" si="2"/>
        <v>35.385121790651731</v>
      </c>
      <c r="G25" s="6">
        <v>105.77</v>
      </c>
      <c r="H25" s="17">
        <v>0.62239773814796806</v>
      </c>
      <c r="I25" s="22">
        <f t="shared" si="6"/>
        <v>5.1217720387423311</v>
      </c>
      <c r="J25" s="28">
        <v>7.2069999999999999</v>
      </c>
      <c r="K25" s="6"/>
      <c r="L25" s="6"/>
      <c r="M25" s="6"/>
      <c r="N25" s="23">
        <v>106</v>
      </c>
      <c r="O25" s="13">
        <v>44781.613194444442</v>
      </c>
    </row>
    <row r="26" spans="1:17" ht="15.6" x14ac:dyDescent="0.3">
      <c r="A26" s="6" t="s">
        <v>110</v>
      </c>
      <c r="B26" s="6">
        <v>122.46</v>
      </c>
      <c r="C26" s="6">
        <v>0.23760000000000001</v>
      </c>
      <c r="D26" s="6">
        <v>0.24049999999999999</v>
      </c>
      <c r="E26" s="6">
        <f t="shared" si="0"/>
        <v>2.8999999999999859E-3</v>
      </c>
      <c r="F26" s="7">
        <f t="shared" si="2"/>
        <v>23.681202025150956</v>
      </c>
      <c r="G26" s="6">
        <v>68.83</v>
      </c>
      <c r="H26" s="17">
        <v>0.27757088646634936</v>
      </c>
      <c r="I26" s="22">
        <f t="shared" si="6"/>
        <v>2.2666249098999622</v>
      </c>
      <c r="J26" s="28">
        <v>7.75</v>
      </c>
      <c r="K26" s="6">
        <v>0.17</v>
      </c>
      <c r="L26" s="6">
        <v>5.09398E-2</v>
      </c>
      <c r="M26" s="6">
        <v>7.3937699999999995E-2</v>
      </c>
      <c r="N26" s="23">
        <v>107</v>
      </c>
      <c r="O26" s="13">
        <v>44781.640972222223</v>
      </c>
    </row>
    <row r="27" spans="1:17" ht="15.6" x14ac:dyDescent="0.3">
      <c r="A27" s="6" t="s">
        <v>111</v>
      </c>
      <c r="B27" s="6">
        <v>121.35</v>
      </c>
      <c r="C27" s="6">
        <v>0.24160000000000001</v>
      </c>
      <c r="D27" s="6">
        <v>0.24279999999999999</v>
      </c>
      <c r="E27" s="6">
        <f t="shared" si="0"/>
        <v>1.1999999999999789E-3</v>
      </c>
      <c r="F27" s="7">
        <f t="shared" si="2"/>
        <v>9.8887515451172572</v>
      </c>
      <c r="G27" s="6">
        <v>36.65</v>
      </c>
      <c r="H27" s="17">
        <v>0.23932675048380125</v>
      </c>
      <c r="I27" s="22">
        <f t="shared" si="6"/>
        <v>1.9722023113621858</v>
      </c>
      <c r="J27" s="28">
        <v>8.41</v>
      </c>
      <c r="K27" s="6">
        <v>0.28999999999999998</v>
      </c>
      <c r="L27" s="6">
        <v>3.8928499999999998E-2</v>
      </c>
      <c r="M27" s="6">
        <v>4.0751999999999997E-2</v>
      </c>
      <c r="N27" s="23">
        <v>108</v>
      </c>
      <c r="O27" s="13">
        <v>44781.675694444442</v>
      </c>
    </row>
    <row r="28" spans="1:17" ht="15.6" x14ac:dyDescent="0.3">
      <c r="A28" s="6" t="s">
        <v>112</v>
      </c>
      <c r="B28" s="6">
        <v>119.95</v>
      </c>
      <c r="C28" s="6">
        <v>0.24410000000000001</v>
      </c>
      <c r="D28" s="7">
        <v>0.24505360250000002</v>
      </c>
      <c r="E28" s="7">
        <f t="shared" si="0"/>
        <v>9.5360250000001145E-4</v>
      </c>
      <c r="F28" s="7">
        <f t="shared" si="2"/>
        <v>7.9500000000000943</v>
      </c>
      <c r="G28" s="6">
        <v>25.92</v>
      </c>
      <c r="H28" s="17">
        <v>0.18463063927826467</v>
      </c>
      <c r="I28" s="22">
        <f t="shared" si="6"/>
        <v>1.5392300064882425</v>
      </c>
      <c r="J28" s="28">
        <v>2.7050000000000001</v>
      </c>
      <c r="K28" s="7"/>
      <c r="L28" s="6"/>
      <c r="M28" s="7"/>
      <c r="N28" s="23">
        <v>110</v>
      </c>
      <c r="O28" s="13">
        <v>44781.696527777778</v>
      </c>
    </row>
    <row r="29" spans="1:17" ht="15.6" x14ac:dyDescent="0.3">
      <c r="A29" s="6" t="s">
        <v>113</v>
      </c>
      <c r="B29" s="6">
        <v>122.53</v>
      </c>
      <c r="C29" s="6">
        <v>0.2424</v>
      </c>
      <c r="D29" s="6">
        <v>0.2429</v>
      </c>
      <c r="E29" s="6">
        <f t="shared" si="0"/>
        <v>5.0000000000000044E-4</v>
      </c>
      <c r="F29" s="7">
        <f t="shared" si="2"/>
        <v>4.080633314290381</v>
      </c>
      <c r="G29" s="6">
        <v>21.67</v>
      </c>
      <c r="H29" s="17">
        <v>0.18608289987021998</v>
      </c>
      <c r="I29" s="22">
        <f>H29/B29*1000</f>
        <v>1.5186721608603606</v>
      </c>
      <c r="J29" s="28">
        <v>8.4209999999999994</v>
      </c>
      <c r="K29" s="6"/>
      <c r="L29" s="6"/>
      <c r="M29" s="6"/>
      <c r="N29" s="23">
        <v>111</v>
      </c>
      <c r="O29" s="13">
        <v>44781.706944444442</v>
      </c>
    </row>
    <row r="30" spans="1:17" ht="15.6" x14ac:dyDescent="0.3">
      <c r="A30" s="6" t="s">
        <v>114</v>
      </c>
      <c r="B30" s="6">
        <v>121.54</v>
      </c>
      <c r="C30" s="6">
        <v>0.23649999999999999</v>
      </c>
      <c r="D30" s="6">
        <v>0.23669999999999999</v>
      </c>
      <c r="E30" s="6">
        <f t="shared" si="0"/>
        <v>2.0000000000000573E-4</v>
      </c>
      <c r="F30" s="7">
        <f t="shared" si="2"/>
        <v>1.6455487905216861</v>
      </c>
      <c r="G30" s="6">
        <v>19.05</v>
      </c>
      <c r="H30" s="17">
        <v>0.19585625568188858</v>
      </c>
      <c r="I30" s="22">
        <f t="shared" si="6"/>
        <v>1.6114551232671432</v>
      </c>
      <c r="J30" s="28">
        <v>8.1829999999999998</v>
      </c>
      <c r="K30" s="6"/>
      <c r="L30" s="6"/>
      <c r="M30" s="6"/>
      <c r="N30" s="23">
        <v>112</v>
      </c>
      <c r="O30" s="13">
        <v>44781.727777777778</v>
      </c>
    </row>
    <row r="31" spans="1:17" ht="15.6" x14ac:dyDescent="0.3">
      <c r="A31" s="6" t="s">
        <v>115</v>
      </c>
      <c r="B31" s="6">
        <v>118.38</v>
      </c>
      <c r="C31" s="6">
        <v>0.23619999999999999</v>
      </c>
      <c r="D31" s="6">
        <v>0.23630000000000001</v>
      </c>
      <c r="E31" s="6">
        <f t="shared" si="0"/>
        <v>1.0000000000001674E-4</v>
      </c>
      <c r="F31" s="7">
        <f t="shared" si="2"/>
        <v>0.84473728670397652</v>
      </c>
      <c r="G31" s="6">
        <v>18.36</v>
      </c>
      <c r="H31" s="17">
        <v>0.20604215861937406</v>
      </c>
      <c r="I31" s="22">
        <f t="shared" si="6"/>
        <v>1.7405149401873126</v>
      </c>
      <c r="J31" s="28">
        <v>2.742</v>
      </c>
      <c r="K31" s="6"/>
      <c r="L31" s="6"/>
      <c r="M31" s="6"/>
      <c r="N31" s="23">
        <v>113</v>
      </c>
      <c r="O31" s="13">
        <v>44781.748611111114</v>
      </c>
    </row>
    <row r="32" spans="1:17" ht="16.2" thickBot="1" x14ac:dyDescent="0.35">
      <c r="A32" s="90" t="s">
        <v>116</v>
      </c>
      <c r="B32" s="90">
        <v>122.39</v>
      </c>
      <c r="C32" s="90">
        <v>0.23980000000000001</v>
      </c>
      <c r="D32" s="90">
        <v>0.24049999999999999</v>
      </c>
      <c r="E32" s="90">
        <f t="shared" si="0"/>
        <v>6.9999999999997842E-4</v>
      </c>
      <c r="F32" s="91">
        <f t="shared" si="2"/>
        <v>5.7194215213659483</v>
      </c>
      <c r="G32" s="90">
        <v>0</v>
      </c>
      <c r="H32" s="92">
        <v>0.18269018151077018</v>
      </c>
      <c r="I32" s="93">
        <f t="shared" si="6"/>
        <v>1.4926887941071181</v>
      </c>
      <c r="J32" s="94">
        <v>8.0850000000000009</v>
      </c>
      <c r="K32" s="90">
        <v>0.06</v>
      </c>
      <c r="L32" s="90">
        <v>3.0349000000000001E-2</v>
      </c>
      <c r="M32" s="90">
        <v>3.4895700000000002E-2</v>
      </c>
      <c r="N32" s="95">
        <v>114</v>
      </c>
      <c r="O32" s="66">
        <v>44781.759027777778</v>
      </c>
    </row>
    <row r="33" spans="1:15" x14ac:dyDescent="0.3">
      <c r="A33" s="96" t="s">
        <v>62</v>
      </c>
      <c r="B33" s="96">
        <v>100</v>
      </c>
      <c r="C33" s="96">
        <v>0.2336</v>
      </c>
      <c r="D33" s="96">
        <v>0.25230000000000002</v>
      </c>
      <c r="E33" s="96">
        <f t="shared" si="0"/>
        <v>1.8700000000000022E-2</v>
      </c>
      <c r="F33" s="97">
        <f>E33/B33*1000*1000</f>
        <v>187.00000000000023</v>
      </c>
      <c r="G33" s="97"/>
      <c r="H33" s="98">
        <v>2.9943162613702401</v>
      </c>
      <c r="I33" s="99">
        <f>H33/B33*1000</f>
        <v>29.943162613702402</v>
      </c>
      <c r="J33" s="100">
        <v>2.7629999999999999</v>
      </c>
      <c r="K33" s="96">
        <v>1.89E-2</v>
      </c>
      <c r="L33" s="96"/>
      <c r="M33" s="96"/>
      <c r="N33" s="101">
        <v>439</v>
      </c>
      <c r="O33" s="76">
        <v>45136.619444444441</v>
      </c>
    </row>
    <row r="34" spans="1:15" x14ac:dyDescent="0.3">
      <c r="A34" s="43" t="s">
        <v>24</v>
      </c>
      <c r="B34" s="43">
        <v>90</v>
      </c>
      <c r="C34" s="43">
        <v>0.2349</v>
      </c>
      <c r="D34" s="43">
        <v>0.24479999999999999</v>
      </c>
      <c r="E34" s="43">
        <f t="shared" si="0"/>
        <v>9.8999999999999921E-3</v>
      </c>
      <c r="F34" s="44">
        <f t="shared" ref="F34:F50" si="7">E34/B34*1000*1000</f>
        <v>109.9999999999999</v>
      </c>
      <c r="G34" s="43">
        <v>271.06</v>
      </c>
      <c r="H34" s="45">
        <v>0.86155236948536007</v>
      </c>
      <c r="I34" s="46">
        <f t="shared" si="6"/>
        <v>9.5728041053928887</v>
      </c>
      <c r="J34" s="47">
        <v>3.1280000000000001</v>
      </c>
      <c r="K34" s="43">
        <v>6.9500000000000006E-2</v>
      </c>
      <c r="L34" s="43"/>
      <c r="M34" s="43"/>
      <c r="N34" s="48">
        <v>440</v>
      </c>
      <c r="O34" s="13">
        <v>45136.629861111112</v>
      </c>
    </row>
    <row r="35" spans="1:15" x14ac:dyDescent="0.3">
      <c r="A35" s="43" t="s">
        <v>25</v>
      </c>
      <c r="B35" s="43">
        <v>90</v>
      </c>
      <c r="C35" s="43">
        <v>0.23330000000000001</v>
      </c>
      <c r="D35" s="43">
        <v>0.23810000000000001</v>
      </c>
      <c r="E35" s="43">
        <f t="shared" si="0"/>
        <v>4.7999999999999987E-3</v>
      </c>
      <c r="F35" s="44">
        <f t="shared" si="7"/>
        <v>53.333333333333321</v>
      </c>
      <c r="G35" s="43">
        <v>249.50899999999999</v>
      </c>
      <c r="H35" s="45">
        <v>0.62402435211444007</v>
      </c>
      <c r="I35" s="46">
        <f t="shared" si="6"/>
        <v>6.9336039123826678</v>
      </c>
      <c r="J35" s="47">
        <v>3.5529999999999999</v>
      </c>
      <c r="K35" s="43">
        <v>4.1099999999999998E-2</v>
      </c>
      <c r="L35" s="43"/>
      <c r="M35" s="43"/>
      <c r="N35" s="48">
        <v>441</v>
      </c>
      <c r="O35" s="13">
        <v>45136.640277777777</v>
      </c>
    </row>
    <row r="36" spans="1:15" x14ac:dyDescent="0.3">
      <c r="A36" s="43" t="s">
        <v>26</v>
      </c>
      <c r="B36" s="43">
        <v>100</v>
      </c>
      <c r="C36" s="43">
        <v>0.23699999999999999</v>
      </c>
      <c r="D36" s="43">
        <v>0.245</v>
      </c>
      <c r="E36" s="43">
        <f t="shared" si="0"/>
        <v>8.0000000000000071E-3</v>
      </c>
      <c r="F36" s="44">
        <f t="shared" si="7"/>
        <v>80.000000000000071</v>
      </c>
      <c r="G36" s="43">
        <v>244.85599999999999</v>
      </c>
      <c r="H36" s="45">
        <v>0.74831808175628001</v>
      </c>
      <c r="I36" s="46">
        <f t="shared" si="6"/>
        <v>7.4831808175628005</v>
      </c>
      <c r="J36" s="47">
        <v>3.9260000000000002</v>
      </c>
      <c r="K36" s="43">
        <v>7.5700000000000003E-2</v>
      </c>
      <c r="L36" s="43"/>
      <c r="M36" s="43"/>
      <c r="N36" s="48">
        <v>442</v>
      </c>
      <c r="O36" s="13">
        <v>45136.650694444441</v>
      </c>
    </row>
    <row r="37" spans="1:15" x14ac:dyDescent="0.3">
      <c r="A37" s="43" t="s">
        <v>27</v>
      </c>
      <c r="B37" s="43">
        <v>90</v>
      </c>
      <c r="C37" s="43">
        <v>0.2404</v>
      </c>
      <c r="D37" s="43">
        <v>0.24429999999999999</v>
      </c>
      <c r="E37" s="43">
        <f t="shared" si="0"/>
        <v>3.8999999999999868E-3</v>
      </c>
      <c r="F37" s="44">
        <f t="shared" si="7"/>
        <v>43.333333333333179</v>
      </c>
      <c r="G37" s="43">
        <v>233.25</v>
      </c>
      <c r="H37" s="45">
        <v>0.53337838091197998</v>
      </c>
      <c r="I37" s="46">
        <f t="shared" si="6"/>
        <v>5.9264264545775553</v>
      </c>
      <c r="J37" s="47">
        <v>4.1580000000000004</v>
      </c>
      <c r="K37" s="43">
        <v>6.6299999999999998E-2</v>
      </c>
      <c r="L37" s="43"/>
      <c r="M37" s="43"/>
      <c r="N37" s="48">
        <v>443</v>
      </c>
      <c r="O37" s="13">
        <v>45136.661111111112</v>
      </c>
    </row>
    <row r="38" spans="1:15" x14ac:dyDescent="0.3">
      <c r="A38" s="43" t="s">
        <v>63</v>
      </c>
      <c r="B38" s="43">
        <v>90</v>
      </c>
      <c r="C38" s="43">
        <v>0.23810000000000001</v>
      </c>
      <c r="D38" s="43">
        <v>0.24640000000000001</v>
      </c>
      <c r="E38" s="43">
        <v>8.3000000000000018E-3</v>
      </c>
      <c r="F38" s="44">
        <f t="shared" si="7"/>
        <v>92.222222222222243</v>
      </c>
      <c r="G38" s="43">
        <v>124.5634</v>
      </c>
      <c r="H38" s="45">
        <v>0.74561143823581988</v>
      </c>
      <c r="I38" s="46">
        <f t="shared" si="6"/>
        <v>8.2845715359535532</v>
      </c>
      <c r="J38" s="47">
        <v>4.5709999999999997</v>
      </c>
      <c r="K38" s="43">
        <v>3.6499999999999998E-2</v>
      </c>
      <c r="L38" s="43"/>
      <c r="M38" s="43"/>
      <c r="N38" s="48">
        <v>444</v>
      </c>
      <c r="O38" s="13">
        <v>45136.671527777777</v>
      </c>
    </row>
    <row r="39" spans="1:15" x14ac:dyDescent="0.3">
      <c r="A39" s="43" t="s">
        <v>64</v>
      </c>
      <c r="B39" s="43">
        <v>90</v>
      </c>
      <c r="C39" s="43">
        <v>0.24129999999999999</v>
      </c>
      <c r="D39" s="43">
        <v>0.246</v>
      </c>
      <c r="E39" s="43">
        <v>4.7000000000000097E-3</v>
      </c>
      <c r="F39" s="44">
        <f t="shared" si="7"/>
        <v>52.222222222222328</v>
      </c>
      <c r="G39" s="43">
        <v>9.89</v>
      </c>
      <c r="H39" s="45">
        <v>0.93145151485235989</v>
      </c>
      <c r="I39" s="46">
        <f t="shared" si="6"/>
        <v>10.349461276137333</v>
      </c>
      <c r="J39" s="47">
        <v>5.15</v>
      </c>
      <c r="K39" s="43">
        <v>2.12E-2</v>
      </c>
      <c r="L39" s="43"/>
      <c r="M39" s="43"/>
      <c r="N39" s="48">
        <v>445</v>
      </c>
      <c r="O39" s="13">
        <v>45136.681944444441</v>
      </c>
    </row>
    <row r="40" spans="1:15" x14ac:dyDescent="0.3">
      <c r="A40" s="1" t="s">
        <v>28</v>
      </c>
      <c r="B40" s="1">
        <v>90</v>
      </c>
      <c r="C40" s="1">
        <v>0.23680000000000001</v>
      </c>
      <c r="D40" s="1">
        <v>0.24579999999999999</v>
      </c>
      <c r="E40" s="1">
        <f t="shared" ref="E40:E49" si="8">D40-C40</f>
        <v>8.9999999999999802E-3</v>
      </c>
      <c r="F40" s="12">
        <f t="shared" si="7"/>
        <v>99.999999999999773</v>
      </c>
      <c r="G40" s="1">
        <v>327.45299999999997</v>
      </c>
      <c r="H40" s="24">
        <v>1.2514082631396399</v>
      </c>
      <c r="I40" s="25">
        <f t="shared" si="6"/>
        <v>13.904536257107111</v>
      </c>
      <c r="J40" s="29">
        <v>8.5760000000000005</v>
      </c>
      <c r="K40" s="1">
        <v>1.04E-2</v>
      </c>
      <c r="L40" s="1"/>
      <c r="M40" s="1"/>
      <c r="N40" s="38">
        <v>446</v>
      </c>
      <c r="O40" s="13">
        <v>45136.636111111111</v>
      </c>
    </row>
    <row r="41" spans="1:15" x14ac:dyDescent="0.3">
      <c r="A41" s="1" t="s">
        <v>29</v>
      </c>
      <c r="B41" s="1">
        <v>90</v>
      </c>
      <c r="C41" s="1">
        <v>0.23449999999999999</v>
      </c>
      <c r="D41" s="1">
        <v>0.24399999999999999</v>
      </c>
      <c r="E41" s="1">
        <f t="shared" si="8"/>
        <v>9.5000000000000084E-3</v>
      </c>
      <c r="F41" s="12">
        <f t="shared" si="7"/>
        <v>105.55555555555566</v>
      </c>
      <c r="G41" s="1">
        <v>241.809</v>
      </c>
      <c r="H41" s="24">
        <v>1.00317261593764</v>
      </c>
      <c r="I41" s="25">
        <f t="shared" si="6"/>
        <v>11.14636239930711</v>
      </c>
      <c r="J41" s="29">
        <v>4.0309999999999997</v>
      </c>
      <c r="K41" s="1">
        <v>7.0000000000000007E-2</v>
      </c>
      <c r="L41" s="1"/>
      <c r="M41" s="1"/>
      <c r="N41" s="38">
        <v>447</v>
      </c>
      <c r="O41" s="13">
        <v>45136.646527777775</v>
      </c>
    </row>
    <row r="42" spans="1:15" x14ac:dyDescent="0.3">
      <c r="A42" s="1" t="s">
        <v>30</v>
      </c>
      <c r="B42" s="1">
        <v>90</v>
      </c>
      <c r="C42" s="1">
        <v>0.23069999999999999</v>
      </c>
      <c r="D42" s="1">
        <v>0.23519999999999999</v>
      </c>
      <c r="E42" s="1">
        <f t="shared" si="8"/>
        <v>4.500000000000004E-3</v>
      </c>
      <c r="F42" s="12">
        <f t="shared" si="7"/>
        <v>50.000000000000043</v>
      </c>
      <c r="G42" s="1">
        <v>158.52500000000001</v>
      </c>
      <c r="H42" s="24">
        <v>0.67066455629003996</v>
      </c>
      <c r="I42" s="25">
        <f t="shared" si="6"/>
        <v>7.4518284032226658</v>
      </c>
      <c r="J42" s="29">
        <v>4.1859999999999999</v>
      </c>
      <c r="K42" s="1">
        <v>7.1599999999999997E-2</v>
      </c>
      <c r="L42" s="1"/>
      <c r="M42" s="1"/>
      <c r="N42" s="38">
        <v>448</v>
      </c>
      <c r="O42" s="13">
        <v>45136.656944444447</v>
      </c>
    </row>
    <row r="43" spans="1:15" x14ac:dyDescent="0.3">
      <c r="A43" s="1" t="s">
        <v>31</v>
      </c>
      <c r="B43" s="1">
        <v>90</v>
      </c>
      <c r="C43" s="1">
        <v>0.23380000000000001</v>
      </c>
      <c r="D43" s="1">
        <v>0.24</v>
      </c>
      <c r="E43" s="1">
        <f t="shared" si="8"/>
        <v>6.1999999999999833E-3</v>
      </c>
      <c r="F43" s="12">
        <f t="shared" si="7"/>
        <v>68.888888888888701</v>
      </c>
      <c r="G43" s="1">
        <v>132.47200000000001</v>
      </c>
      <c r="H43" s="24">
        <v>0.67506134010429997</v>
      </c>
      <c r="I43" s="25">
        <f t="shared" si="6"/>
        <v>7.5006815567144436</v>
      </c>
      <c r="J43" s="29">
        <v>4.351</v>
      </c>
      <c r="K43" s="1">
        <v>4.7199999999999999E-2</v>
      </c>
      <c r="L43" s="1"/>
      <c r="M43" s="1"/>
      <c r="N43" s="38">
        <v>449</v>
      </c>
      <c r="O43" s="13">
        <v>45136.667361111111</v>
      </c>
    </row>
    <row r="44" spans="1:15" x14ac:dyDescent="0.3">
      <c r="A44" s="1" t="s">
        <v>32</v>
      </c>
      <c r="B44" s="1">
        <v>90</v>
      </c>
      <c r="C44" s="1">
        <v>0.23300000000000001</v>
      </c>
      <c r="D44" s="1">
        <v>0.23760000000000001</v>
      </c>
      <c r="E44" s="1">
        <f t="shared" si="8"/>
        <v>4.599999999999993E-3</v>
      </c>
      <c r="F44" s="12">
        <f t="shared" si="7"/>
        <v>51.111111111111029</v>
      </c>
      <c r="G44" s="1">
        <v>98.91</v>
      </c>
      <c r="H44" s="24">
        <v>0</v>
      </c>
      <c r="I44" s="25"/>
      <c r="J44" s="29">
        <v>4.3109999999999999</v>
      </c>
      <c r="K44" s="1">
        <v>6.0499999999999998E-2</v>
      </c>
      <c r="L44" s="1"/>
      <c r="M44" s="1"/>
      <c r="N44" s="38">
        <v>450</v>
      </c>
      <c r="O44" s="13">
        <v>45136.677777777775</v>
      </c>
    </row>
    <row r="45" spans="1:15" x14ac:dyDescent="0.3">
      <c r="A45" s="1" t="s">
        <v>33</v>
      </c>
      <c r="B45" s="1">
        <v>95</v>
      </c>
      <c r="C45" s="1">
        <v>0.2319</v>
      </c>
      <c r="D45" s="1">
        <v>0.23619999999999999</v>
      </c>
      <c r="E45" s="1">
        <f t="shared" si="8"/>
        <v>4.2999999999999983E-3</v>
      </c>
      <c r="F45" s="12">
        <f t="shared" si="7"/>
        <v>45.263157894736821</v>
      </c>
      <c r="G45" s="1">
        <v>90.356999999999999</v>
      </c>
      <c r="H45" s="24">
        <v>0.56237380340356002</v>
      </c>
      <c r="I45" s="25">
        <f t="shared" si="6"/>
        <v>5.9197242463532636</v>
      </c>
      <c r="J45" s="29">
        <v>4.4720000000000004</v>
      </c>
      <c r="K45" s="1">
        <v>6.6199999999999995E-2</v>
      </c>
      <c r="L45" s="1"/>
      <c r="M45" s="1"/>
      <c r="N45" s="38">
        <v>451</v>
      </c>
      <c r="O45" s="13">
        <v>45136.688194444447</v>
      </c>
    </row>
    <row r="46" spans="1:15" x14ac:dyDescent="0.3">
      <c r="A46" s="1" t="s">
        <v>34</v>
      </c>
      <c r="B46" s="1">
        <v>120</v>
      </c>
      <c r="C46" s="1">
        <v>0.2349</v>
      </c>
      <c r="D46" s="1">
        <v>0.23730000000000001</v>
      </c>
      <c r="E46" s="1">
        <f t="shared" si="8"/>
        <v>2.4000000000000132E-3</v>
      </c>
      <c r="F46" s="12">
        <f t="shared" si="7"/>
        <v>20.00000000000011</v>
      </c>
      <c r="G46" s="1">
        <v>84.561999999999998</v>
      </c>
      <c r="H46" s="24">
        <v>0</v>
      </c>
      <c r="I46" s="25"/>
      <c r="J46" s="29">
        <v>4.6630000000000003</v>
      </c>
      <c r="K46" s="1"/>
      <c r="L46" s="1"/>
      <c r="M46" s="1"/>
      <c r="N46" s="38">
        <v>452</v>
      </c>
      <c r="O46" s="13">
        <v>45136.698611111111</v>
      </c>
    </row>
    <row r="47" spans="1:15" x14ac:dyDescent="0.3">
      <c r="A47" s="1" t="s">
        <v>35</v>
      </c>
      <c r="B47" s="1">
        <v>110</v>
      </c>
      <c r="C47" s="1">
        <v>0.2311</v>
      </c>
      <c r="D47" s="1">
        <v>0.23280000000000001</v>
      </c>
      <c r="E47" s="1">
        <f t="shared" si="8"/>
        <v>1.7000000000000071E-3</v>
      </c>
      <c r="F47" s="12">
        <f t="shared" si="7"/>
        <v>15.454545454545519</v>
      </c>
      <c r="G47" s="1">
        <v>59.01</v>
      </c>
      <c r="H47" s="24">
        <v>0.32430437517212002</v>
      </c>
      <c r="I47" s="25">
        <f t="shared" si="6"/>
        <v>2.9482215924738182</v>
      </c>
      <c r="J47" s="29">
        <v>4.9740000000000002</v>
      </c>
      <c r="K47" s="1">
        <v>1.83E-2</v>
      </c>
      <c r="L47" s="1"/>
      <c r="M47" s="1"/>
      <c r="N47" s="38">
        <v>453</v>
      </c>
      <c r="O47" s="13">
        <v>45136.719444444447</v>
      </c>
    </row>
    <row r="48" spans="1:15" x14ac:dyDescent="0.3">
      <c r="A48" s="1" t="s">
        <v>36</v>
      </c>
      <c r="B48" s="1">
        <v>100</v>
      </c>
      <c r="C48" s="1">
        <v>0.22989999999999999</v>
      </c>
      <c r="D48" s="1">
        <v>0.23250000000000001</v>
      </c>
      <c r="E48" s="1">
        <f t="shared" si="8"/>
        <v>2.600000000000019E-3</v>
      </c>
      <c r="F48" s="12">
        <f t="shared" si="7"/>
        <v>26.000000000000188</v>
      </c>
      <c r="G48" s="1">
        <v>42.72</v>
      </c>
      <c r="H48" s="24">
        <v>0</v>
      </c>
      <c r="I48" s="25"/>
      <c r="J48" s="29">
        <v>4.9390000000000001</v>
      </c>
      <c r="K48" s="1">
        <v>1.9300000000000001E-2</v>
      </c>
      <c r="L48" s="1"/>
      <c r="M48" s="1"/>
      <c r="N48" s="38">
        <v>454</v>
      </c>
      <c r="O48" s="13">
        <v>45136.740277777775</v>
      </c>
    </row>
    <row r="49" spans="1:15" ht="15" thickBot="1" x14ac:dyDescent="0.35">
      <c r="A49" s="102" t="s">
        <v>37</v>
      </c>
      <c r="B49" s="102">
        <v>100</v>
      </c>
      <c r="C49" s="102">
        <v>0.22919999999999999</v>
      </c>
      <c r="D49" s="102">
        <v>0.23130000000000001</v>
      </c>
      <c r="E49" s="102">
        <f t="shared" si="8"/>
        <v>2.1000000000000185E-3</v>
      </c>
      <c r="F49" s="103">
        <f t="shared" si="7"/>
        <v>21.000000000000185</v>
      </c>
      <c r="G49" s="102">
        <v>98.146000000000001</v>
      </c>
      <c r="H49" s="104">
        <v>0.42750517220431999</v>
      </c>
      <c r="I49" s="105">
        <f t="shared" si="6"/>
        <v>4.2750517220431998</v>
      </c>
      <c r="J49" s="106">
        <v>5.2530000000000001</v>
      </c>
      <c r="K49" s="102"/>
      <c r="L49" s="102"/>
      <c r="M49" s="102"/>
      <c r="N49" s="107">
        <v>455</v>
      </c>
      <c r="O49" s="66">
        <v>45136.771527777775</v>
      </c>
    </row>
    <row r="50" spans="1:15" x14ac:dyDescent="0.3">
      <c r="A50" s="108" t="s">
        <v>7</v>
      </c>
      <c r="B50" s="108">
        <v>260</v>
      </c>
      <c r="C50" s="108">
        <v>0.2351</v>
      </c>
      <c r="D50" s="108">
        <v>0.25490000000000002</v>
      </c>
      <c r="E50" s="108">
        <f t="shared" ref="E50:E67" si="9">D50-C50</f>
        <v>1.9800000000000012E-2</v>
      </c>
      <c r="F50" s="109">
        <f t="shared" si="7"/>
        <v>76.153846153846203</v>
      </c>
      <c r="G50" s="108">
        <v>210.458</v>
      </c>
      <c r="H50" s="110">
        <v>2.0222215051616801</v>
      </c>
      <c r="I50" s="111">
        <f t="shared" si="6"/>
        <v>7.7777750198526157</v>
      </c>
      <c r="J50" s="112">
        <v>4.4729999999999999</v>
      </c>
      <c r="K50" s="108">
        <v>6.83E-2</v>
      </c>
      <c r="L50" s="108"/>
      <c r="M50" s="108"/>
      <c r="N50" s="113">
        <v>456</v>
      </c>
      <c r="O50" s="76">
        <v>45151.78125</v>
      </c>
    </row>
    <row r="51" spans="1:15" x14ac:dyDescent="0.3">
      <c r="A51" s="49" t="s">
        <v>8</v>
      </c>
      <c r="B51" s="49">
        <v>250</v>
      </c>
      <c r="C51" s="49">
        <v>0.2339</v>
      </c>
      <c r="D51" s="49">
        <v>0.2442</v>
      </c>
      <c r="E51" s="49">
        <f t="shared" si="9"/>
        <v>1.0300000000000004E-2</v>
      </c>
      <c r="F51" s="50">
        <f t="shared" ref="F51:F67" si="10">E51/B51*1000*1000</f>
        <v>41.200000000000017</v>
      </c>
      <c r="G51" s="49">
        <v>116.066</v>
      </c>
      <c r="H51" s="51">
        <v>1.1336781018156401</v>
      </c>
      <c r="I51" s="52">
        <f t="shared" si="6"/>
        <v>4.5347124072625604</v>
      </c>
      <c r="J51" s="53">
        <v>3.9359999999999999</v>
      </c>
      <c r="K51" s="49">
        <v>9.6100000000000005E-2</v>
      </c>
      <c r="L51" s="49"/>
      <c r="M51" s="49"/>
      <c r="N51" s="54">
        <v>457</v>
      </c>
      <c r="O51" s="13">
        <v>45151.790277777778</v>
      </c>
    </row>
    <row r="52" spans="1:15" x14ac:dyDescent="0.3">
      <c r="A52" s="49" t="s">
        <v>9</v>
      </c>
      <c r="B52" s="49">
        <v>250</v>
      </c>
      <c r="C52" s="49">
        <v>0.23799999999999999</v>
      </c>
      <c r="D52" s="49">
        <v>0.24790000000000001</v>
      </c>
      <c r="E52" s="49">
        <f t="shared" si="9"/>
        <v>9.9000000000000199E-3</v>
      </c>
      <c r="F52" s="50">
        <f t="shared" si="10"/>
        <v>39.60000000000008</v>
      </c>
      <c r="G52" s="49">
        <v>113.258</v>
      </c>
      <c r="H52" s="51">
        <v>1.4723180433944001</v>
      </c>
      <c r="I52" s="52">
        <f t="shared" si="6"/>
        <v>5.8892721735776004</v>
      </c>
      <c r="J52" s="53">
        <v>3.9430000000000001</v>
      </c>
      <c r="K52" s="49">
        <v>9.6799999999999997E-2</v>
      </c>
      <c r="L52" s="49"/>
      <c r="M52" s="49"/>
      <c r="N52" s="54">
        <v>458</v>
      </c>
      <c r="O52" s="13">
        <v>45151.793055555558</v>
      </c>
    </row>
    <row r="53" spans="1:15" x14ac:dyDescent="0.3">
      <c r="A53" s="49" t="s">
        <v>10</v>
      </c>
      <c r="B53" s="49">
        <v>250</v>
      </c>
      <c r="C53" s="49">
        <v>0.23469999999999999</v>
      </c>
      <c r="D53" s="49">
        <v>0.24160000000000001</v>
      </c>
      <c r="E53" s="49">
        <f t="shared" si="9"/>
        <v>6.9000000000000172E-3</v>
      </c>
      <c r="F53" s="50">
        <f t="shared" si="10"/>
        <v>27.600000000000069</v>
      </c>
      <c r="G53" s="49">
        <v>81.150000000000006</v>
      </c>
      <c r="H53" s="51">
        <v>1.2008849810370801</v>
      </c>
      <c r="I53" s="52">
        <f t="shared" si="6"/>
        <v>4.8035399241483203</v>
      </c>
      <c r="J53" s="53">
        <v>4.0389999999999997</v>
      </c>
      <c r="K53" s="49">
        <v>9.06E-2</v>
      </c>
      <c r="L53" s="49"/>
      <c r="M53" s="49"/>
      <c r="N53" s="54">
        <v>459</v>
      </c>
      <c r="O53" s="13">
        <v>45151.798611111109</v>
      </c>
    </row>
    <row r="54" spans="1:15" x14ac:dyDescent="0.3">
      <c r="A54" s="49" t="s">
        <v>11</v>
      </c>
      <c r="B54" s="49">
        <v>240</v>
      </c>
      <c r="C54" s="49">
        <v>0.2374</v>
      </c>
      <c r="D54" s="49">
        <v>0.2424</v>
      </c>
      <c r="E54" s="49">
        <f t="shared" si="9"/>
        <v>5.0000000000000044E-3</v>
      </c>
      <c r="F54" s="50">
        <f t="shared" si="10"/>
        <v>20.833333333333353</v>
      </c>
      <c r="G54" s="49">
        <v>56.15</v>
      </c>
      <c r="H54" s="51">
        <v>0.70097364508676874</v>
      </c>
      <c r="I54" s="52">
        <f t="shared" si="6"/>
        <v>2.9207235211948697</v>
      </c>
      <c r="J54" s="53">
        <v>2.786</v>
      </c>
      <c r="K54" s="49">
        <v>3.9199999999999999E-2</v>
      </c>
      <c r="L54" s="49"/>
      <c r="M54" s="49"/>
      <c r="N54" s="54">
        <v>460</v>
      </c>
      <c r="O54" s="13">
        <v>45151.876388888886</v>
      </c>
    </row>
    <row r="55" spans="1:15" x14ac:dyDescent="0.3">
      <c r="A55" s="2" t="s">
        <v>12</v>
      </c>
      <c r="B55" s="2">
        <v>250</v>
      </c>
      <c r="C55" s="2">
        <v>0.2374</v>
      </c>
      <c r="D55" s="2">
        <v>0.2482</v>
      </c>
      <c r="E55" s="2">
        <f t="shared" si="9"/>
        <v>1.0800000000000004E-2</v>
      </c>
      <c r="F55" s="14">
        <f t="shared" si="10"/>
        <v>43.200000000000017</v>
      </c>
      <c r="G55" s="2">
        <v>183.80799999999999</v>
      </c>
      <c r="H55" s="30">
        <v>1.3888700852562501</v>
      </c>
      <c r="I55" s="31">
        <f t="shared" si="6"/>
        <v>5.5554803410250004</v>
      </c>
      <c r="J55" s="32">
        <v>9.9</v>
      </c>
      <c r="K55" s="2">
        <v>7.1000000000000004E-3</v>
      </c>
      <c r="L55" s="2"/>
      <c r="M55" s="2"/>
      <c r="N55" s="39">
        <v>461</v>
      </c>
      <c r="O55" s="13">
        <v>45151.791666666664</v>
      </c>
    </row>
    <row r="56" spans="1:15" x14ac:dyDescent="0.3">
      <c r="A56" s="2" t="s">
        <v>13</v>
      </c>
      <c r="B56" s="2">
        <v>260</v>
      </c>
      <c r="C56" s="2">
        <v>0.2281</v>
      </c>
      <c r="D56" s="2">
        <v>0.23569999999999999</v>
      </c>
      <c r="E56" s="2">
        <f t="shared" si="9"/>
        <v>7.5999999999999956E-3</v>
      </c>
      <c r="F56" s="14">
        <f t="shared" si="10"/>
        <v>29.230769230769212</v>
      </c>
      <c r="G56" s="2">
        <v>83.528000000000006</v>
      </c>
      <c r="H56" s="30">
        <v>1.3211677463677476</v>
      </c>
      <c r="I56" s="31">
        <f t="shared" si="6"/>
        <v>5.0814144091067215</v>
      </c>
      <c r="J56" s="32">
        <v>3.379</v>
      </c>
      <c r="K56" s="2">
        <v>8.2199999999999995E-2</v>
      </c>
      <c r="L56" s="2"/>
      <c r="M56" s="2"/>
      <c r="N56" s="39">
        <v>462</v>
      </c>
      <c r="O56" s="13">
        <v>45151.802083333336</v>
      </c>
    </row>
    <row r="57" spans="1:15" x14ac:dyDescent="0.3">
      <c r="A57" s="2" t="s">
        <v>14</v>
      </c>
      <c r="B57" s="2">
        <v>260</v>
      </c>
      <c r="C57" s="2">
        <v>0.2384</v>
      </c>
      <c r="D57" s="2">
        <v>0.24490000000000001</v>
      </c>
      <c r="E57" s="2">
        <f t="shared" si="9"/>
        <v>6.5000000000000058E-3</v>
      </c>
      <c r="F57" s="14">
        <f t="shared" si="10"/>
        <v>25.000000000000021</v>
      </c>
      <c r="G57" s="2">
        <v>72.105000000000004</v>
      </c>
      <c r="H57" s="30">
        <v>1.243345664936105</v>
      </c>
      <c r="I57" s="31">
        <f t="shared" si="6"/>
        <v>4.7820987112927114</v>
      </c>
      <c r="J57" s="32">
        <v>3.1909999999999998</v>
      </c>
      <c r="K57" s="2">
        <v>5.8000000000000003E-2</v>
      </c>
      <c r="L57" s="2"/>
      <c r="M57" s="2"/>
      <c r="N57" s="39">
        <v>463</v>
      </c>
      <c r="O57" s="13">
        <v>45151.8125</v>
      </c>
    </row>
    <row r="58" spans="1:15" x14ac:dyDescent="0.3">
      <c r="A58" s="2" t="s">
        <v>15</v>
      </c>
      <c r="B58" s="2">
        <v>240</v>
      </c>
      <c r="C58" s="2">
        <v>0.23130000000000001</v>
      </c>
      <c r="D58" s="2">
        <v>0.23699999999999999</v>
      </c>
      <c r="E58" s="2">
        <f t="shared" si="9"/>
        <v>5.6999999999999829E-3</v>
      </c>
      <c r="F58" s="14">
        <f t="shared" si="10"/>
        <v>23.749999999999932</v>
      </c>
      <c r="G58" s="2">
        <v>67.606999999999999</v>
      </c>
      <c r="H58" s="30">
        <v>0.96877795638711239</v>
      </c>
      <c r="I58" s="31">
        <f t="shared" si="6"/>
        <v>4.036574818279635</v>
      </c>
      <c r="J58" s="32">
        <v>3.1280000000000001</v>
      </c>
      <c r="K58" s="2">
        <v>5.79E-2</v>
      </c>
      <c r="L58" s="2"/>
      <c r="M58" s="2"/>
      <c r="N58" s="39">
        <v>464</v>
      </c>
      <c r="O58" s="13">
        <v>45151.822916666664</v>
      </c>
    </row>
    <row r="59" spans="1:15" x14ac:dyDescent="0.3">
      <c r="A59" s="2" t="s">
        <v>16</v>
      </c>
      <c r="B59" s="2">
        <v>90</v>
      </c>
      <c r="C59" s="2">
        <v>0.23319999999999999</v>
      </c>
      <c r="D59" s="2">
        <v>0.23519999999999999</v>
      </c>
      <c r="E59" s="2">
        <f t="shared" si="9"/>
        <v>2.0000000000000018E-3</v>
      </c>
      <c r="F59" s="14">
        <f t="shared" si="10"/>
        <v>22.222222222222243</v>
      </c>
      <c r="G59" s="2">
        <v>70.3</v>
      </c>
      <c r="H59" s="30"/>
      <c r="I59" s="31"/>
      <c r="J59" s="32">
        <v>3.3319999999999999</v>
      </c>
      <c r="K59" s="2">
        <v>5.8299999999999998E-2</v>
      </c>
      <c r="L59" s="2"/>
      <c r="M59" s="2"/>
      <c r="N59" s="39">
        <v>465</v>
      </c>
      <c r="O59" s="13">
        <v>45151.833333333336</v>
      </c>
    </row>
    <row r="60" spans="1:15" x14ac:dyDescent="0.3">
      <c r="A60" s="2" t="s">
        <v>17</v>
      </c>
      <c r="B60" s="2">
        <v>90</v>
      </c>
      <c r="C60" s="2">
        <v>0.2298</v>
      </c>
      <c r="D60" s="2">
        <v>0.23180000000000001</v>
      </c>
      <c r="E60" s="2">
        <f t="shared" si="9"/>
        <v>2.0000000000000018E-3</v>
      </c>
      <c r="F60" s="14">
        <f t="shared" si="10"/>
        <v>22.222222222222243</v>
      </c>
      <c r="G60" s="2">
        <v>67.88</v>
      </c>
      <c r="H60" s="30">
        <v>0.46451618132306999</v>
      </c>
      <c r="I60" s="31">
        <f t="shared" si="6"/>
        <v>5.1612909035896664</v>
      </c>
      <c r="J60" s="32">
        <v>3.1309999999999998</v>
      </c>
      <c r="K60" s="2">
        <v>4.6899999999999997E-2</v>
      </c>
      <c r="L60" s="2"/>
      <c r="M60" s="2"/>
      <c r="N60" s="39">
        <v>466</v>
      </c>
      <c r="O60" s="13">
        <v>45151.84375</v>
      </c>
    </row>
    <row r="61" spans="1:15" x14ac:dyDescent="0.3">
      <c r="A61" s="2" t="s">
        <v>18</v>
      </c>
      <c r="B61" s="2">
        <v>105</v>
      </c>
      <c r="C61" s="2">
        <v>0.2283</v>
      </c>
      <c r="D61" s="2">
        <v>0.2306</v>
      </c>
      <c r="E61" s="2">
        <f t="shared" si="9"/>
        <v>2.2999999999999965E-3</v>
      </c>
      <c r="F61" s="14">
        <f t="shared" si="10"/>
        <v>21.90476190476187</v>
      </c>
      <c r="G61" s="2">
        <v>84.66</v>
      </c>
      <c r="H61" s="30"/>
      <c r="I61" s="31"/>
      <c r="J61" s="32">
        <v>3.286</v>
      </c>
      <c r="K61" s="2">
        <v>1.77E-2</v>
      </c>
      <c r="L61" s="2"/>
      <c r="M61" s="2"/>
      <c r="N61" s="39">
        <v>467</v>
      </c>
      <c r="O61" s="13">
        <v>45151.854166666664</v>
      </c>
    </row>
    <row r="62" spans="1:15" x14ac:dyDescent="0.3">
      <c r="A62" s="2" t="s">
        <v>19</v>
      </c>
      <c r="B62" s="2">
        <v>100</v>
      </c>
      <c r="C62" s="2">
        <v>0.22900000000000001</v>
      </c>
      <c r="D62" s="2">
        <v>0.23080000000000001</v>
      </c>
      <c r="E62" s="2">
        <f t="shared" si="9"/>
        <v>1.799999999999996E-3</v>
      </c>
      <c r="F62" s="14">
        <f t="shared" si="10"/>
        <v>17.999999999999961</v>
      </c>
      <c r="G62" s="2">
        <v>67.569999999999993</v>
      </c>
      <c r="H62" s="30">
        <v>0.51244036630343248</v>
      </c>
      <c r="I62" s="31">
        <f t="shared" si="6"/>
        <v>5.1244036630343253</v>
      </c>
      <c r="J62" s="32">
        <v>2.9169999999999998</v>
      </c>
      <c r="K62" s="2">
        <v>3.1800000000000002E-2</v>
      </c>
      <c r="L62" s="2"/>
      <c r="M62" s="2"/>
      <c r="N62" s="39">
        <v>468</v>
      </c>
      <c r="O62" s="13">
        <v>45151.864583333336</v>
      </c>
    </row>
    <row r="63" spans="1:15" x14ac:dyDescent="0.3">
      <c r="A63" s="2" t="s">
        <v>20</v>
      </c>
      <c r="B63" s="2">
        <v>200</v>
      </c>
      <c r="C63" s="2">
        <v>0.23630000000000001</v>
      </c>
      <c r="D63" s="2">
        <v>0.2404</v>
      </c>
      <c r="E63" s="2">
        <f t="shared" si="9"/>
        <v>4.0999999999999925E-3</v>
      </c>
      <c r="F63" s="14">
        <f t="shared" si="10"/>
        <v>20.499999999999964</v>
      </c>
      <c r="G63" s="2">
        <v>54.936</v>
      </c>
      <c r="H63" s="30"/>
      <c r="I63" s="31"/>
      <c r="J63" s="32">
        <v>2.548</v>
      </c>
      <c r="K63" s="2">
        <v>4.8099999999999997E-2</v>
      </c>
      <c r="L63" s="2"/>
      <c r="M63" s="2"/>
      <c r="N63" s="39">
        <v>469</v>
      </c>
      <c r="O63" s="13">
        <v>45151.875</v>
      </c>
    </row>
    <row r="64" spans="1:15" x14ac:dyDescent="0.3">
      <c r="A64" s="2" t="s">
        <v>21</v>
      </c>
      <c r="B64" s="2">
        <v>215</v>
      </c>
      <c r="C64" s="2">
        <v>0.2341</v>
      </c>
      <c r="D64" s="2">
        <v>0.23680000000000001</v>
      </c>
      <c r="E64" s="2">
        <f t="shared" si="9"/>
        <v>2.7000000000000079E-3</v>
      </c>
      <c r="F64" s="14">
        <f t="shared" si="10"/>
        <v>12.558139534883757</v>
      </c>
      <c r="G64" s="2">
        <v>75.337999999999994</v>
      </c>
      <c r="H64" s="30"/>
      <c r="I64" s="31"/>
      <c r="J64" s="32">
        <v>2.5049999999999999</v>
      </c>
      <c r="K64" s="2">
        <v>1.8800000000000001E-2</v>
      </c>
      <c r="L64" s="2"/>
      <c r="M64" s="2"/>
      <c r="N64" s="39">
        <v>470</v>
      </c>
      <c r="O64" s="13">
        <v>45151.885416666664</v>
      </c>
    </row>
    <row r="65" spans="1:15" x14ac:dyDescent="0.3">
      <c r="A65" s="2" t="s">
        <v>22</v>
      </c>
      <c r="B65" s="2">
        <v>250</v>
      </c>
      <c r="C65" s="2">
        <v>0.22919999999999999</v>
      </c>
      <c r="D65" s="2">
        <v>0.23369999999999999</v>
      </c>
      <c r="E65" s="2">
        <f t="shared" si="9"/>
        <v>4.500000000000004E-3</v>
      </c>
      <c r="F65" s="14">
        <f t="shared" si="10"/>
        <v>18.000000000000014</v>
      </c>
      <c r="G65" s="2">
        <v>59.165999999999997</v>
      </c>
      <c r="H65" s="30"/>
      <c r="I65" s="31"/>
      <c r="J65" s="32">
        <v>2.508</v>
      </c>
      <c r="K65" s="2">
        <v>6.4299999999999996E-2</v>
      </c>
      <c r="L65" s="2"/>
      <c r="M65" s="2"/>
      <c r="N65" s="39">
        <v>471</v>
      </c>
      <c r="O65" s="13">
        <v>45151.895833333336</v>
      </c>
    </row>
    <row r="66" spans="1:15" x14ac:dyDescent="0.3">
      <c r="A66" s="2" t="s">
        <v>23</v>
      </c>
      <c r="B66" s="2">
        <v>250</v>
      </c>
      <c r="C66" s="2">
        <v>0.23760000000000001</v>
      </c>
      <c r="D66" s="2">
        <v>0.24260000000000001</v>
      </c>
      <c r="E66" s="2">
        <f t="shared" si="9"/>
        <v>5.0000000000000044E-3</v>
      </c>
      <c r="F66" s="14">
        <f t="shared" si="10"/>
        <v>20.000000000000018</v>
      </c>
      <c r="G66" s="2">
        <v>50.774000000000001</v>
      </c>
      <c r="H66" s="30">
        <v>0.81061645169894003</v>
      </c>
      <c r="I66" s="31">
        <f t="shared" si="6"/>
        <v>3.2424658067957601</v>
      </c>
      <c r="J66" s="32">
        <v>2.4820000000000002</v>
      </c>
      <c r="K66" s="2">
        <v>3.4000000000000002E-2</v>
      </c>
      <c r="L66" s="2"/>
      <c r="M66" s="2"/>
      <c r="N66" s="39">
        <v>472</v>
      </c>
      <c r="O66" s="13">
        <v>45151.90625</v>
      </c>
    </row>
    <row r="67" spans="1:15" ht="15" thickBot="1" x14ac:dyDescent="0.35">
      <c r="A67" s="114" t="s">
        <v>65</v>
      </c>
      <c r="B67" s="114">
        <v>120</v>
      </c>
      <c r="C67" s="114">
        <v>0.2329</v>
      </c>
      <c r="D67" s="114">
        <v>0.2349</v>
      </c>
      <c r="E67" s="114">
        <f t="shared" si="9"/>
        <v>2.0000000000000018E-3</v>
      </c>
      <c r="F67" s="115">
        <f t="shared" si="10"/>
        <v>16.666666666666682</v>
      </c>
      <c r="G67" s="115"/>
      <c r="H67" s="116"/>
      <c r="I67" s="117"/>
      <c r="J67" s="118">
        <v>3.1379999999999999</v>
      </c>
      <c r="K67" s="114"/>
      <c r="L67" s="114"/>
      <c r="M67" s="114"/>
      <c r="N67" s="119">
        <v>473</v>
      </c>
      <c r="O67" s="66">
        <v>45151.916666666664</v>
      </c>
    </row>
    <row r="68" spans="1:15" x14ac:dyDescent="0.3">
      <c r="A68" s="124" t="s">
        <v>38</v>
      </c>
      <c r="B68" s="124">
        <v>190</v>
      </c>
      <c r="C68" s="124">
        <v>0.23569999999999999</v>
      </c>
      <c r="D68" s="124">
        <v>0.2505</v>
      </c>
      <c r="E68" s="124">
        <f t="shared" ref="E68:E75" si="11">D68-C68</f>
        <v>1.4800000000000008E-2</v>
      </c>
      <c r="F68" s="125">
        <f t="shared" ref="F68:F75" si="12">E68/B68*1000*1000</f>
        <v>77.894736842105289</v>
      </c>
      <c r="G68" s="124">
        <v>232.05199999999999</v>
      </c>
      <c r="H68" s="126">
        <v>2.4072173760262299</v>
      </c>
      <c r="I68" s="127">
        <f t="shared" si="6"/>
        <v>12.669565136980157</v>
      </c>
      <c r="J68" s="128">
        <v>3.1040000000000001</v>
      </c>
      <c r="K68" s="124">
        <v>5.8700000000000002E-2</v>
      </c>
      <c r="L68" s="124"/>
      <c r="M68" s="124"/>
      <c r="N68" s="129">
        <v>476</v>
      </c>
      <c r="O68" s="76">
        <v>45166.513888888891</v>
      </c>
    </row>
    <row r="69" spans="1:15" x14ac:dyDescent="0.3">
      <c r="A69" s="8" t="s">
        <v>39</v>
      </c>
      <c r="B69" s="8">
        <v>200</v>
      </c>
      <c r="C69" s="8">
        <v>0.23250000000000001</v>
      </c>
      <c r="D69" s="8">
        <v>0.24110000000000001</v>
      </c>
      <c r="E69" s="8">
        <f t="shared" si="11"/>
        <v>8.5999999999999965E-3</v>
      </c>
      <c r="F69" s="15">
        <f t="shared" si="12"/>
        <v>42.999999999999986</v>
      </c>
      <c r="G69" s="8">
        <v>143.89599999999999</v>
      </c>
      <c r="H69" s="33">
        <v>1.25426288924901</v>
      </c>
      <c r="I69" s="34">
        <f t="shared" si="6"/>
        <v>6.2713144462450501</v>
      </c>
      <c r="J69" s="35">
        <v>3.3050000000000002</v>
      </c>
      <c r="K69" s="8">
        <v>0.12139999999999999</v>
      </c>
      <c r="L69" s="8"/>
      <c r="M69" s="8"/>
      <c r="N69" s="40">
        <v>477</v>
      </c>
      <c r="O69" s="13">
        <v>45166.524305555555</v>
      </c>
    </row>
    <row r="70" spans="1:15" x14ac:dyDescent="0.3">
      <c r="A70" s="8" t="s">
        <v>40</v>
      </c>
      <c r="B70" s="8">
        <v>200</v>
      </c>
      <c r="C70" s="8">
        <v>0.2399</v>
      </c>
      <c r="D70" s="8">
        <v>0.24709999999999999</v>
      </c>
      <c r="E70" s="8">
        <f t="shared" si="11"/>
        <v>7.1999999999999842E-3</v>
      </c>
      <c r="F70" s="15">
        <f t="shared" si="12"/>
        <v>35.999999999999922</v>
      </c>
      <c r="G70" s="8">
        <v>104.006</v>
      </c>
      <c r="H70" s="33">
        <v>1.13454858480537</v>
      </c>
      <c r="I70" s="34">
        <f t="shared" si="6"/>
        <v>5.6727429240268501</v>
      </c>
      <c r="J70" s="35">
        <v>3.3359999999999999</v>
      </c>
      <c r="K70" s="8">
        <v>2.3699999999999999E-2</v>
      </c>
      <c r="L70" s="8"/>
      <c r="M70" s="8"/>
      <c r="N70" s="40">
        <v>478</v>
      </c>
      <c r="O70" s="13">
        <v>45166.534722222219</v>
      </c>
    </row>
    <row r="71" spans="1:15" x14ac:dyDescent="0.3">
      <c r="A71" s="8" t="s">
        <v>41</v>
      </c>
      <c r="B71" s="8">
        <v>215</v>
      </c>
      <c r="C71" s="8">
        <v>0.2288</v>
      </c>
      <c r="D71" s="8">
        <v>0.23499999999999999</v>
      </c>
      <c r="E71" s="8">
        <f t="shared" si="11"/>
        <v>6.1999999999999833E-3</v>
      </c>
      <c r="F71" s="15">
        <f t="shared" si="12"/>
        <v>28.837209302325505</v>
      </c>
      <c r="G71" s="8">
        <v>88.144000000000005</v>
      </c>
      <c r="H71" s="33">
        <v>0.99956471075489506</v>
      </c>
      <c r="I71" s="34">
        <f t="shared" si="6"/>
        <v>4.6491381895576511</v>
      </c>
      <c r="J71" s="35">
        <v>3.1989999999999998</v>
      </c>
      <c r="K71" s="8">
        <v>9.7699999999999995E-2</v>
      </c>
      <c r="L71" s="8"/>
      <c r="M71" s="8"/>
      <c r="N71" s="40">
        <v>479</v>
      </c>
      <c r="O71" s="13">
        <v>45166.545138888891</v>
      </c>
    </row>
    <row r="72" spans="1:15" x14ac:dyDescent="0.3">
      <c r="A72" s="8" t="s">
        <v>42</v>
      </c>
      <c r="B72" s="8">
        <v>220</v>
      </c>
      <c r="C72" s="8">
        <v>0.23330000000000001</v>
      </c>
      <c r="D72" s="8">
        <v>0.23980000000000001</v>
      </c>
      <c r="E72" s="8">
        <f t="shared" si="11"/>
        <v>6.5000000000000058E-3</v>
      </c>
      <c r="F72" s="15">
        <f t="shared" si="12"/>
        <v>29.545454545454572</v>
      </c>
      <c r="G72" s="8">
        <v>92.256</v>
      </c>
      <c r="H72" s="33">
        <v>1.1932436975735501</v>
      </c>
      <c r="I72" s="34">
        <f t="shared" si="6"/>
        <v>5.4238349889706816</v>
      </c>
      <c r="J72" s="35">
        <v>3.226</v>
      </c>
      <c r="K72" s="8">
        <v>0.17730000000000001</v>
      </c>
      <c r="L72" s="8"/>
      <c r="M72" s="8"/>
      <c r="N72" s="40">
        <v>480</v>
      </c>
      <c r="O72" s="13">
        <v>45166.555555555555</v>
      </c>
    </row>
    <row r="73" spans="1:15" x14ac:dyDescent="0.3">
      <c r="A73" s="8" t="s">
        <v>43</v>
      </c>
      <c r="B73" s="8">
        <v>190</v>
      </c>
      <c r="C73" s="8">
        <v>0.2316</v>
      </c>
      <c r="D73" s="8">
        <v>0.23669999999999999</v>
      </c>
      <c r="E73" s="8">
        <f t="shared" si="11"/>
        <v>5.0999999999999934E-3</v>
      </c>
      <c r="F73" s="15">
        <f t="shared" si="12"/>
        <v>26.842105263157862</v>
      </c>
      <c r="G73" s="8">
        <v>82.494</v>
      </c>
      <c r="H73" s="33">
        <v>0.85419170023644253</v>
      </c>
      <c r="I73" s="34">
        <f t="shared" si="6"/>
        <v>4.495745790718118</v>
      </c>
      <c r="J73" s="35">
        <v>3.206</v>
      </c>
      <c r="K73" s="8"/>
      <c r="L73" s="8"/>
      <c r="M73" s="8"/>
      <c r="N73" s="40">
        <v>481</v>
      </c>
      <c r="O73" s="13">
        <v>45166.586805555555</v>
      </c>
    </row>
    <row r="74" spans="1:15" x14ac:dyDescent="0.3">
      <c r="A74" s="8" t="s">
        <v>44</v>
      </c>
      <c r="B74" s="8">
        <v>200</v>
      </c>
      <c r="C74" s="8">
        <v>0.22189999999999999</v>
      </c>
      <c r="D74" s="8">
        <v>0.22670000000000001</v>
      </c>
      <c r="E74" s="8">
        <f t="shared" si="11"/>
        <v>4.8000000000000265E-3</v>
      </c>
      <c r="F74" s="15">
        <f t="shared" si="12"/>
        <v>24.000000000000131</v>
      </c>
      <c r="G74" s="8">
        <v>69.394999999999996</v>
      </c>
      <c r="H74" s="33">
        <v>0</v>
      </c>
      <c r="I74" s="34"/>
      <c r="J74" s="35">
        <v>3.262</v>
      </c>
      <c r="K74" s="8">
        <v>6.9000000000000006E-2</v>
      </c>
      <c r="L74" s="8"/>
      <c r="M74" s="8"/>
      <c r="N74" s="40">
        <v>482</v>
      </c>
      <c r="O74" s="13">
        <v>45166.607638888891</v>
      </c>
    </row>
    <row r="75" spans="1:15" ht="15" thickBot="1" x14ac:dyDescent="0.35">
      <c r="A75" s="130" t="s">
        <v>66</v>
      </c>
      <c r="B75" s="130">
        <v>140</v>
      </c>
      <c r="C75" s="130">
        <v>0.2235</v>
      </c>
      <c r="D75" s="130">
        <v>0.2268</v>
      </c>
      <c r="E75" s="130">
        <f t="shared" si="11"/>
        <v>3.2999999999999974E-3</v>
      </c>
      <c r="F75" s="131">
        <f t="shared" si="12"/>
        <v>23.571428571428555</v>
      </c>
      <c r="G75" s="130">
        <v>0</v>
      </c>
      <c r="H75" s="132">
        <v>0</v>
      </c>
      <c r="I75" s="133"/>
      <c r="J75" s="134">
        <v>4.2779999999999996</v>
      </c>
      <c r="K75" s="130"/>
      <c r="L75" s="130"/>
      <c r="M75" s="130"/>
      <c r="N75" s="135">
        <v>483</v>
      </c>
      <c r="O75" s="66">
        <v>45166.638888888891</v>
      </c>
    </row>
    <row r="76" spans="1:15" x14ac:dyDescent="0.3">
      <c r="A76" s="136" t="s">
        <v>45</v>
      </c>
      <c r="B76" s="136">
        <v>250</v>
      </c>
      <c r="C76" s="136">
        <v>0.23899999999999999</v>
      </c>
      <c r="D76" s="136">
        <v>0.24840000000000001</v>
      </c>
      <c r="E76" s="136">
        <f t="shared" ref="E76:E87" si="13">D76-C76</f>
        <v>9.4000000000000195E-3</v>
      </c>
      <c r="F76" s="137">
        <f t="shared" ref="F76:F87" si="14">E76/B76*1000*1000</f>
        <v>37.60000000000008</v>
      </c>
      <c r="G76" s="84">
        <v>63.87</v>
      </c>
      <c r="H76" s="86">
        <v>1.3348544727944125</v>
      </c>
      <c r="I76" s="87">
        <f t="shared" si="6"/>
        <v>5.33941789117765</v>
      </c>
      <c r="J76" s="138">
        <v>5.4009999999999998</v>
      </c>
      <c r="K76" s="136"/>
      <c r="L76" s="136"/>
      <c r="M76" s="136"/>
      <c r="N76" s="139">
        <v>484</v>
      </c>
      <c r="O76" s="76">
        <v>45183.744444444441</v>
      </c>
    </row>
    <row r="77" spans="1:15" x14ac:dyDescent="0.3">
      <c r="A77" s="9" t="s">
        <v>46</v>
      </c>
      <c r="B77" s="9">
        <v>260</v>
      </c>
      <c r="C77" s="9">
        <v>0.2356</v>
      </c>
      <c r="D77" s="9">
        <v>0.24379999999999999</v>
      </c>
      <c r="E77" s="9">
        <f t="shared" si="13"/>
        <v>8.1999999999999851E-3</v>
      </c>
      <c r="F77" s="16">
        <f t="shared" si="14"/>
        <v>31.53846153846148</v>
      </c>
      <c r="G77" s="6">
        <v>75.400000000000006</v>
      </c>
      <c r="H77" s="17">
        <v>1.1993748002938676</v>
      </c>
      <c r="I77" s="22">
        <f t="shared" si="6"/>
        <v>4.6129800011302597</v>
      </c>
      <c r="J77" s="36">
        <v>4.8639999999999999</v>
      </c>
      <c r="K77" s="9"/>
      <c r="L77" s="9"/>
      <c r="M77" s="9"/>
      <c r="N77" s="41">
        <v>485</v>
      </c>
      <c r="O77" s="13">
        <v>45183.754861111112</v>
      </c>
    </row>
    <row r="78" spans="1:15" x14ac:dyDescent="0.3">
      <c r="A78" s="9" t="s">
        <v>47</v>
      </c>
      <c r="B78" s="9">
        <v>260</v>
      </c>
      <c r="C78" s="9">
        <v>0.23300000000000001</v>
      </c>
      <c r="D78" s="9">
        <v>0.24030000000000001</v>
      </c>
      <c r="E78" s="9">
        <f t="shared" si="13"/>
        <v>7.3000000000000009E-3</v>
      </c>
      <c r="F78" s="16">
        <f t="shared" si="14"/>
        <v>28.076923076923084</v>
      </c>
      <c r="G78" s="6">
        <v>70.75</v>
      </c>
      <c r="H78" s="17">
        <v>1.1397797508432075</v>
      </c>
      <c r="I78" s="22">
        <f t="shared" ref="I78:I87" si="15">H78/B78*1000</f>
        <v>4.3837682724738745</v>
      </c>
      <c r="J78" s="36">
        <v>4.6319999999999997</v>
      </c>
      <c r="K78" s="9"/>
      <c r="L78" s="9"/>
      <c r="M78" s="9"/>
      <c r="N78" s="41">
        <v>486</v>
      </c>
      <c r="O78" s="13">
        <v>45183.765277777777</v>
      </c>
    </row>
    <row r="79" spans="1:15" x14ac:dyDescent="0.3">
      <c r="A79" s="9" t="s">
        <v>48</v>
      </c>
      <c r="B79" s="9">
        <v>250</v>
      </c>
      <c r="C79" s="9">
        <v>0.2351</v>
      </c>
      <c r="D79" s="9">
        <v>0.24099999999999999</v>
      </c>
      <c r="E79" s="9">
        <f t="shared" si="13"/>
        <v>5.8999999999999886E-3</v>
      </c>
      <c r="F79" s="16">
        <f t="shared" si="14"/>
        <v>23.599999999999955</v>
      </c>
      <c r="G79" s="6">
        <v>82.6</v>
      </c>
      <c r="H79" s="17">
        <v>1.0275484426400625</v>
      </c>
      <c r="I79" s="22">
        <f t="shared" si="15"/>
        <v>4.11019377056025</v>
      </c>
      <c r="J79" s="36">
        <v>4.1559999999999997</v>
      </c>
      <c r="K79" s="9"/>
      <c r="L79" s="9"/>
      <c r="M79" s="9"/>
      <c r="N79" s="41">
        <v>487</v>
      </c>
      <c r="O79" s="13">
        <v>45183.775694444441</v>
      </c>
    </row>
    <row r="80" spans="1:15" x14ac:dyDescent="0.3">
      <c r="A80" s="9" t="s">
        <v>49</v>
      </c>
      <c r="B80" s="9">
        <v>255</v>
      </c>
      <c r="C80" s="9">
        <v>0.23710000000000001</v>
      </c>
      <c r="D80" s="9">
        <v>0.24249999999999999</v>
      </c>
      <c r="E80" s="9">
        <f t="shared" si="13"/>
        <v>5.3999999999999881E-3</v>
      </c>
      <c r="F80" s="16">
        <f t="shared" si="14"/>
        <v>21.176470588235247</v>
      </c>
      <c r="G80" s="6">
        <v>54.12</v>
      </c>
      <c r="H80" s="17">
        <v>0</v>
      </c>
      <c r="I80" s="22"/>
      <c r="J80" s="36">
        <v>3.2890000000000001</v>
      </c>
      <c r="K80" s="9"/>
      <c r="L80" s="9"/>
      <c r="M80" s="9"/>
      <c r="N80" s="41">
        <v>488</v>
      </c>
      <c r="O80" s="13">
        <v>45183.786111111112</v>
      </c>
    </row>
    <row r="81" spans="1:15" ht="15" thickBot="1" x14ac:dyDescent="0.35">
      <c r="A81" s="140" t="s">
        <v>50</v>
      </c>
      <c r="B81" s="140">
        <v>255</v>
      </c>
      <c r="C81" s="140">
        <v>0.23580000000000001</v>
      </c>
      <c r="D81" s="140">
        <v>0.2417</v>
      </c>
      <c r="E81" s="140">
        <f t="shared" si="13"/>
        <v>5.8999999999999886E-3</v>
      </c>
      <c r="F81" s="141">
        <f t="shared" si="14"/>
        <v>23.137254901960741</v>
      </c>
      <c r="G81" s="141"/>
      <c r="H81" s="92">
        <v>0.95984970198324493</v>
      </c>
      <c r="I81" s="93">
        <f t="shared" si="15"/>
        <v>3.7641164783656667</v>
      </c>
      <c r="J81" s="142">
        <v>8.7289999999999992</v>
      </c>
      <c r="K81" s="140"/>
      <c r="L81" s="140"/>
      <c r="M81" s="140"/>
      <c r="N81" s="143">
        <v>489</v>
      </c>
      <c r="O81" s="66">
        <v>45183.79791666667</v>
      </c>
    </row>
    <row r="82" spans="1:15" x14ac:dyDescent="0.3">
      <c r="A82" s="120" t="s">
        <v>51</v>
      </c>
      <c r="B82" s="120">
        <v>260</v>
      </c>
      <c r="C82" s="120">
        <v>0.23469999999999999</v>
      </c>
      <c r="D82" s="120">
        <v>0.2427</v>
      </c>
      <c r="E82" s="120">
        <f t="shared" si="13"/>
        <v>8.0000000000000071E-3</v>
      </c>
      <c r="F82" s="121">
        <f t="shared" si="14"/>
        <v>30.769230769230795</v>
      </c>
      <c r="G82" s="67">
        <v>95.962999999999994</v>
      </c>
      <c r="H82" s="68">
        <v>1.3355551810699124</v>
      </c>
      <c r="I82" s="69">
        <f t="shared" si="15"/>
        <v>5.1367506964227401</v>
      </c>
      <c r="J82" s="122">
        <v>8.7050000000000001</v>
      </c>
      <c r="K82" s="120"/>
      <c r="L82" s="120"/>
      <c r="M82" s="120"/>
      <c r="N82" s="123">
        <v>490</v>
      </c>
      <c r="O82" s="60">
        <v>45183.739583333336</v>
      </c>
    </row>
    <row r="83" spans="1:15" x14ac:dyDescent="0.3">
      <c r="A83" s="9" t="s">
        <v>52</v>
      </c>
      <c r="B83" s="9">
        <v>265</v>
      </c>
      <c r="C83" s="9">
        <v>0.24060000000000001</v>
      </c>
      <c r="D83" s="9">
        <v>0.24859999999999999</v>
      </c>
      <c r="E83" s="9">
        <f t="shared" si="13"/>
        <v>7.9999999999999793E-3</v>
      </c>
      <c r="F83" s="16">
        <f t="shared" si="14"/>
        <v>30.188679245282938</v>
      </c>
      <c r="G83" s="6">
        <v>80.180000000000007</v>
      </c>
      <c r="H83" s="17">
        <v>1.1113195373306999</v>
      </c>
      <c r="I83" s="22">
        <f t="shared" si="15"/>
        <v>4.1936586314366027</v>
      </c>
      <c r="J83" s="36">
        <v>3.1509999999999998</v>
      </c>
      <c r="K83" s="9"/>
      <c r="L83" s="9"/>
      <c r="M83" s="9"/>
      <c r="N83" s="41">
        <v>491</v>
      </c>
      <c r="O83" s="13">
        <v>45183.75</v>
      </c>
    </row>
    <row r="84" spans="1:15" x14ac:dyDescent="0.3">
      <c r="A84" s="9" t="s">
        <v>53</v>
      </c>
      <c r="B84" s="9">
        <v>240</v>
      </c>
      <c r="C84" s="9">
        <v>0.2384</v>
      </c>
      <c r="D84" s="9">
        <v>0.24540000000000001</v>
      </c>
      <c r="E84" s="9">
        <f t="shared" si="13"/>
        <v>7.0000000000000062E-3</v>
      </c>
      <c r="F84" s="16">
        <f t="shared" si="14"/>
        <v>29.166666666666696</v>
      </c>
      <c r="G84" s="6">
        <v>70.510000000000005</v>
      </c>
      <c r="H84" s="17">
        <v>1.0044204297234951</v>
      </c>
      <c r="I84" s="22">
        <f t="shared" si="15"/>
        <v>4.1850851238478963</v>
      </c>
      <c r="J84" s="36">
        <v>2.3119999999999998</v>
      </c>
      <c r="K84" s="9"/>
      <c r="L84" s="9"/>
      <c r="M84" s="9"/>
      <c r="N84" s="41">
        <v>492</v>
      </c>
      <c r="O84" s="13">
        <v>45183.760416666664</v>
      </c>
    </row>
    <row r="85" spans="1:15" x14ac:dyDescent="0.3">
      <c r="A85" s="9" t="s">
        <v>54</v>
      </c>
      <c r="B85" s="9">
        <v>240</v>
      </c>
      <c r="C85" s="9">
        <v>0.23369999999999999</v>
      </c>
      <c r="D85" s="9">
        <v>0.23860000000000001</v>
      </c>
      <c r="E85" s="9">
        <f t="shared" si="13"/>
        <v>4.9000000000000155E-3</v>
      </c>
      <c r="F85" s="16">
        <f>E85/B85*1000*1000</f>
        <v>20.416666666666732</v>
      </c>
      <c r="G85" s="6">
        <v>64.436999999999998</v>
      </c>
      <c r="H85" s="17">
        <v>0.71189129550605745</v>
      </c>
      <c r="I85" s="22">
        <f t="shared" si="15"/>
        <v>2.9662137312752392</v>
      </c>
      <c r="J85" s="36">
        <v>0.74299999999999999</v>
      </c>
      <c r="K85" s="9"/>
      <c r="L85" s="9"/>
      <c r="M85" s="9"/>
      <c r="N85" s="41">
        <v>493</v>
      </c>
      <c r="O85" s="13">
        <v>45183.78125</v>
      </c>
    </row>
    <row r="86" spans="1:15" x14ac:dyDescent="0.3">
      <c r="A86" s="9" t="s">
        <v>55</v>
      </c>
      <c r="B86" s="9">
        <v>250</v>
      </c>
      <c r="C86" s="9">
        <v>0.2354</v>
      </c>
      <c r="D86" s="9">
        <v>0.2399</v>
      </c>
      <c r="E86" s="9">
        <f t="shared" si="13"/>
        <v>4.500000000000004E-3</v>
      </c>
      <c r="F86" s="16">
        <f t="shared" si="14"/>
        <v>18.000000000000014</v>
      </c>
      <c r="G86" s="6">
        <v>46.07</v>
      </c>
      <c r="H86" s="17">
        <v>0</v>
      </c>
      <c r="I86" s="22"/>
      <c r="J86" s="36"/>
      <c r="K86" s="9"/>
      <c r="L86" s="9"/>
      <c r="M86" s="9"/>
      <c r="N86" s="41">
        <v>494</v>
      </c>
      <c r="O86" s="13">
        <v>45183.802083333336</v>
      </c>
    </row>
    <row r="87" spans="1:15" x14ac:dyDescent="0.3">
      <c r="A87" s="9" t="s">
        <v>68</v>
      </c>
      <c r="B87" s="9">
        <v>100</v>
      </c>
      <c r="C87" s="9">
        <v>0.23680000000000001</v>
      </c>
      <c r="D87" s="9">
        <v>0.2387</v>
      </c>
      <c r="E87" s="9">
        <f t="shared" si="13"/>
        <v>1.899999999999985E-3</v>
      </c>
      <c r="F87" s="16">
        <f t="shared" si="14"/>
        <v>18.999999999999851</v>
      </c>
      <c r="G87" s="6">
        <v>39.299999999999997</v>
      </c>
      <c r="H87" s="17">
        <v>0.47449365167919122</v>
      </c>
      <c r="I87" s="22">
        <f t="shared" si="15"/>
        <v>4.7449365167919124</v>
      </c>
      <c r="J87" s="36">
        <v>0</v>
      </c>
      <c r="K87" s="9"/>
      <c r="L87" s="9"/>
      <c r="M87" s="9"/>
      <c r="N87" s="41">
        <v>495</v>
      </c>
      <c r="O87" s="13">
        <v>45183.833333333336</v>
      </c>
    </row>
  </sheetData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56A85-9129-45FB-97F4-6550137620EC}">
  <dimension ref="A1:X38"/>
  <sheetViews>
    <sheetView zoomScale="70" zoomScaleNormal="70" workbookViewId="0">
      <selection activeCell="F2" sqref="F2"/>
    </sheetView>
  </sheetViews>
  <sheetFormatPr defaultRowHeight="14.4" x14ac:dyDescent="0.3"/>
  <cols>
    <col min="1" max="1" width="16.5546875" customWidth="1"/>
    <col min="2" max="2" width="20" customWidth="1"/>
    <col min="3" max="3" width="14.88671875" customWidth="1"/>
    <col min="4" max="4" width="14.44140625" customWidth="1"/>
    <col min="5" max="5" width="18.44140625" customWidth="1"/>
    <col min="6" max="6" width="19" customWidth="1"/>
    <col min="7" max="7" width="18.6640625" customWidth="1"/>
    <col min="8" max="8" width="12" customWidth="1"/>
    <col min="9" max="9" width="13.109375" customWidth="1"/>
    <col min="10" max="10" width="13" customWidth="1"/>
    <col min="11" max="11" width="11.44140625" customWidth="1"/>
    <col min="12" max="12" width="10.33203125" customWidth="1"/>
    <col min="13" max="13" width="12" customWidth="1"/>
    <col min="14" max="14" width="16" customWidth="1"/>
    <col min="15" max="15" width="14.88671875" customWidth="1"/>
    <col min="16" max="16" width="16.5546875" customWidth="1"/>
  </cols>
  <sheetData>
    <row r="1" spans="1:24" ht="43.2" x14ac:dyDescent="0.3">
      <c r="A1" s="144" t="s">
        <v>120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97</v>
      </c>
      <c r="H1" s="146" t="s">
        <v>72</v>
      </c>
      <c r="I1" s="146" t="s">
        <v>70</v>
      </c>
      <c r="J1" s="146" t="s">
        <v>69</v>
      </c>
      <c r="K1" s="145" t="s">
        <v>117</v>
      </c>
      <c r="L1" s="146" t="s">
        <v>118</v>
      </c>
      <c r="M1" s="146" t="s">
        <v>119</v>
      </c>
      <c r="N1" s="226" t="s">
        <v>61</v>
      </c>
      <c r="O1" s="146" t="s">
        <v>67</v>
      </c>
      <c r="P1" s="227" t="s">
        <v>171</v>
      </c>
    </row>
    <row r="2" spans="1:24" x14ac:dyDescent="0.3">
      <c r="A2" s="2" t="s">
        <v>129</v>
      </c>
      <c r="B2" s="2">
        <v>287.25</v>
      </c>
      <c r="C2" s="2">
        <v>0.2442</v>
      </c>
      <c r="D2" s="2">
        <v>0.24560000000000001</v>
      </c>
      <c r="E2" s="2">
        <f t="shared" ref="E2:E38" si="0">D2-C2</f>
        <v>1.4000000000000123E-3</v>
      </c>
      <c r="F2" s="147">
        <f>('Grab Samples'!E2*1000)/('Grab Samples'!B2/1000)</f>
        <v>4.8738033072237155</v>
      </c>
      <c r="G2" s="2">
        <v>0</v>
      </c>
      <c r="H2" s="148">
        <v>1.046437323968445</v>
      </c>
      <c r="I2" s="149">
        <f>H2/('Grab Samples'!B2/1000)</f>
        <v>3.6429497788283549</v>
      </c>
      <c r="J2" s="2"/>
      <c r="K2" s="2"/>
      <c r="L2" s="150">
        <v>0.03</v>
      </c>
      <c r="M2" s="150">
        <v>3.6999999999999998E-2</v>
      </c>
      <c r="N2" s="2" t="s">
        <v>121</v>
      </c>
      <c r="O2" s="228">
        <v>44394</v>
      </c>
      <c r="P2" s="222" t="s">
        <v>166</v>
      </c>
    </row>
    <row r="3" spans="1:24" x14ac:dyDescent="0.3">
      <c r="A3" s="2" t="s">
        <v>130</v>
      </c>
      <c r="B3" s="2">
        <v>159.59</v>
      </c>
      <c r="C3" s="2">
        <v>0.2402</v>
      </c>
      <c r="D3" s="2">
        <v>0.24030000000000001</v>
      </c>
      <c r="E3" s="2">
        <f t="shared" si="0"/>
        <v>1.0000000000001674E-4</v>
      </c>
      <c r="F3" s="147">
        <f>('Grab Samples'!E3*1000)/('Grab Samples'!B3/1000)</f>
        <v>0.62660567704753889</v>
      </c>
      <c r="G3" s="2">
        <v>0</v>
      </c>
      <c r="H3" s="148">
        <v>0.39719240842078224</v>
      </c>
      <c r="I3" s="149">
        <f>H3/('Grab Samples'!B3/1000)</f>
        <v>2.4888301799660519</v>
      </c>
      <c r="J3" s="2"/>
      <c r="K3" s="2"/>
      <c r="L3" s="150">
        <v>2.8000000000000001E-2</v>
      </c>
      <c r="M3" s="150">
        <v>3.6999999999999998E-2</v>
      </c>
      <c r="N3" s="2" t="s">
        <v>122</v>
      </c>
      <c r="O3" s="151">
        <v>44394</v>
      </c>
      <c r="P3" s="221" t="s">
        <v>169</v>
      </c>
    </row>
    <row r="4" spans="1:24" x14ac:dyDescent="0.3">
      <c r="A4" s="2" t="s">
        <v>131</v>
      </c>
      <c r="B4" s="2">
        <v>134.51</v>
      </c>
      <c r="C4" s="2">
        <v>0.2412</v>
      </c>
      <c r="D4" s="2">
        <v>0.24179999999999999</v>
      </c>
      <c r="E4" s="2">
        <f t="shared" si="0"/>
        <v>5.9999999999998943E-4</v>
      </c>
      <c r="F4" s="147">
        <f>('Grab Samples'!E4*1000)/('Grab Samples'!B4/1000)</f>
        <v>4.4606348970335992</v>
      </c>
      <c r="G4" s="2">
        <v>0</v>
      </c>
      <c r="H4" s="148">
        <v>0.33234237884337697</v>
      </c>
      <c r="I4" s="149">
        <f>H4/('Grab Samples'!B4/1000)</f>
        <v>2.4707633547199239</v>
      </c>
      <c r="J4" s="2"/>
      <c r="K4" s="2"/>
      <c r="L4" s="150">
        <v>2.1999999999999999E-2</v>
      </c>
      <c r="M4" s="150">
        <v>2.5999999999999999E-2</v>
      </c>
      <c r="N4" s="2" t="s">
        <v>123</v>
      </c>
      <c r="O4" s="151">
        <v>44396</v>
      </c>
      <c r="P4" s="219" t="s">
        <v>167</v>
      </c>
    </row>
    <row r="5" spans="1:24" x14ac:dyDescent="0.3">
      <c r="A5" s="2" t="s">
        <v>132</v>
      </c>
      <c r="B5" s="2">
        <v>117.22999999999999</v>
      </c>
      <c r="C5" s="2">
        <v>0.2407</v>
      </c>
      <c r="D5" s="2">
        <v>0.24160000000000001</v>
      </c>
      <c r="E5" s="2">
        <f t="shared" si="0"/>
        <v>9.000000000000119E-4</v>
      </c>
      <c r="F5" s="147">
        <f>('Grab Samples'!E5*1000)/('Grab Samples'!B5/1000)</f>
        <v>7.6772157297621089</v>
      </c>
      <c r="G5" s="2">
        <v>0</v>
      </c>
      <c r="H5" s="148">
        <v>0.33481118985762565</v>
      </c>
      <c r="I5" s="149">
        <f>H5/('Grab Samples'!B5/1000)</f>
        <v>2.8560197036392192</v>
      </c>
      <c r="J5" s="2"/>
      <c r="K5" s="2"/>
      <c r="L5" s="150">
        <v>2.5000000000000001E-2</v>
      </c>
      <c r="M5" s="150">
        <v>2.5000000000000001E-2</v>
      </c>
      <c r="N5" s="2" t="s">
        <v>124</v>
      </c>
      <c r="O5" s="151">
        <v>44396</v>
      </c>
      <c r="P5" s="201" t="s">
        <v>170</v>
      </c>
    </row>
    <row r="6" spans="1:24" x14ac:dyDescent="0.3">
      <c r="A6" s="2" t="s">
        <v>133</v>
      </c>
      <c r="B6" s="2">
        <v>333.45</v>
      </c>
      <c r="C6" s="2">
        <v>0.24099999999999999</v>
      </c>
      <c r="D6" s="2">
        <v>0.24249999999999999</v>
      </c>
      <c r="E6" s="2">
        <f t="shared" si="0"/>
        <v>1.5000000000000013E-3</v>
      </c>
      <c r="F6" s="147">
        <f>('Grab Samples'!E6*1000)/('Grab Samples'!B6/1000)</f>
        <v>4.4984255510571343</v>
      </c>
      <c r="G6" s="2">
        <v>0</v>
      </c>
      <c r="H6" s="148">
        <v>0.49779418859739377</v>
      </c>
      <c r="I6" s="149">
        <f>H6/('Grab Samples'!B6/1000)</f>
        <v>1.4928600647695121</v>
      </c>
      <c r="J6" s="2"/>
      <c r="K6" s="2"/>
      <c r="L6" s="150">
        <v>2.4E-2</v>
      </c>
      <c r="M6" s="150">
        <v>2.1999999999999999E-2</v>
      </c>
      <c r="N6" s="2" t="s">
        <v>125</v>
      </c>
      <c r="O6" s="151">
        <v>44413</v>
      </c>
      <c r="P6" s="225" t="s">
        <v>168</v>
      </c>
    </row>
    <row r="7" spans="1:24" x14ac:dyDescent="0.3">
      <c r="A7" s="2" t="s">
        <v>135</v>
      </c>
      <c r="B7" s="2">
        <v>318</v>
      </c>
      <c r="C7" s="2">
        <v>0.24160000000000001</v>
      </c>
      <c r="D7" s="2">
        <v>0.24329999999999999</v>
      </c>
      <c r="E7" s="2">
        <f t="shared" si="0"/>
        <v>1.6999999999999793E-3</v>
      </c>
      <c r="F7" s="147">
        <f>('Grab Samples'!E7*1000)/('Grab Samples'!B7/1000)</f>
        <v>5.345911949685469</v>
      </c>
      <c r="G7" s="2">
        <v>0</v>
      </c>
      <c r="H7" s="148">
        <v>0.47710769568542255</v>
      </c>
      <c r="I7" s="149">
        <f>H7/('Grab Samples'!B7/1000)</f>
        <v>1.5003386656774294</v>
      </c>
      <c r="J7" s="2"/>
      <c r="K7" s="2"/>
      <c r="L7" s="150">
        <v>2.4E-2</v>
      </c>
      <c r="M7" s="150">
        <v>2.3E-2</v>
      </c>
      <c r="N7" s="2" t="s">
        <v>126</v>
      </c>
      <c r="O7" s="151">
        <v>44413</v>
      </c>
    </row>
    <row r="8" spans="1:24" x14ac:dyDescent="0.3">
      <c r="A8" s="2" t="s">
        <v>136</v>
      </c>
      <c r="B8" s="2">
        <v>293.42</v>
      </c>
      <c r="C8" s="2">
        <v>0.24</v>
      </c>
      <c r="D8" s="2">
        <v>0.24360000000000001</v>
      </c>
      <c r="E8" s="2">
        <f t="shared" si="0"/>
        <v>3.6000000000000199E-3</v>
      </c>
      <c r="F8" s="147">
        <f>('Grab Samples'!E8*1000)/('Grab Samples'!B8/1000)</f>
        <v>12.269102310681003</v>
      </c>
      <c r="G8" s="2">
        <v>0</v>
      </c>
      <c r="H8" s="148">
        <v>0.75074101119692438</v>
      </c>
      <c r="I8" s="149">
        <f>H8/('Grab Samples'!B8/1000)</f>
        <v>2.5585884097775349</v>
      </c>
      <c r="J8" s="2"/>
      <c r="K8" s="2"/>
      <c r="L8" s="150">
        <v>2.1999999999999999E-2</v>
      </c>
      <c r="M8" s="150">
        <v>2.4E-2</v>
      </c>
      <c r="N8" s="2" t="s">
        <v>127</v>
      </c>
      <c r="O8" s="151">
        <v>44421</v>
      </c>
    </row>
    <row r="9" spans="1:24" ht="15" thickBot="1" x14ac:dyDescent="0.35">
      <c r="A9" s="114" t="s">
        <v>134</v>
      </c>
      <c r="B9" s="114">
        <v>341.46</v>
      </c>
      <c r="C9" s="114">
        <v>0.2407</v>
      </c>
      <c r="D9" s="114">
        <v>0.2424</v>
      </c>
      <c r="E9" s="114">
        <f t="shared" si="0"/>
        <v>1.7000000000000071E-3</v>
      </c>
      <c r="F9" s="152">
        <f>('Grab Samples'!E9*1000)/('Grab Samples'!B9/1000)</f>
        <v>4.9786212147835975</v>
      </c>
      <c r="G9" s="114">
        <v>0</v>
      </c>
      <c r="H9" s="153">
        <v>0.58988878338277129</v>
      </c>
      <c r="I9" s="154">
        <f>H9/('Grab Samples'!B9/1000)</f>
        <v>1.72754871253667</v>
      </c>
      <c r="J9" s="114"/>
      <c r="K9" s="114"/>
      <c r="L9" s="155">
        <v>2.1000000000000001E-2</v>
      </c>
      <c r="M9" s="155">
        <v>2.1999999999999999E-2</v>
      </c>
      <c r="N9" s="114" t="s">
        <v>128</v>
      </c>
      <c r="O9" s="156">
        <v>44421</v>
      </c>
      <c r="Q9" t="s">
        <v>178</v>
      </c>
    </row>
    <row r="10" spans="1:24" ht="15.6" x14ac:dyDescent="0.3">
      <c r="A10" s="157" t="s">
        <v>137</v>
      </c>
      <c r="B10" s="158">
        <v>119.13</v>
      </c>
      <c r="C10" s="157">
        <v>0.23960000000000001</v>
      </c>
      <c r="D10" s="157">
        <v>0.2404</v>
      </c>
      <c r="E10" s="157">
        <f t="shared" si="0"/>
        <v>7.9999999999999516E-4</v>
      </c>
      <c r="F10" s="159">
        <f>('Grab Samples'!E10*1000)/('Grab Samples'!B10/1000)</f>
        <v>6.7153529757407471</v>
      </c>
      <c r="G10" s="157">
        <v>0</v>
      </c>
      <c r="H10" s="157"/>
      <c r="I10" s="160"/>
      <c r="J10" s="161">
        <v>1.482</v>
      </c>
      <c r="K10" s="157"/>
      <c r="L10" s="157"/>
      <c r="M10" s="157"/>
      <c r="N10" s="162">
        <v>121</v>
      </c>
      <c r="O10" s="163">
        <v>44632</v>
      </c>
      <c r="R10" t="s">
        <v>172</v>
      </c>
      <c r="S10" t="s">
        <v>173</v>
      </c>
      <c r="T10" t="s">
        <v>174</v>
      </c>
      <c r="U10" t="s">
        <v>175</v>
      </c>
      <c r="V10" t="s">
        <v>117</v>
      </c>
      <c r="W10" t="s">
        <v>176</v>
      </c>
      <c r="X10" t="s">
        <v>177</v>
      </c>
    </row>
    <row r="11" spans="1:24" ht="15.6" x14ac:dyDescent="0.3">
      <c r="A11" s="1" t="s">
        <v>138</v>
      </c>
      <c r="B11" s="1">
        <v>121.65</v>
      </c>
      <c r="C11" s="1">
        <v>0.23630000000000001</v>
      </c>
      <c r="D11" s="1">
        <v>0.23730000000000001</v>
      </c>
      <c r="E11" s="1">
        <f t="shared" si="0"/>
        <v>1.0000000000000009E-3</v>
      </c>
      <c r="F11" s="164">
        <f>('Grab Samples'!E11*1000)/('Grab Samples'!B11/1000)</f>
        <v>8.2203041512536039</v>
      </c>
      <c r="G11" s="1">
        <v>0</v>
      </c>
      <c r="H11" s="1"/>
      <c r="I11" s="165"/>
      <c r="J11" s="166">
        <v>1.538</v>
      </c>
      <c r="K11" s="1"/>
      <c r="L11" s="1"/>
      <c r="M11" s="1"/>
      <c r="N11" s="167">
        <v>120</v>
      </c>
      <c r="O11" s="168">
        <v>44632</v>
      </c>
      <c r="Q11" s="219" t="s">
        <v>5</v>
      </c>
      <c r="R11">
        <v>0</v>
      </c>
      <c r="S11" s="229">
        <f>AVERAGE(F2:F5)</f>
        <v>4.409564902766741</v>
      </c>
      <c r="T11" s="229">
        <f>AVERAGE(L2:L5)</f>
        <v>2.6249999999999996E-2</v>
      </c>
      <c r="U11" s="229">
        <f>AVERAGE(M2:M5)</f>
        <v>3.125E-2</v>
      </c>
      <c r="V11">
        <v>0</v>
      </c>
      <c r="W11" s="230">
        <f>AVERAGE(I2:I5)</f>
        <v>2.8646407542883878</v>
      </c>
      <c r="X11" s="229">
        <f>AVERAGE(J10:J13)</f>
        <v>1.754</v>
      </c>
    </row>
    <row r="12" spans="1:24" ht="15.6" x14ac:dyDescent="0.3">
      <c r="A12" s="1" t="s">
        <v>139</v>
      </c>
      <c r="B12" s="1">
        <v>119.19</v>
      </c>
      <c r="C12" s="1">
        <v>0.2397</v>
      </c>
      <c r="D12" s="1">
        <v>0.2409</v>
      </c>
      <c r="E12" s="1">
        <f t="shared" si="0"/>
        <v>1.2000000000000066E-3</v>
      </c>
      <c r="F12" s="164">
        <f>('Grab Samples'!E12*1000)/('Grab Samples'!B12/1000)</f>
        <v>10.067958721369298</v>
      </c>
      <c r="G12" s="1">
        <v>0</v>
      </c>
      <c r="H12" s="1"/>
      <c r="I12" s="165"/>
      <c r="J12" s="1">
        <v>2.238</v>
      </c>
      <c r="K12" s="1"/>
      <c r="L12" s="1"/>
      <c r="M12" s="1"/>
      <c r="N12" s="167">
        <v>129</v>
      </c>
      <c r="O12" s="168">
        <v>44638</v>
      </c>
      <c r="Q12" s="220" t="s">
        <v>6</v>
      </c>
      <c r="R12">
        <v>0</v>
      </c>
      <c r="S12" s="229">
        <f>AVERAGE(F14:F15)</f>
        <v>2.9274423582748486</v>
      </c>
      <c r="T12" s="229">
        <f>AVERAGE(L14:L15)</f>
        <v>1.9785000000000011E-3</v>
      </c>
      <c r="U12" s="229">
        <f>AVERAGE(M6:M9)</f>
        <v>2.2749999999999999E-2</v>
      </c>
      <c r="V12">
        <v>0</v>
      </c>
      <c r="W12" s="230">
        <f>AVERAGE(I6:I9)</f>
        <v>1.8198339631902867</v>
      </c>
      <c r="X12" s="229">
        <f>AVERAGE(J14:J15)</f>
        <v>2.8035000000000001</v>
      </c>
    </row>
    <row r="13" spans="1:24" ht="16.2" thickBot="1" x14ac:dyDescent="0.35">
      <c r="A13" s="102" t="s">
        <v>140</v>
      </c>
      <c r="B13" s="102">
        <v>120.77</v>
      </c>
      <c r="C13" s="102">
        <v>0.23830000000000001</v>
      </c>
      <c r="D13" s="102">
        <v>0.23899999999999999</v>
      </c>
      <c r="E13" s="102">
        <f t="shared" si="0"/>
        <v>6.9999999999997842E-4</v>
      </c>
      <c r="F13" s="169">
        <f>('Grab Samples'!E13*1000)/('Grab Samples'!B13/1000)</f>
        <v>5.7961414258506121</v>
      </c>
      <c r="G13" s="102">
        <v>0</v>
      </c>
      <c r="H13" s="102"/>
      <c r="I13" s="170"/>
      <c r="J13" s="171">
        <v>1.758</v>
      </c>
      <c r="K13" s="102"/>
      <c r="L13" s="103"/>
      <c r="M13" s="102"/>
      <c r="N13" s="172">
        <v>124</v>
      </c>
      <c r="O13" s="173">
        <v>44638</v>
      </c>
      <c r="Q13" s="201" t="s">
        <v>56</v>
      </c>
      <c r="R13">
        <v>0</v>
      </c>
      <c r="S13" s="229">
        <f>AVERAGE(F14:F15)</f>
        <v>2.9274423582748486</v>
      </c>
      <c r="T13" s="229">
        <f>AVERAGE(L14:L15)</f>
        <v>1.9785000000000011E-3</v>
      </c>
      <c r="U13" s="229">
        <f>AVERAGE(M6:M9)</f>
        <v>2.2749999999999999E-2</v>
      </c>
      <c r="V13">
        <v>0</v>
      </c>
      <c r="W13" s="230">
        <f>'Summer '!I21</f>
        <v>1.5244913860512195</v>
      </c>
      <c r="X13" s="229">
        <f>AVERAGE(J14:J15)</f>
        <v>2.8035000000000001</v>
      </c>
    </row>
    <row r="14" spans="1:24" ht="15.6" x14ac:dyDescent="0.3">
      <c r="A14" s="174" t="s">
        <v>141</v>
      </c>
      <c r="B14" s="174">
        <v>119.31</v>
      </c>
      <c r="C14" s="174">
        <v>0.2397</v>
      </c>
      <c r="D14" s="174">
        <v>0.24030000000000001</v>
      </c>
      <c r="E14" s="174">
        <f t="shared" si="0"/>
        <v>6.0000000000001719E-4</v>
      </c>
      <c r="F14" s="175">
        <f>('Grab Samples'!E14*1000)/('Grab Samples'!B14/1000)</f>
        <v>5.0289162685442728</v>
      </c>
      <c r="G14" s="174">
        <v>0</v>
      </c>
      <c r="H14" s="174"/>
      <c r="I14" s="176"/>
      <c r="J14" s="177">
        <v>3.294</v>
      </c>
      <c r="K14" s="174"/>
      <c r="L14" s="178">
        <v>2.2415999999999998E-3</v>
      </c>
      <c r="M14" s="174"/>
      <c r="N14" s="179">
        <v>126</v>
      </c>
      <c r="O14" s="180">
        <v>44754</v>
      </c>
      <c r="Q14" s="221" t="s">
        <v>58</v>
      </c>
      <c r="R14">
        <v>0</v>
      </c>
      <c r="S14" s="230">
        <f>F36</f>
        <v>13.333333333333346</v>
      </c>
      <c r="T14" s="229"/>
      <c r="U14" s="229"/>
      <c r="V14">
        <v>0</v>
      </c>
      <c r="W14" s="230">
        <f>I36</f>
        <v>8.767983246000001E-2</v>
      </c>
      <c r="X14" s="229">
        <f>AVERAGE(J14:J15)</f>
        <v>2.8035000000000001</v>
      </c>
    </row>
    <row r="15" spans="1:24" ht="15.6" x14ac:dyDescent="0.3">
      <c r="A15" s="4" t="s">
        <v>142</v>
      </c>
      <c r="B15" s="4">
        <v>121.07</v>
      </c>
      <c r="C15" s="4">
        <v>0.24099999999999999</v>
      </c>
      <c r="D15" s="4">
        <v>0.24110000000000001</v>
      </c>
      <c r="E15" s="4">
        <f t="shared" si="0"/>
        <v>1.0000000000001674E-4</v>
      </c>
      <c r="F15" s="181">
        <f>('Grab Samples'!E15*1000)/('Grab Samples'!B15/1000)</f>
        <v>0.82596844800542446</v>
      </c>
      <c r="G15" s="4">
        <v>0</v>
      </c>
      <c r="H15" s="4"/>
      <c r="I15" s="182"/>
      <c r="J15" s="183">
        <v>2.3130000000000002</v>
      </c>
      <c r="K15" s="4"/>
      <c r="L15" s="10">
        <v>1.7154000000000023E-3</v>
      </c>
      <c r="M15" s="4"/>
      <c r="N15" s="184">
        <v>123</v>
      </c>
      <c r="O15" s="185">
        <v>44754</v>
      </c>
      <c r="Q15" s="222" t="s">
        <v>57</v>
      </c>
      <c r="R15">
        <v>0</v>
      </c>
      <c r="S15" s="230">
        <f>F36</f>
        <v>13.333333333333346</v>
      </c>
      <c r="T15" s="229"/>
      <c r="U15" s="229"/>
      <c r="V15">
        <v>0</v>
      </c>
      <c r="W15" s="230">
        <f>I36</f>
        <v>8.767983246000001E-2</v>
      </c>
      <c r="X15" s="229">
        <f>AVERAGE(J18:J19)</f>
        <v>3.4509999999999996</v>
      </c>
    </row>
    <row r="16" spans="1:24" ht="15.6" x14ac:dyDescent="0.3">
      <c r="A16" s="4" t="s">
        <v>143</v>
      </c>
      <c r="B16" s="4">
        <v>120.11</v>
      </c>
      <c r="C16" s="4">
        <v>0.23680000000000001</v>
      </c>
      <c r="D16" s="4">
        <v>0.23749999999999999</v>
      </c>
      <c r="E16" s="4">
        <f t="shared" si="0"/>
        <v>6.9999999999997842E-4</v>
      </c>
      <c r="F16" s="181">
        <f>('Grab Samples'!E16*1000)/('Grab Samples'!B16/1000)</f>
        <v>5.8279910082422646</v>
      </c>
      <c r="G16" s="4">
        <v>0</v>
      </c>
      <c r="H16" s="4"/>
      <c r="I16" s="182"/>
      <c r="J16" s="4">
        <v>3.6389999999999998</v>
      </c>
      <c r="K16" s="4"/>
      <c r="L16" s="10">
        <v>2.2415999999999998E-3</v>
      </c>
      <c r="M16" s="4"/>
      <c r="N16" s="184">
        <v>127</v>
      </c>
      <c r="O16" s="185">
        <v>44784</v>
      </c>
      <c r="Q16" s="223" t="s">
        <v>59</v>
      </c>
      <c r="R16">
        <v>0</v>
      </c>
      <c r="S16" s="230">
        <f>AVERAGE(F37:F38)</f>
        <v>5.52380952380949</v>
      </c>
      <c r="T16" s="229"/>
      <c r="U16" s="229"/>
      <c r="V16">
        <v>0</v>
      </c>
      <c r="W16" s="230">
        <f>I36</f>
        <v>8.767983246000001E-2</v>
      </c>
      <c r="X16" s="229">
        <f>AVERAGE(J37:J38)</f>
        <v>1.1215000000000002</v>
      </c>
    </row>
    <row r="17" spans="1:24" ht="15.6" x14ac:dyDescent="0.3">
      <c r="A17" s="4" t="s">
        <v>144</v>
      </c>
      <c r="B17" s="4">
        <v>121.37</v>
      </c>
      <c r="C17" s="4">
        <v>0.2329</v>
      </c>
      <c r="D17" s="4">
        <v>0.2331</v>
      </c>
      <c r="E17" s="4">
        <f t="shared" si="0"/>
        <v>2.0000000000000573E-4</v>
      </c>
      <c r="F17" s="181">
        <f>('Grab Samples'!E17*1000)/('Grab Samples'!B17/1000)</f>
        <v>1.6478536705940983</v>
      </c>
      <c r="G17" s="4">
        <v>0</v>
      </c>
      <c r="H17" s="4"/>
      <c r="I17" s="182"/>
      <c r="J17" s="183">
        <v>3.1560000000000001</v>
      </c>
      <c r="K17" s="4"/>
      <c r="L17" s="10">
        <v>1.0137999999999987E-3</v>
      </c>
      <c r="M17" s="4"/>
      <c r="N17" s="184">
        <v>122</v>
      </c>
      <c r="O17" s="185">
        <v>44784</v>
      </c>
      <c r="Q17" s="224" t="s">
        <v>60</v>
      </c>
      <c r="R17">
        <v>0</v>
      </c>
      <c r="S17" s="230">
        <f>AVERAGE(F37:F38)</f>
        <v>5.52380952380949</v>
      </c>
      <c r="T17" s="229"/>
      <c r="U17" s="229"/>
      <c r="V17">
        <v>0</v>
      </c>
      <c r="W17" s="230">
        <f>I36</f>
        <v>8.767983246000001E-2</v>
      </c>
      <c r="X17" s="229">
        <f>AVERAGE(J37:J38)</f>
        <v>1.1215000000000002</v>
      </c>
    </row>
    <row r="18" spans="1:24" ht="15.6" x14ac:dyDescent="0.3">
      <c r="A18" s="4" t="s">
        <v>145</v>
      </c>
      <c r="B18" s="4">
        <v>107.41</v>
      </c>
      <c r="C18" s="4">
        <v>0.23749999999999999</v>
      </c>
      <c r="D18" s="4">
        <v>0.23749999999999999</v>
      </c>
      <c r="E18" s="4">
        <f t="shared" si="0"/>
        <v>0</v>
      </c>
      <c r="F18" s="181">
        <f>('Grab Samples'!E18*1000)/('Grab Samples'!B18/1000)</f>
        <v>0</v>
      </c>
      <c r="G18" s="4">
        <v>0</v>
      </c>
      <c r="H18" s="4"/>
      <c r="I18" s="182"/>
      <c r="J18" s="4">
        <v>3.6909999999999998</v>
      </c>
      <c r="K18" s="4"/>
      <c r="L18" s="4"/>
      <c r="M18" s="4"/>
      <c r="N18" s="184">
        <v>128</v>
      </c>
      <c r="O18" s="185">
        <v>44797</v>
      </c>
    </row>
    <row r="19" spans="1:24" ht="16.2" thickBot="1" x14ac:dyDescent="0.35">
      <c r="A19" s="61" t="s">
        <v>146</v>
      </c>
      <c r="B19" s="61">
        <v>104.74</v>
      </c>
      <c r="C19" s="61">
        <v>0.23330000000000001</v>
      </c>
      <c r="D19" s="61">
        <v>0.2334</v>
      </c>
      <c r="E19" s="61">
        <f t="shared" si="0"/>
        <v>9.9999999999988987E-5</v>
      </c>
      <c r="F19" s="186">
        <f>('Grab Samples'!E19*1000)/('Grab Samples'!B19/1000)</f>
        <v>0.9547450830627171</v>
      </c>
      <c r="G19" s="61">
        <v>0</v>
      </c>
      <c r="H19" s="61"/>
      <c r="I19" s="187"/>
      <c r="J19" s="188">
        <v>3.2109999999999999</v>
      </c>
      <c r="K19" s="61"/>
      <c r="L19" s="62"/>
      <c r="M19" s="61"/>
      <c r="N19" s="189">
        <v>125</v>
      </c>
      <c r="O19" s="190">
        <v>44797</v>
      </c>
    </row>
    <row r="20" spans="1:24" ht="15.6" x14ac:dyDescent="0.3">
      <c r="A20" s="191" t="s">
        <v>147</v>
      </c>
      <c r="B20" s="6">
        <v>119.19</v>
      </c>
      <c r="C20" s="6">
        <v>0.23039999999999999</v>
      </c>
      <c r="D20" s="6">
        <v>0.23300000000000001</v>
      </c>
      <c r="E20" s="6">
        <f t="shared" si="0"/>
        <v>2.600000000000019E-3</v>
      </c>
      <c r="F20" s="192">
        <f>('Grab Samples'!E20*1000)/('Grab Samples'!B20/1000)</f>
        <v>21.813910562966853</v>
      </c>
      <c r="G20" s="6">
        <v>0</v>
      </c>
      <c r="H20" s="6"/>
      <c r="I20" s="193"/>
      <c r="J20" s="6">
        <v>2.319</v>
      </c>
      <c r="K20" s="6"/>
      <c r="L20" s="6"/>
      <c r="M20" s="6"/>
      <c r="N20" s="194">
        <v>136</v>
      </c>
      <c r="O20" s="195">
        <v>45003</v>
      </c>
    </row>
    <row r="21" spans="1:24" ht="15.6" x14ac:dyDescent="0.3">
      <c r="A21" s="191" t="s">
        <v>148</v>
      </c>
      <c r="B21" s="6">
        <v>200</v>
      </c>
      <c r="C21" s="6">
        <v>0.223</v>
      </c>
      <c r="D21" s="6">
        <v>0.2288</v>
      </c>
      <c r="E21" s="6">
        <f t="shared" si="0"/>
        <v>5.7999999999999996E-3</v>
      </c>
      <c r="F21" s="192">
        <f>('Grab Samples'!E21*1000)/('Grab Samples'!B21/1000)</f>
        <v>28.999999999999996</v>
      </c>
      <c r="G21" s="6">
        <v>0</v>
      </c>
      <c r="H21" s="6"/>
      <c r="I21" s="193"/>
      <c r="J21" s="6">
        <v>2.254</v>
      </c>
      <c r="K21" s="6"/>
      <c r="L21" s="6"/>
      <c r="M21" s="6"/>
      <c r="N21" s="194">
        <v>137</v>
      </c>
      <c r="O21" s="195">
        <v>45003</v>
      </c>
    </row>
    <row r="22" spans="1:24" ht="15.6" x14ac:dyDescent="0.3">
      <c r="A22" s="196" t="s">
        <v>149</v>
      </c>
      <c r="B22" s="67">
        <v>120.77</v>
      </c>
      <c r="C22" s="67">
        <v>0.23499999999999999</v>
      </c>
      <c r="D22" s="67">
        <v>0.23599999999999999</v>
      </c>
      <c r="E22" s="67">
        <f t="shared" si="0"/>
        <v>1.0000000000000009E-3</v>
      </c>
      <c r="F22" s="197">
        <f>('Grab Samples'!E22*1000)/('Grab Samples'!B22/1000)</f>
        <v>8.2802020369297082</v>
      </c>
      <c r="G22" s="67">
        <v>0</v>
      </c>
      <c r="H22" s="67"/>
      <c r="I22" s="198"/>
      <c r="J22" s="67">
        <v>2.4380000000000002</v>
      </c>
      <c r="K22" s="67"/>
      <c r="L22" s="67"/>
      <c r="M22" s="67"/>
      <c r="N22" s="199">
        <v>134</v>
      </c>
      <c r="O22" s="200">
        <v>45003</v>
      </c>
    </row>
    <row r="23" spans="1:24" ht="15.6" x14ac:dyDescent="0.3">
      <c r="A23" s="191" t="s">
        <v>150</v>
      </c>
      <c r="B23" s="6">
        <v>190</v>
      </c>
      <c r="C23" s="6">
        <v>0.23300000000000001</v>
      </c>
      <c r="D23" s="6">
        <v>0.23380000000000001</v>
      </c>
      <c r="E23" s="6">
        <f t="shared" si="0"/>
        <v>7.9999999999999516E-4</v>
      </c>
      <c r="F23" s="192">
        <f>('Grab Samples'!E23*1000)/('Grab Samples'!B23/1000)</f>
        <v>4.2105263157894486</v>
      </c>
      <c r="G23" s="6">
        <v>0</v>
      </c>
      <c r="H23" s="6"/>
      <c r="I23" s="193"/>
      <c r="J23" s="6">
        <v>2.302</v>
      </c>
      <c r="K23" s="6"/>
      <c r="L23" s="6"/>
      <c r="M23" s="6"/>
      <c r="N23" s="194">
        <v>135</v>
      </c>
      <c r="O23" s="195">
        <v>45003</v>
      </c>
    </row>
    <row r="24" spans="1:24" ht="15.6" x14ac:dyDescent="0.3">
      <c r="A24" s="191" t="s">
        <v>151</v>
      </c>
      <c r="B24" s="6">
        <v>210</v>
      </c>
      <c r="C24" s="6">
        <v>0.23499999999999999</v>
      </c>
      <c r="D24" s="6">
        <v>0.2404</v>
      </c>
      <c r="E24" s="6">
        <f t="shared" si="0"/>
        <v>5.4000000000000159E-3</v>
      </c>
      <c r="F24" s="192">
        <f>('Grab Samples'!E24*1000)/('Grab Samples'!B24/1000)</f>
        <v>25.714285714285793</v>
      </c>
      <c r="G24" s="6">
        <v>0</v>
      </c>
      <c r="H24" s="6"/>
      <c r="I24" s="193"/>
      <c r="J24" s="6">
        <v>2.1970000000000001</v>
      </c>
      <c r="K24" s="6"/>
      <c r="L24" s="6"/>
      <c r="M24" s="6"/>
      <c r="N24" s="194">
        <v>140</v>
      </c>
      <c r="O24" s="195">
        <v>45004</v>
      </c>
    </row>
    <row r="25" spans="1:24" ht="15.6" x14ac:dyDescent="0.3">
      <c r="A25" s="191" t="s">
        <v>152</v>
      </c>
      <c r="B25" s="6">
        <v>200</v>
      </c>
      <c r="C25" s="6">
        <v>0.23300000000000001</v>
      </c>
      <c r="D25" s="6">
        <v>0.23519999999999999</v>
      </c>
      <c r="E25" s="6">
        <f t="shared" si="0"/>
        <v>2.1999999999999797E-3</v>
      </c>
      <c r="F25" s="192">
        <f>('Grab Samples'!E25*1000)/('Grab Samples'!B25/1000)</f>
        <v>10.999999999999899</v>
      </c>
      <c r="G25" s="6">
        <v>0</v>
      </c>
      <c r="H25" s="6"/>
      <c r="I25" s="193"/>
      <c r="J25" s="6">
        <v>2.2629999999999999</v>
      </c>
      <c r="K25" s="6"/>
      <c r="L25" s="6"/>
      <c r="M25" s="6"/>
      <c r="N25" s="194">
        <v>141</v>
      </c>
      <c r="O25" s="195">
        <v>45004</v>
      </c>
    </row>
    <row r="26" spans="1:24" ht="15.6" x14ac:dyDescent="0.3">
      <c r="A26" s="191" t="s">
        <v>153</v>
      </c>
      <c r="B26" s="6">
        <v>200</v>
      </c>
      <c r="C26" s="6">
        <v>0.23499999999999999</v>
      </c>
      <c r="D26" s="6">
        <v>0.23649999999999999</v>
      </c>
      <c r="E26" s="6">
        <f t="shared" si="0"/>
        <v>1.5000000000000013E-3</v>
      </c>
      <c r="F26" s="192">
        <f>('Grab Samples'!E26*1000)/('Grab Samples'!B26/1000)</f>
        <v>7.5000000000000062</v>
      </c>
      <c r="G26" s="6">
        <v>0</v>
      </c>
      <c r="H26" s="6"/>
      <c r="I26" s="193"/>
      <c r="J26" s="6">
        <v>2.2879999999999998</v>
      </c>
      <c r="K26" s="6"/>
      <c r="L26" s="6"/>
      <c r="M26" s="6"/>
      <c r="N26" s="194">
        <v>138</v>
      </c>
      <c r="O26" s="195">
        <v>45004</v>
      </c>
    </row>
    <row r="27" spans="1:24" ht="15.6" x14ac:dyDescent="0.3">
      <c r="A27" s="191" t="s">
        <v>154</v>
      </c>
      <c r="B27" s="6">
        <v>190</v>
      </c>
      <c r="C27" s="6">
        <v>0.23</v>
      </c>
      <c r="D27" s="6">
        <v>0.2319</v>
      </c>
      <c r="E27" s="6">
        <f t="shared" si="0"/>
        <v>1.899999999999985E-3</v>
      </c>
      <c r="F27" s="192">
        <f>('Grab Samples'!E27*1000)/('Grab Samples'!B27/1000)</f>
        <v>9.9999999999999218</v>
      </c>
      <c r="G27" s="6">
        <v>0</v>
      </c>
      <c r="H27" s="6"/>
      <c r="I27" s="193"/>
      <c r="J27" s="6">
        <v>2.1789999999999998</v>
      </c>
      <c r="K27" s="6"/>
      <c r="L27" s="6"/>
      <c r="M27" s="6"/>
      <c r="N27" s="194">
        <v>139</v>
      </c>
      <c r="O27" s="195">
        <v>45004</v>
      </c>
    </row>
    <row r="28" spans="1:24" ht="15.6" x14ac:dyDescent="0.3">
      <c r="A28" s="191" t="s">
        <v>155</v>
      </c>
      <c r="B28" s="6">
        <v>200</v>
      </c>
      <c r="C28" s="6">
        <v>0.23499999999999999</v>
      </c>
      <c r="D28" s="6">
        <v>0.2424</v>
      </c>
      <c r="E28" s="6">
        <f t="shared" si="0"/>
        <v>7.4000000000000177E-3</v>
      </c>
      <c r="F28" s="192">
        <f>('Grab Samples'!E28*1000)/('Grab Samples'!B28/1000)</f>
        <v>37.000000000000085</v>
      </c>
      <c r="G28" s="201"/>
      <c r="H28" s="6"/>
      <c r="I28" s="193"/>
      <c r="J28" s="6">
        <v>2.1349999999999998</v>
      </c>
      <c r="K28" s="6"/>
      <c r="L28" s="6"/>
      <c r="M28" s="6"/>
      <c r="N28" s="194">
        <v>144</v>
      </c>
      <c r="O28" s="195">
        <v>45007</v>
      </c>
    </row>
    <row r="29" spans="1:24" ht="15.6" x14ac:dyDescent="0.3">
      <c r="A29" s="191" t="s">
        <v>156</v>
      </c>
      <c r="B29" s="6">
        <v>190</v>
      </c>
      <c r="C29" s="6">
        <v>0.23330000000000001</v>
      </c>
      <c r="D29" s="6">
        <v>0.23699999999999999</v>
      </c>
      <c r="E29" s="6">
        <f t="shared" si="0"/>
        <v>3.6999999999999811E-3</v>
      </c>
      <c r="F29" s="192">
        <f>('Grab Samples'!E29*1000)/('Grab Samples'!B29/1000)</f>
        <v>19.473684210526216</v>
      </c>
      <c r="G29" s="6"/>
      <c r="H29" s="6"/>
      <c r="I29" s="193"/>
      <c r="J29" s="6">
        <v>2.1480000000000001</v>
      </c>
      <c r="K29" s="6"/>
      <c r="L29" s="6"/>
      <c r="M29" s="6"/>
      <c r="N29" s="194">
        <v>143</v>
      </c>
      <c r="O29" s="195">
        <v>45007</v>
      </c>
    </row>
    <row r="30" spans="1:24" ht="15.6" x14ac:dyDescent="0.3">
      <c r="A30" s="191" t="s">
        <v>157</v>
      </c>
      <c r="B30" s="6">
        <v>200</v>
      </c>
      <c r="C30" s="6">
        <v>0.222</v>
      </c>
      <c r="D30" s="6">
        <v>0.22900000000000001</v>
      </c>
      <c r="E30" s="6">
        <f t="shared" si="0"/>
        <v>7.0000000000000062E-3</v>
      </c>
      <c r="F30" s="192">
        <f>('Grab Samples'!E30*1000)/('Grab Samples'!B30/1000)</f>
        <v>35.000000000000028</v>
      </c>
      <c r="G30" s="6"/>
      <c r="H30" s="6"/>
      <c r="I30" s="193"/>
      <c r="J30" s="6">
        <v>2.1960000000000002</v>
      </c>
      <c r="K30" s="6"/>
      <c r="L30" s="6"/>
      <c r="M30" s="6"/>
      <c r="N30" s="194">
        <v>142</v>
      </c>
      <c r="O30" s="195">
        <v>45007</v>
      </c>
    </row>
    <row r="31" spans="1:24" ht="15.6" x14ac:dyDescent="0.3">
      <c r="A31" s="191" t="s">
        <v>158</v>
      </c>
      <c r="B31" s="6">
        <v>200</v>
      </c>
      <c r="C31" s="6">
        <v>0.23599999999999999</v>
      </c>
      <c r="D31" s="6">
        <v>0.2366</v>
      </c>
      <c r="E31" s="6">
        <f t="shared" si="0"/>
        <v>6.0000000000001719E-4</v>
      </c>
      <c r="F31" s="192">
        <f>('Grab Samples'!E31*1000)/('Grab Samples'!B31/1000)</f>
        <v>3.0000000000000857</v>
      </c>
      <c r="G31" s="6"/>
      <c r="H31" s="6"/>
      <c r="I31" s="193"/>
      <c r="J31" s="6">
        <v>2.0670000000000002</v>
      </c>
      <c r="K31" s="6"/>
      <c r="L31" s="6"/>
      <c r="M31" s="6"/>
      <c r="N31" s="194">
        <v>145</v>
      </c>
      <c r="O31" s="195">
        <v>45007</v>
      </c>
    </row>
    <row r="32" spans="1:24" ht="15.6" x14ac:dyDescent="0.3">
      <c r="A32" s="191" t="s">
        <v>159</v>
      </c>
      <c r="B32" s="6">
        <v>150</v>
      </c>
      <c r="C32" s="6">
        <v>0.23499999999999999</v>
      </c>
      <c r="D32" s="6">
        <v>0.23669999999999999</v>
      </c>
      <c r="E32" s="6">
        <f t="shared" si="0"/>
        <v>1.7000000000000071E-3</v>
      </c>
      <c r="F32" s="192">
        <f>('Grab Samples'!E32*1000)/('Grab Samples'!B32/1000)</f>
        <v>11.33333333333338</v>
      </c>
      <c r="G32" s="9">
        <v>115.20499999999998</v>
      </c>
      <c r="H32" s="6"/>
      <c r="I32" s="193"/>
      <c r="J32" s="6">
        <v>4.3840000000000003</v>
      </c>
      <c r="K32" s="6"/>
      <c r="L32" s="6"/>
      <c r="M32" s="6"/>
      <c r="N32" s="194">
        <v>132</v>
      </c>
      <c r="O32" s="195">
        <v>45029</v>
      </c>
    </row>
    <row r="33" spans="1:15" ht="15.6" x14ac:dyDescent="0.3">
      <c r="A33" s="191" t="s">
        <v>160</v>
      </c>
      <c r="B33" s="6">
        <v>145</v>
      </c>
      <c r="C33" s="6">
        <v>0.22500000000000001</v>
      </c>
      <c r="D33" s="6">
        <v>0.22739999999999999</v>
      </c>
      <c r="E33" s="6">
        <f t="shared" si="0"/>
        <v>2.3999999999999855E-3</v>
      </c>
      <c r="F33" s="192">
        <f>('Grab Samples'!E33*1000)/('Grab Samples'!B33/1000)</f>
        <v>16.551724137930933</v>
      </c>
      <c r="G33" s="9">
        <v>106.28000000000002</v>
      </c>
      <c r="H33" s="6"/>
      <c r="I33" s="193"/>
      <c r="J33" s="6">
        <v>4.49</v>
      </c>
      <c r="K33" s="6"/>
      <c r="L33" s="6"/>
      <c r="M33" s="6"/>
      <c r="N33" s="194">
        <v>133</v>
      </c>
      <c r="O33" s="195">
        <v>45029</v>
      </c>
    </row>
    <row r="34" spans="1:15" ht="15.6" x14ac:dyDescent="0.3">
      <c r="A34" s="191" t="s">
        <v>161</v>
      </c>
      <c r="B34" s="6">
        <v>150</v>
      </c>
      <c r="C34" s="6">
        <v>0.23899999999999999</v>
      </c>
      <c r="D34" s="6">
        <v>0.24</v>
      </c>
      <c r="E34" s="6">
        <f t="shared" si="0"/>
        <v>1.0000000000000009E-3</v>
      </c>
      <c r="F34" s="192">
        <f>('Grab Samples'!E34*1000)/('Grab Samples'!B34/1000)</f>
        <v>6.6666666666666732</v>
      </c>
      <c r="G34" s="9">
        <v>118.6825</v>
      </c>
      <c r="H34" s="6"/>
      <c r="I34" s="193"/>
      <c r="J34" s="6">
        <v>4.4930000000000003</v>
      </c>
      <c r="K34" s="6"/>
      <c r="L34" s="6"/>
      <c r="M34" s="6"/>
      <c r="N34" s="194">
        <v>131</v>
      </c>
      <c r="O34" s="195">
        <v>45029</v>
      </c>
    </row>
    <row r="35" spans="1:15" ht="16.2" thickBot="1" x14ac:dyDescent="0.35">
      <c r="A35" s="202" t="s">
        <v>162</v>
      </c>
      <c r="B35" s="90">
        <v>200</v>
      </c>
      <c r="C35" s="90">
        <v>0.23400000000000001</v>
      </c>
      <c r="D35" s="90">
        <v>0.23530000000000001</v>
      </c>
      <c r="E35" s="90">
        <f t="shared" si="0"/>
        <v>1.2999999999999956E-3</v>
      </c>
      <c r="F35" s="203">
        <f>('Grab Samples'!E35*1000)/('Grab Samples'!B35/1000)</f>
        <v>6.4999999999999778</v>
      </c>
      <c r="G35" s="140">
        <v>73.134999999999991</v>
      </c>
      <c r="H35" s="90"/>
      <c r="I35" s="204"/>
      <c r="J35" s="90">
        <v>4.4409999999999998</v>
      </c>
      <c r="K35" s="90"/>
      <c r="L35" s="90"/>
      <c r="M35" s="90"/>
      <c r="N35" s="205">
        <v>130</v>
      </c>
      <c r="O35" s="206">
        <v>45029</v>
      </c>
    </row>
    <row r="36" spans="1:15" ht="15.6" x14ac:dyDescent="0.3">
      <c r="A36" s="207" t="s">
        <v>163</v>
      </c>
      <c r="B36" s="208">
        <v>150</v>
      </c>
      <c r="C36" s="215">
        <v>0.23319999999999999</v>
      </c>
      <c r="D36" s="215">
        <v>0.23519999999999999</v>
      </c>
      <c r="E36" s="208">
        <f t="shared" si="0"/>
        <v>2.0000000000000018E-3</v>
      </c>
      <c r="F36" s="209">
        <f>('Grab Samples'!E36*1000)/('Grab Samples'!B36/1000)</f>
        <v>13.333333333333346</v>
      </c>
      <c r="G36" s="208">
        <v>0</v>
      </c>
      <c r="H36" s="210">
        <v>1.3151974869000001E-2</v>
      </c>
      <c r="I36" s="211">
        <f>H36/('Grab Samples'!B36/1000)</f>
        <v>8.767983246000001E-2</v>
      </c>
      <c r="J36" s="208"/>
      <c r="K36" s="208"/>
      <c r="L36" s="208"/>
      <c r="M36" s="208"/>
      <c r="N36" s="212">
        <v>436</v>
      </c>
      <c r="O36" s="213">
        <v>45127</v>
      </c>
    </row>
    <row r="37" spans="1:15" ht="15.6" x14ac:dyDescent="0.3">
      <c r="A37" s="214" t="s">
        <v>165</v>
      </c>
      <c r="B37" s="215">
        <v>140</v>
      </c>
      <c r="C37" s="215">
        <v>0.2331</v>
      </c>
      <c r="D37" s="215">
        <v>0.2339</v>
      </c>
      <c r="E37" s="215">
        <f t="shared" si="0"/>
        <v>7.9999999999999516E-4</v>
      </c>
      <c r="F37" s="216">
        <f>('Grab Samples'!E37*1000)/('Grab Samples'!B37/1000)</f>
        <v>5.7142857142856789</v>
      </c>
      <c r="G37" s="215">
        <v>0</v>
      </c>
      <c r="H37" s="215"/>
      <c r="I37" s="215"/>
      <c r="J37" s="215">
        <v>1.127</v>
      </c>
      <c r="K37" s="215"/>
      <c r="L37" s="215"/>
      <c r="M37" s="215"/>
      <c r="N37" s="217">
        <v>475</v>
      </c>
      <c r="O37" s="218">
        <v>45154</v>
      </c>
    </row>
    <row r="38" spans="1:15" ht="15.6" x14ac:dyDescent="0.3">
      <c r="A38" s="214" t="s">
        <v>164</v>
      </c>
      <c r="B38" s="215">
        <v>150</v>
      </c>
      <c r="C38" s="215">
        <v>0.24030000000000001</v>
      </c>
      <c r="D38" s="215">
        <v>0.24110000000000001</v>
      </c>
      <c r="E38" s="215">
        <f t="shared" si="0"/>
        <v>7.9999999999999516E-4</v>
      </c>
      <c r="F38" s="216">
        <f>('Grab Samples'!E38*1000)/('Grab Samples'!B38/1000)</f>
        <v>5.3333333333333011</v>
      </c>
      <c r="G38" s="215">
        <v>0</v>
      </c>
      <c r="H38" s="215"/>
      <c r="I38" s="215"/>
      <c r="J38" s="215">
        <v>1.1160000000000001</v>
      </c>
      <c r="K38" s="215"/>
      <c r="L38" s="215"/>
      <c r="M38" s="215"/>
      <c r="N38" s="217">
        <v>474</v>
      </c>
      <c r="O38" s="218">
        <v>45153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Spring</vt:lpstr>
      <vt:lpstr>Summer </vt:lpstr>
      <vt:lpstr>Grab 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Hucke, Nicole (huck4481@vandals.uidaho.edu)</cp:lastModifiedBy>
  <dcterms:created xsi:type="dcterms:W3CDTF">2025-02-04T19:41:41Z</dcterms:created>
  <dcterms:modified xsi:type="dcterms:W3CDTF">2026-06-09T02:09:36Z</dcterms:modified>
</cp:coreProperties>
</file>