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data\"/>
    </mc:Choice>
  </mc:AlternateContent>
  <xr:revisionPtr revIDLastSave="0" documentId="13_ncr:1_{307F0172-9C1E-4638-BBA2-96BD9D0FC216}" xr6:coauthVersionLast="47" xr6:coauthVersionMax="47" xr10:uidLastSave="{00000000-0000-0000-0000-000000000000}"/>
  <bookViews>
    <workbookView xWindow="-120" yWindow="-120" windowWidth="29040" windowHeight="15720" tabRatio="623" xr2:uid="{FEC01F85-CDE9-417C-893C-E562E55652ED}"/>
  </bookViews>
  <sheets>
    <sheet name="Spring" sheetId="4" r:id="rId1"/>
    <sheet name="Summer " sheetId="1" r:id="rId2"/>
    <sheet name="Grab Samp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4" l="1"/>
  <c r="I14" i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I36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<sst xmlns="http://schemas.openxmlformats.org/spreadsheetml/2006/main" count="433" uniqueCount="344">
  <si>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</si>
  <si>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</si>
  <si>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</si>
  <si>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</si>
  <si>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</si>
  <si>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</si>
  <si>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</si>
  <si>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</si>
  <si>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</si>
  <si>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</si>
  <si>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</si>
  <si>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</si>
  <si>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</si>
  <si>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</si>
  <si>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</si>
  <si>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</si>
  <si>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</si>
  <si>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</si>
  <si>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</si>
  <si>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</si>
  <si>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</si>
  <si>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</si>
  <si>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</si>
  <si>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</si>
  <si>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</si>
  <si>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</si>
  <si>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</si>
  <si>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</si>
  <si>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</si>
  <si>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</si>
  <si>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</si>
  <si>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</si>
  <si>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</si>
  <si>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</si>
  <si>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</si>
  <si>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</si>
  <si>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</si>
  <si>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</si>
  <si>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</si>
  <si>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</si>
  <si>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</si>
  <si>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</si>
  <si>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</si>
  <si>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</si>
  <si>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</si>
  <si>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</si>
  <si>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</si>
  <si>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</si>
  <si>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</si>
  <si>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</si>
  <si>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</si>
  <si>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</si>
  <si>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</si>
  <si>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</si>
  <si>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</si>
  <si>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</si>
  <si>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</si>
  <si>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</si>
  <si>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</si>
  <si>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</si>
  <si>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</si>
  <si>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</si>
  <si>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</si>
  <si>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</si>
  <si>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</si>
  <si>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</si>
  <si>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</si>
  <si>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</si>
  <si>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</si>
  <si>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</si>
  <si>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</si>
  <si>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</si>
  <si>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</si>
  <si>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</si>
  <si>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</si>
  <si>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</si>
  <si>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</si>
  <si>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</si>
  <si>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</si>
  <si>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</si>
  <si>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</si>
  <si>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</si>
  <si>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</si>
  <si>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</si>
  <si>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</si>
  <si>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</si>
  <si>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</si>
  <si>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</si>
  <si>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</si>
  <si>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</si>
  <si>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ST1-S18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</si>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</sst>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252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Spring!$R$2:$R$83</c:f>
              <c:numCache>
                <c:formatCode>0.000</c:formatCode>
                <c:ptCount val="82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Spring!$R$84:$R$167</c:f>
              <c:numCache>
                <c:formatCode>0.000</c:formatCode>
                <c:ptCount val="84"/>
                <c:pt idx="0">
                  <c:v>0.75582086533333404</c:v>
                </c:pt>
                <c:pt idx="1">
                  <c:v>0.91088503333333404</c:v>
                </c:pt>
                <c:pt idx="2">
                  <c:v>0.88109358000000004</c:v>
                </c:pt>
                <c:pt idx="3">
                  <c:v>0.81627632400000005</c:v>
                </c:pt>
                <c:pt idx="4">
                  <c:v>0.76243800799999994</c:v>
                </c:pt>
                <c:pt idx="5">
                  <c:v>0.67033505466666699</c:v>
                </c:pt>
                <c:pt idx="6">
                  <c:v>0.81158337733333397</c:v>
                </c:pt>
                <c:pt idx="7">
                  <c:v>0.95340234000000001</c:v>
                </c:pt>
                <c:pt idx="8">
                  <c:v>0.86879868266666704</c:v>
                </c:pt>
                <c:pt idx="9">
                  <c:v>0.78447287466666704</c:v>
                </c:pt>
                <c:pt idx="10">
                  <c:v>0.67365488266666695</c:v>
                </c:pt>
                <c:pt idx="11">
                  <c:v>0.84619563600000003</c:v>
                </c:pt>
                <c:pt idx="12">
                  <c:v>0.83329736266666699</c:v>
                </c:pt>
                <c:pt idx="13">
                  <c:v>0.74757178266666702</c:v>
                </c:pt>
                <c:pt idx="14">
                  <c:v>0.68585567866666697</c:v>
                </c:pt>
                <c:pt idx="15">
                  <c:v>0.69074627200000005</c:v>
                </c:pt>
                <c:pt idx="16">
                  <c:v>0.66556153733333401</c:v>
                </c:pt>
                <c:pt idx="17">
                  <c:v>0.62673250666666702</c:v>
                </c:pt>
                <c:pt idx="18">
                  <c:v>0.61314624799999995</c:v>
                </c:pt>
                <c:pt idx="19">
                  <c:v>0.67337176666666698</c:v>
                </c:pt>
                <c:pt idx="20">
                  <c:v>0.65291963600000003</c:v>
                </c:pt>
                <c:pt idx="21">
                  <c:v>0.63352483999999998</c:v>
                </c:pt>
                <c:pt idx="22">
                  <c:v>0.61422888399999997</c:v>
                </c:pt>
                <c:pt idx="23">
                  <c:v>0.62944473066666695</c:v>
                </c:pt>
                <c:pt idx="24">
                  <c:v>0.69673094933333402</c:v>
                </c:pt>
                <c:pt idx="25">
                  <c:v>0.66144730266666696</c:v>
                </c:pt>
                <c:pt idx="26">
                  <c:v>0.60295106133333398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0.64996640800000005</c:v>
                </c:pt>
                <c:pt idx="36">
                  <c:v>1.0381982133333301</c:v>
                </c:pt>
                <c:pt idx="37">
                  <c:v>0.58501505866666703</c:v>
                </c:pt>
                <c:pt idx="38">
                  <c:v>0.63423936000000003</c:v>
                </c:pt>
                <c:pt idx="39">
                  <c:v>0.56620714800000005</c:v>
                </c:pt>
                <c:pt idx="40">
                  <c:v>0.74199311066666696</c:v>
                </c:pt>
                <c:pt idx="41">
                  <c:v>0.77998544400000003</c:v>
                </c:pt>
                <c:pt idx="42">
                  <c:v>1.93208359333333</c:v>
                </c:pt>
                <c:pt idx="43">
                  <c:v>1.64547994</c:v>
                </c:pt>
                <c:pt idx="44">
                  <c:v>1.2684738933333299</c:v>
                </c:pt>
                <c:pt idx="45">
                  <c:v>2.4295241733333302</c:v>
                </c:pt>
                <c:pt idx="46">
                  <c:v>1.26424327333333</c:v>
                </c:pt>
                <c:pt idx="47">
                  <c:v>1.60427601066666</c:v>
                </c:pt>
                <c:pt idx="48">
                  <c:v>2.3765978666666601</c:v>
                </c:pt>
                <c:pt idx="49">
                  <c:v>1.9360101999999999</c:v>
                </c:pt>
                <c:pt idx="50">
                  <c:v>1.17248918933333</c:v>
                </c:pt>
                <c:pt idx="51">
                  <c:v>1.04979578</c:v>
                </c:pt>
                <c:pt idx="52">
                  <c:v>1.3618701613333299</c:v>
                </c:pt>
                <c:pt idx="53">
                  <c:v>1.19757845333333</c:v>
                </c:pt>
                <c:pt idx="54">
                  <c:v>1.26042132666666</c:v>
                </c:pt>
                <c:pt idx="55">
                  <c:v>1.0220899240000001</c:v>
                </c:pt>
                <c:pt idx="56">
                  <c:v>0.72509531466666699</c:v>
                </c:pt>
                <c:pt idx="57">
                  <c:v>0.75147322400000005</c:v>
                </c:pt>
                <c:pt idx="58">
                  <c:v>0.79717206666666696</c:v>
                </c:pt>
                <c:pt idx="59">
                  <c:v>1.5189193546666599</c:v>
                </c:pt>
                <c:pt idx="60">
                  <c:v>0.73912359866666699</c:v>
                </c:pt>
                <c:pt idx="61">
                  <c:v>0.903743569333334</c:v>
                </c:pt>
                <c:pt idx="62">
                  <c:v>0.69605300133333403</c:v>
                </c:pt>
                <c:pt idx="63">
                  <c:v>0.64806454800000002</c:v>
                </c:pt>
                <c:pt idx="64">
                  <c:v>0.66948233599999996</c:v>
                </c:pt>
                <c:pt idx="65">
                  <c:v>0.63945933466666705</c:v>
                </c:pt>
                <c:pt idx="66">
                  <c:v>0.60962034399999998</c:v>
                </c:pt>
                <c:pt idx="67">
                  <c:v>0.58413531333333402</c:v>
                </c:pt>
                <c:pt idx="68">
                  <c:v>0.86806397466666696</c:v>
                </c:pt>
                <c:pt idx="69">
                  <c:v>0.88412704400000097</c:v>
                </c:pt>
                <c:pt idx="70">
                  <c:v>0.81815425333333403</c:v>
                </c:pt>
                <c:pt idx="71">
                  <c:v>0.69254495866666699</c:v>
                </c:pt>
                <c:pt idx="72">
                  <c:v>0.63426094933333399</c:v>
                </c:pt>
                <c:pt idx="73">
                  <c:v>0.61283889866666696</c:v>
                </c:pt>
                <c:pt idx="74">
                  <c:v>0.63369554133333394</c:v>
                </c:pt>
                <c:pt idx="75">
                  <c:v>0.75963689066666695</c:v>
                </c:pt>
                <c:pt idx="76">
                  <c:v>0.806582470666667</c:v>
                </c:pt>
                <c:pt idx="77">
                  <c:v>1.68469130666666</c:v>
                </c:pt>
                <c:pt idx="78">
                  <c:v>2.3029300400000001</c:v>
                </c:pt>
                <c:pt idx="79">
                  <c:v>1.62193118</c:v>
                </c:pt>
                <c:pt idx="80">
                  <c:v>1.9584662533333299</c:v>
                </c:pt>
                <c:pt idx="81">
                  <c:v>1.8495387186666601</c:v>
                </c:pt>
                <c:pt idx="82">
                  <c:v>1.75635108533333</c:v>
                </c:pt>
                <c:pt idx="83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1.19</c:v>
                </c:pt>
                <c:pt idx="1">
                  <c:v>1.63</c:v>
                </c:pt>
                <c:pt idx="2">
                  <c:v>0.77</c:v>
                </c:pt>
                <c:pt idx="3">
                  <c:v>0.5</c:v>
                </c:pt>
                <c:pt idx="4">
                  <c:v>0.1</c:v>
                </c:pt>
                <c:pt idx="5">
                  <c:v>7.0000000000000007E-2</c:v>
                </c:pt>
                <c:pt idx="6">
                  <c:v>0.15</c:v>
                </c:pt>
                <c:pt idx="7">
                  <c:v>0.28000000000000003</c:v>
                </c:pt>
                <c:pt idx="8">
                  <c:v>1.66</c:v>
                </c:pt>
                <c:pt idx="9">
                  <c:v>0.38</c:v>
                </c:pt>
                <c:pt idx="10">
                  <c:v>0.13</c:v>
                </c:pt>
                <c:pt idx="11">
                  <c:v>0.06</c:v>
                </c:pt>
                <c:pt idx="12">
                  <c:v>0.48</c:v>
                </c:pt>
                <c:pt idx="13">
                  <c:v>0.4</c:v>
                </c:pt>
                <c:pt idx="14">
                  <c:v>0.14000000000000001</c:v>
                </c:pt>
                <c:pt idx="17">
                  <c:v>0.08</c:v>
                </c:pt>
                <c:pt idx="20">
                  <c:v>0.1</c:v>
                </c:pt>
                <c:pt idx="22">
                  <c:v>0.11</c:v>
                </c:pt>
                <c:pt idx="24">
                  <c:v>0.17</c:v>
                </c:pt>
                <c:pt idx="25">
                  <c:v>0.28999999999999998</c:v>
                </c:pt>
                <c:pt idx="30">
                  <c:v>0.06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1" Type="http://schemas.openxmlformats.org/officeDocument/2006/relationships/chart" Target="../charts/chart35.xml"/><Relationship Id="rId5" Type="http://schemas.openxmlformats.org/officeDocument/2006/relationships/chart" Target="../charts/chart29.xml"/><Relationship Id="rId10" Type="http://schemas.openxmlformats.org/officeDocument/2006/relationships/chart" Target="../charts/chart34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abSelected="1" topLeftCell="G14" zoomScale="85" zoomScaleNormal="85" workbookViewId="0">
      <selection activeCell="P36" sqref="P3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337</v>
      </c>
      <c r="N1" s="248" t="s">
        <v>342</v>
      </c>
      <c r="O1" s="251" t="s">
        <v>338</v>
      </c>
      <c r="P1" s="248" t="s">
        <v>340</v>
      </c>
      <c r="Q1" s="251" t="s">
        <v>339</v>
      </c>
      <c r="R1" s="248" t="s">
        <v>341</v>
      </c>
      <c r="AG1" s="5" t="s">
        <v>173</v>
      </c>
      <c r="AH1" s="5" t="s">
        <v>343</v>
      </c>
      <c r="AI1" s="251" t="s">
        <v>337</v>
      </c>
      <c r="AJ1" s="251" t="s">
        <v>338</v>
      </c>
      <c r="AK1" s="251" t="s">
        <v>339</v>
      </c>
    </row>
    <row r="2" spans="1:37" x14ac:dyDescent="0.25">
      <c r="A2" s="231" t="s">
        <v>182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180</v>
      </c>
      <c r="AF2" t="s">
        <v>192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183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181</v>
      </c>
      <c r="AF3" t="s">
        <v>193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184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195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185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194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186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198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187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199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188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200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189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202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190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242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191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243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192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246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193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247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195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248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194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249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196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250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197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254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198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255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199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259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200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260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201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261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202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262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203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263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204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267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205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268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206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269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207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270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208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273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209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274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210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277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211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280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212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282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213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284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214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285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215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290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216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293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217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299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218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308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219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316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220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317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221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322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222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328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223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329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224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332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225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333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226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335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227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228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229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230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231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232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233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234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235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236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237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238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239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240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241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242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243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244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245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246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247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248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249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250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251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252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253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254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255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256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257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258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259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260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261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262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263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264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265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266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267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268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269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270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271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272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273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274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275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276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277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278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279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280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281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282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283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284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285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286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287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288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289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290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291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292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293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299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294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295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296</v>
      </c>
      <c r="B120" s="6" t="s">
        <v>179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297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298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300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301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302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303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304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305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306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307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308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309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310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311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312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313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314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315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316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317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318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319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320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321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322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323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324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325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326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327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328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329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330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331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332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333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334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335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336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R1" zoomScaleNormal="100" workbookViewId="0">
      <selection activeCell="V16" sqref="V1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146" t="s">
        <v>61</v>
      </c>
      <c r="O1" s="146" t="s">
        <v>67</v>
      </c>
      <c r="P1" s="251" t="s">
        <v>337</v>
      </c>
      <c r="Q1" s="248" t="s">
        <v>342</v>
      </c>
      <c r="R1" s="251" t="s">
        <v>338</v>
      </c>
      <c r="S1" s="248" t="s">
        <v>340</v>
      </c>
      <c r="T1" s="251" t="s">
        <v>339</v>
      </c>
      <c r="U1" s="248" t="s">
        <v>341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1.19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1.63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0.77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0.5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0.1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4" t="s">
        <v>90</v>
      </c>
      <c r="B7" s="4">
        <v>272.58000000000004</v>
      </c>
      <c r="C7" s="4">
        <v>0.23980000000000001</v>
      </c>
      <c r="D7" s="4">
        <v>0.24579999999999999</v>
      </c>
      <c r="E7" s="4">
        <f t="shared" si="0"/>
        <v>5.9999999999999776E-3</v>
      </c>
      <c r="F7" s="10">
        <f t="shared" si="2"/>
        <v>22.011886418665991</v>
      </c>
      <c r="G7" s="4">
        <v>17.7</v>
      </c>
      <c r="H7" s="18">
        <v>1.3097205793723499</v>
      </c>
      <c r="I7" s="19">
        <f t="shared" si="1"/>
        <v>4.8049034388889487</v>
      </c>
      <c r="J7" s="26">
        <v>11.551</v>
      </c>
      <c r="K7" s="4">
        <v>7.0000000000000007E-2</v>
      </c>
      <c r="L7" s="4">
        <v>4.7E-2</v>
      </c>
      <c r="M7" s="4">
        <v>7.6999999999999999E-2</v>
      </c>
      <c r="N7" s="4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91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0.15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92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0.28000000000000003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93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1.66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94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0.38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95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0.13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96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0.06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98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0.48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99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0.4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100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0.14000000000000001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101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102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103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0.08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104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105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106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0.1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107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108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0.11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109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110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0.17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111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0.28999999999999998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112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113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114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115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116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0.06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96">
        <v>1.89E-2</v>
      </c>
      <c r="L33" s="96"/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>
        <v>6.9500000000000006E-2</v>
      </c>
      <c r="L34" s="43"/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>
        <v>4.1099999999999998E-2</v>
      </c>
      <c r="L35" s="43"/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>
        <v>7.5700000000000003E-2</v>
      </c>
      <c r="L36" s="43"/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>
        <v>6.6299999999999998E-2</v>
      </c>
      <c r="L37" s="43"/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>
        <v>3.6499999999999998E-2</v>
      </c>
      <c r="L38" s="43"/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>
        <v>2.12E-2</v>
      </c>
      <c r="L39" s="43"/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>
        <v>1.04E-2</v>
      </c>
      <c r="L40" s="1"/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>
        <v>7.0000000000000007E-2</v>
      </c>
      <c r="L41" s="1"/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>
        <v>7.1599999999999997E-2</v>
      </c>
      <c r="L42" s="1"/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>
        <v>4.7199999999999999E-2</v>
      </c>
      <c r="L43" s="1"/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>
        <v>6.0499999999999998E-2</v>
      </c>
      <c r="L44" s="1"/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>
        <v>6.6199999999999995E-2</v>
      </c>
      <c r="L45" s="1"/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>
        <v>1.83E-2</v>
      </c>
      <c r="L47" s="1"/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>
        <v>1.9300000000000001E-2</v>
      </c>
      <c r="L48" s="1"/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>
        <v>6.83E-2</v>
      </c>
      <c r="L50" s="108"/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>
        <v>9.6100000000000005E-2</v>
      </c>
      <c r="L51" s="49"/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>
        <v>9.6799999999999997E-2</v>
      </c>
      <c r="L52" s="49"/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>
        <v>9.06E-2</v>
      </c>
      <c r="L53" s="49"/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>
        <v>3.9199999999999999E-2</v>
      </c>
      <c r="L54" s="49"/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>
        <v>7.1000000000000004E-3</v>
      </c>
      <c r="L55" s="2"/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>
        <v>8.2199999999999995E-2</v>
      </c>
      <c r="L56" s="2"/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>
        <v>5.8000000000000003E-2</v>
      </c>
      <c r="L57" s="2"/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>
        <v>5.79E-2</v>
      </c>
      <c r="L58" s="2"/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>
        <v>5.8299999999999998E-2</v>
      </c>
      <c r="L59" s="2"/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>
        <v>4.6899999999999997E-2</v>
      </c>
      <c r="L60" s="2"/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>
        <v>1.77E-2</v>
      </c>
      <c r="L61" s="2"/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>
        <v>3.1800000000000002E-2</v>
      </c>
      <c r="L62" s="2"/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>
        <v>4.8099999999999997E-2</v>
      </c>
      <c r="L63" s="2"/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>
        <v>1.8800000000000001E-2</v>
      </c>
      <c r="L64" s="2"/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>
        <v>6.4299999999999996E-2</v>
      </c>
      <c r="L65" s="2"/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>
        <v>3.4000000000000002E-2</v>
      </c>
      <c r="L66" s="2"/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>
        <v>5.8700000000000002E-2</v>
      </c>
      <c r="L68" s="124"/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>
        <v>0.12139999999999999</v>
      </c>
      <c r="L69" s="8"/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>
        <v>2.3699999999999999E-2</v>
      </c>
      <c r="L70" s="8"/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>
        <v>9.7699999999999995E-2</v>
      </c>
      <c r="L71" s="8"/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>
        <v>0.17730000000000001</v>
      </c>
      <c r="L72" s="8"/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>
        <v>6.9000000000000006E-2</v>
      </c>
      <c r="L74" s="8"/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136"/>
      <c r="L76" s="136"/>
      <c r="M76" s="136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9"/>
      <c r="L77" s="9"/>
      <c r="M77" s="9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9"/>
      <c r="L78" s="9"/>
      <c r="M78" s="9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9"/>
      <c r="L79" s="9"/>
      <c r="M79" s="9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9"/>
      <c r="L80" s="9"/>
      <c r="M80" s="9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140"/>
      <c r="L81" s="140"/>
      <c r="M81" s="14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120"/>
      <c r="L82" s="120"/>
      <c r="M82" s="120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9"/>
      <c r="L83" s="9"/>
      <c r="M83" s="9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9"/>
      <c r="L84" s="9"/>
      <c r="M84" s="9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9"/>
      <c r="L85" s="9"/>
      <c r="M85" s="9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9"/>
      <c r="L86" s="9"/>
      <c r="M86" s="9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9"/>
      <c r="L87" s="9"/>
      <c r="M87" s="9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38"/>
  <sheetViews>
    <sheetView zoomScale="70" zoomScaleNormal="70" workbookViewId="0">
      <selection activeCell="F2" sqref="F2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120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97</v>
      </c>
      <c r="H1" s="146" t="s">
        <v>72</v>
      </c>
      <c r="I1" s="146" t="s">
        <v>70</v>
      </c>
      <c r="J1" s="146" t="s">
        <v>69</v>
      </c>
      <c r="K1" s="145" t="s">
        <v>117</v>
      </c>
      <c r="L1" s="146" t="s">
        <v>118</v>
      </c>
      <c r="M1" s="146" t="s">
        <v>119</v>
      </c>
      <c r="N1" s="226" t="s">
        <v>61</v>
      </c>
      <c r="O1" s="146" t="s">
        <v>67</v>
      </c>
      <c r="P1" s="227" t="s">
        <v>171</v>
      </c>
    </row>
    <row r="2" spans="1:24" x14ac:dyDescent="0.25">
      <c r="A2" s="2" t="s">
        <v>129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121</v>
      </c>
      <c r="O2" s="228">
        <v>44394</v>
      </c>
      <c r="P2" s="222" t="s">
        <v>166</v>
      </c>
    </row>
    <row r="3" spans="1:24" x14ac:dyDescent="0.25">
      <c r="A3" s="2" t="s">
        <v>130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122</v>
      </c>
      <c r="O3" s="151">
        <v>44394</v>
      </c>
      <c r="P3" s="221" t="s">
        <v>169</v>
      </c>
    </row>
    <row r="4" spans="1:24" x14ac:dyDescent="0.25">
      <c r="A4" s="2" t="s">
        <v>131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123</v>
      </c>
      <c r="O4" s="151">
        <v>44396</v>
      </c>
      <c r="P4" s="219" t="s">
        <v>167</v>
      </c>
    </row>
    <row r="5" spans="1:24" x14ac:dyDescent="0.25">
      <c r="A5" s="2" t="s">
        <v>132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124</v>
      </c>
      <c r="O5" s="151">
        <v>44396</v>
      </c>
      <c r="P5" s="201" t="s">
        <v>170</v>
      </c>
    </row>
    <row r="6" spans="1:24" x14ac:dyDescent="0.25">
      <c r="A6" s="2" t="s">
        <v>133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125</v>
      </c>
      <c r="O6" s="151">
        <v>44413</v>
      </c>
      <c r="P6" s="225" t="s">
        <v>168</v>
      </c>
    </row>
    <row r="7" spans="1:24" x14ac:dyDescent="0.25">
      <c r="A7" s="2" t="s">
        <v>135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126</v>
      </c>
      <c r="O7" s="151">
        <v>44413</v>
      </c>
    </row>
    <row r="8" spans="1:24" x14ac:dyDescent="0.25">
      <c r="A8" s="2" t="s">
        <v>136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127</v>
      </c>
      <c r="O8" s="151">
        <v>44421</v>
      </c>
    </row>
    <row r="9" spans="1:24" ht="15.75" thickBot="1" x14ac:dyDescent="0.3">
      <c r="A9" s="114" t="s">
        <v>134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128</v>
      </c>
      <c r="O9" s="156">
        <v>44421</v>
      </c>
      <c r="Q9" t="s">
        <v>178</v>
      </c>
    </row>
    <row r="10" spans="1:24" ht="15.75" x14ac:dyDescent="0.25">
      <c r="A10" s="157" t="s">
        <v>137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172</v>
      </c>
      <c r="S10" t="s">
        <v>173</v>
      </c>
      <c r="T10" t="s">
        <v>174</v>
      </c>
      <c r="U10" t="s">
        <v>175</v>
      </c>
      <c r="V10" t="s">
        <v>117</v>
      </c>
      <c r="W10" t="s">
        <v>176</v>
      </c>
      <c r="X10" t="s">
        <v>177</v>
      </c>
    </row>
    <row r="11" spans="1:24" ht="15.75" x14ac:dyDescent="0.25">
      <c r="A11" s="1" t="s">
        <v>138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139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140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141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8.767983246000001E-2</v>
      </c>
      <c r="X14" s="229">
        <f>AVERAGE(J14:J15)</f>
        <v>2.8035000000000001</v>
      </c>
    </row>
    <row r="15" spans="1:24" ht="15.75" x14ac:dyDescent="0.25">
      <c r="A15" s="4" t="s">
        <v>142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8.767983246000001E-2</v>
      </c>
      <c r="X15" s="229">
        <f>AVERAGE(J18:J19)</f>
        <v>3.4509999999999996</v>
      </c>
    </row>
    <row r="16" spans="1:24" ht="15.75" x14ac:dyDescent="0.25">
      <c r="A16" s="4" t="s">
        <v>143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8.767983246000001E-2</v>
      </c>
      <c r="X16" s="229">
        <f>AVERAGE(J37:J38)</f>
        <v>1.1215000000000002</v>
      </c>
    </row>
    <row r="17" spans="1:24" ht="15.75" x14ac:dyDescent="0.25">
      <c r="A17" s="4" t="s">
        <v>144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8.767983246000001E-2</v>
      </c>
      <c r="X17" s="229">
        <f>AVERAGE(J37:J38)</f>
        <v>1.1215000000000002</v>
      </c>
    </row>
    <row r="18" spans="1:24" ht="15.75" x14ac:dyDescent="0.25">
      <c r="A18" s="4" t="s">
        <v>145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146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147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148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149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150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151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152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153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154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155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156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157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158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159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160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161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162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163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1.3151974869000001E-2</v>
      </c>
      <c r="I36" s="211">
        <f>H36/('Grab Samples'!B36/1000)</f>
        <v>8.767983246000001E-2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165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164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Spring</vt:lpstr>
      <vt:lpstr>Summer </vt:lpstr>
      <vt:lpstr>Grab 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2026-06-25T21:07:06Z</dcterms:modified>
</cp:coreProperties>
</file>