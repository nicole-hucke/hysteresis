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GGRL non-EP results\In Progress\"/>
    </mc:Choice>
  </mc:AlternateContent>
  <bookViews>
    <workbookView xWindow="0" yWindow="0" windowWidth="19200" windowHeight="10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" i="1"/>
  <c r="AA51" i="1" l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B10" i="1" l="1"/>
  <c r="AB46" i="1"/>
  <c r="Y6" i="1"/>
  <c r="AB6" i="1" s="1"/>
  <c r="Y7" i="1"/>
  <c r="AB7" i="1" s="1"/>
  <c r="Y8" i="1"/>
  <c r="AB8" i="1" s="1"/>
  <c r="Y9" i="1"/>
  <c r="AB9" i="1" s="1"/>
  <c r="Y10" i="1"/>
  <c r="Y11" i="1"/>
  <c r="AB11" i="1" s="1"/>
  <c r="Y12" i="1"/>
  <c r="AB12" i="1" s="1"/>
  <c r="Y13" i="1"/>
  <c r="AB13" i="1" s="1"/>
  <c r="Y14" i="1"/>
  <c r="AB14" i="1" s="1"/>
  <c r="Y15" i="1"/>
  <c r="AB15" i="1" s="1"/>
  <c r="Y16" i="1"/>
  <c r="AB16" i="1" s="1"/>
  <c r="Y17" i="1"/>
  <c r="AB17" i="1" s="1"/>
  <c r="Y18" i="1"/>
  <c r="AB18" i="1" s="1"/>
  <c r="Y19" i="1"/>
  <c r="AB19" i="1" s="1"/>
  <c r="Y20" i="1"/>
  <c r="AB20" i="1" s="1"/>
  <c r="Y21" i="1"/>
  <c r="AB21" i="1" s="1"/>
  <c r="Y22" i="1"/>
  <c r="AB22" i="1" s="1"/>
  <c r="Y23" i="1"/>
  <c r="AB23" i="1" s="1"/>
  <c r="Y24" i="1"/>
  <c r="AB24" i="1" s="1"/>
  <c r="Y25" i="1"/>
  <c r="AB25" i="1" s="1"/>
  <c r="Y26" i="1"/>
  <c r="AB26" i="1" s="1"/>
  <c r="Y27" i="1"/>
  <c r="AB27" i="1" s="1"/>
  <c r="Y28" i="1"/>
  <c r="AB28" i="1" s="1"/>
  <c r="Y29" i="1"/>
  <c r="AB29" i="1" s="1"/>
  <c r="Y30" i="1"/>
  <c r="AB30" i="1" s="1"/>
  <c r="Y31" i="1"/>
  <c r="AB31" i="1" s="1"/>
  <c r="Y32" i="1"/>
  <c r="AB32" i="1" s="1"/>
  <c r="Y33" i="1"/>
  <c r="AB33" i="1" s="1"/>
  <c r="Y34" i="1"/>
  <c r="AB34" i="1" s="1"/>
  <c r="Y35" i="1"/>
  <c r="AB35" i="1" s="1"/>
  <c r="Y36" i="1"/>
  <c r="AB36" i="1" s="1"/>
  <c r="Y37" i="1"/>
  <c r="AB37" i="1" s="1"/>
  <c r="Y38" i="1"/>
  <c r="AB38" i="1" s="1"/>
  <c r="Y39" i="1"/>
  <c r="AB39" i="1" s="1"/>
  <c r="Y40" i="1"/>
  <c r="AB40" i="1" s="1"/>
  <c r="Y41" i="1"/>
  <c r="AB41" i="1" s="1"/>
  <c r="Y42" i="1"/>
  <c r="AB42" i="1" s="1"/>
  <c r="Y43" i="1"/>
  <c r="AB43" i="1" s="1"/>
  <c r="Y44" i="1"/>
  <c r="AB44" i="1" s="1"/>
  <c r="Y45" i="1"/>
  <c r="AB45" i="1" s="1"/>
  <c r="Y46" i="1"/>
  <c r="Y47" i="1"/>
  <c r="AB47" i="1" s="1"/>
  <c r="Y48" i="1"/>
  <c r="AB48" i="1" s="1"/>
  <c r="Y49" i="1"/>
  <c r="AB49" i="1" s="1"/>
  <c r="Y50" i="1"/>
  <c r="AB50" i="1" s="1"/>
  <c r="Y51" i="1"/>
  <c r="AB51" i="1" s="1"/>
  <c r="Y5" i="1"/>
  <c r="AB5" i="1" s="1"/>
</calcChain>
</file>

<file path=xl/sharedStrings.xml><?xml version="1.0" encoding="utf-8"?>
<sst xmlns="http://schemas.openxmlformats.org/spreadsheetml/2006/main" count="415" uniqueCount="137">
  <si>
    <t>GGRL Sample Chain of Custody</t>
  </si>
  <si>
    <t>Date</t>
  </si>
  <si>
    <t>Project</t>
  </si>
  <si>
    <t>Cost Code</t>
  </si>
  <si>
    <t>Send Results to:</t>
  </si>
  <si>
    <t>Field Prep (Filt/Acid)</t>
  </si>
  <si>
    <t>Needs filter in lab?</t>
  </si>
  <si>
    <t>Needs acidify in lab?</t>
  </si>
  <si>
    <t>Anions</t>
  </si>
  <si>
    <t>Major Cation</t>
  </si>
  <si>
    <t>Alk/pH</t>
  </si>
  <si>
    <t xml:space="preserve"> TOC/DOC</t>
  </si>
  <si>
    <t>Storage containers</t>
  </si>
  <si>
    <t>Disposal &amp; storage instruction</t>
  </si>
  <si>
    <t>Comment</t>
  </si>
  <si>
    <t>Date Analyzed</t>
  </si>
  <si>
    <t>Sample ID</t>
  </si>
  <si>
    <t>C isotopes</t>
  </si>
  <si>
    <t>Joel, Janice, Rachel</t>
  </si>
  <si>
    <t>Valles Caldera- BER</t>
  </si>
  <si>
    <t>F34D-0000-0000</t>
  </si>
  <si>
    <t>Exp 1</t>
  </si>
  <si>
    <t>Exp 2</t>
  </si>
  <si>
    <t>Exp 3</t>
  </si>
  <si>
    <t>Exp 4</t>
  </si>
  <si>
    <t>Exp 5</t>
  </si>
  <si>
    <t>Exp 6</t>
  </si>
  <si>
    <t>Exp 7</t>
  </si>
  <si>
    <t>Exp 8</t>
  </si>
  <si>
    <t>Exp 11</t>
  </si>
  <si>
    <t>GS #1 upper 7/17/21</t>
  </si>
  <si>
    <t>GS #1 lower 7/17/21</t>
  </si>
  <si>
    <t>GS #2 upper 7/19/21</t>
  </si>
  <si>
    <t>GS #2 lower 7/19/21</t>
  </si>
  <si>
    <t>Burn Site 2 8/13/21 GS</t>
  </si>
  <si>
    <t>Burn Site 3 8/13/21 GS</t>
  </si>
  <si>
    <t>Burn Site 4 T: 8/16/21 GS</t>
  </si>
  <si>
    <t>Burn Site 5 T: 8/16/21 GS</t>
  </si>
  <si>
    <t>Gaining GS T: 8/14/21</t>
  </si>
  <si>
    <t>Isco #3 Bottle #11 Storm 1 7/23/21</t>
  </si>
  <si>
    <t>Isco #2 Bottle #2 Storm 1 7/23/21</t>
  </si>
  <si>
    <t>Isco #3 Bottle #5 Storm 1 7/23/21</t>
  </si>
  <si>
    <t>Isco #3 Bottle #1 Storm 1 7/23/21</t>
  </si>
  <si>
    <t>GS #5 Lower 8/13/21</t>
  </si>
  <si>
    <t>GS #5 Upper 8/13/21</t>
  </si>
  <si>
    <t>GS #4 Upper 8/5/21</t>
  </si>
  <si>
    <t>GS #4 Lower 8/5/21</t>
  </si>
  <si>
    <t>Isco #3 Bottle #8 Storm 1 7/23/21</t>
  </si>
  <si>
    <t>Isco #8 Bottle #5 Storm 1 7/23/21</t>
  </si>
  <si>
    <t>Isco #2 Bottle #10 Storm 1 7/23/21</t>
  </si>
  <si>
    <t>Isco #3 Bottle #3 Storm 1 7/23/21</t>
  </si>
  <si>
    <t>Isco #2 Bottle #6 Storm 1 7/23/21</t>
  </si>
  <si>
    <t>Isco #2 Bottle #18 Storm 1 7/23/21</t>
  </si>
  <si>
    <t>Isco #3 Bottle #24 Storm 1 7/23/21</t>
  </si>
  <si>
    <t>Exp 10</t>
  </si>
  <si>
    <t>Exp 9</t>
  </si>
  <si>
    <t>Exp 12</t>
  </si>
  <si>
    <t>Exp 13</t>
  </si>
  <si>
    <t>Exp 14</t>
  </si>
  <si>
    <t>Exp 15</t>
  </si>
  <si>
    <t>Exp 16</t>
  </si>
  <si>
    <t>uf/ua</t>
  </si>
  <si>
    <t>Isco #2 Bottle #1 Storm 1 07/23/21</t>
  </si>
  <si>
    <t>Upstream GWW #9 07/27/21</t>
  </si>
  <si>
    <t>Upstream GWW #8 07/27/21</t>
  </si>
  <si>
    <t>Upstream (upper) GS #3 07/27/21</t>
  </si>
  <si>
    <t>Downstream GWW #1 07/27/21</t>
  </si>
  <si>
    <t>Downstream GWW #2 07/27/21</t>
  </si>
  <si>
    <t>Downstream GS #3 (lower) 07/27/21</t>
  </si>
  <si>
    <t>yes</t>
  </si>
  <si>
    <t>no</t>
  </si>
  <si>
    <t>DOC</t>
  </si>
  <si>
    <t>Other</t>
  </si>
  <si>
    <t>POC</t>
  </si>
  <si>
    <t>DOC (mg/L)</t>
  </si>
  <si>
    <t>DOC MDL</t>
  </si>
  <si>
    <t>Lab ID</t>
  </si>
  <si>
    <t>VC-BER-1</t>
  </si>
  <si>
    <t>VC-BER-2</t>
  </si>
  <si>
    <t>VC-BER-3</t>
  </si>
  <si>
    <t>VC-BER-4</t>
  </si>
  <si>
    <t>VC-BER-5</t>
  </si>
  <si>
    <t>VC-BER-6</t>
  </si>
  <si>
    <t>VC-BER-7</t>
  </si>
  <si>
    <t>VC-BER-8</t>
  </si>
  <si>
    <t>VC-BER-9</t>
  </si>
  <si>
    <t>VC-BER-10</t>
  </si>
  <si>
    <t>VC-BER-11</t>
  </si>
  <si>
    <t>VC-BER-12</t>
  </si>
  <si>
    <t>VC-BER-13</t>
  </si>
  <si>
    <t>VC-BER-14</t>
  </si>
  <si>
    <t>VC-BER-15</t>
  </si>
  <si>
    <t>VC-BER-16</t>
  </si>
  <si>
    <t>VC-BER-17</t>
  </si>
  <si>
    <t>VC-BER-18</t>
  </si>
  <si>
    <t>VC-BER-19</t>
  </si>
  <si>
    <t>VC-BER-20</t>
  </si>
  <si>
    <t>VC-BER-21</t>
  </si>
  <si>
    <t>VC-BER-22</t>
  </si>
  <si>
    <t>VC-BER-23</t>
  </si>
  <si>
    <t>VC-BER-24</t>
  </si>
  <si>
    <t>VC-BER-25</t>
  </si>
  <si>
    <t>VC-BER-26</t>
  </si>
  <si>
    <t>VC-BER-27</t>
  </si>
  <si>
    <t>VC-BER-28</t>
  </si>
  <si>
    <t>VC-BER-29</t>
  </si>
  <si>
    <t>VC-BER-30</t>
  </si>
  <si>
    <t>VC-BER-31</t>
  </si>
  <si>
    <t>VC-BER-32</t>
  </si>
  <si>
    <t>VC-BER-33</t>
  </si>
  <si>
    <t>VC-BER-34</t>
  </si>
  <si>
    <t>VC-BER-35</t>
  </si>
  <si>
    <t>VC-BER-36</t>
  </si>
  <si>
    <t>VC-BER-37</t>
  </si>
  <si>
    <t>VC-BER-38</t>
  </si>
  <si>
    <t>VC-BER-39</t>
  </si>
  <si>
    <t>VC-BER-40</t>
  </si>
  <si>
    <t>VC-BER-41</t>
  </si>
  <si>
    <t>VC-BER-42</t>
  </si>
  <si>
    <t>VC-BER-43</t>
  </si>
  <si>
    <t>VC-BER-44</t>
  </si>
  <si>
    <t>VC-BER-45</t>
  </si>
  <si>
    <t>VC-BER-46</t>
  </si>
  <si>
    <t>VC-BER-47</t>
  </si>
  <si>
    <t>pre-filter weight (g)</t>
  </si>
  <si>
    <t>see note at bottom</t>
  </si>
  <si>
    <t>Volume filtered (mL)</t>
  </si>
  <si>
    <t>entire sample filtered</t>
  </si>
  <si>
    <t>Total sediment on filter - inorganic + organic (g)</t>
  </si>
  <si>
    <t>entire sample volume filtered, some sediment stuck to the sides of nalgene with no easy way to retrieve it</t>
  </si>
  <si>
    <t>Note: Samples 1,2,4, and 5 contained higher amounts of sediment than the rest.  The consistency was more like a sandy sludge, so filtering the entire sample would have been impossible because the filters became saturated with sediment almost immediately.   I was able to filter about 10 ml of sample.  The rest of the sample will be stored in case we want to try to filter the rest at a later time.</t>
  </si>
  <si>
    <t>post-filter weight (g) after drying in oven at 105C for 24 hours - before acid fumigation</t>
  </si>
  <si>
    <t>post-filter weight (g) after drying in oven at 105C for 24 hours - after acid fumigation</t>
  </si>
  <si>
    <t>total sediment + acid wt</t>
  </si>
  <si>
    <t>wt acid added</t>
  </si>
  <si>
    <t>mg C</t>
  </si>
  <si>
    <t>POC mgC/L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</si>
</sst>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3" xfId="0" applyFont="1" applyFill="1" applyBorder="1" applyAlignment="1"/>
    <xf numFmtId="0" fontId="3" fillId="0" borderId="0" xfId="0" applyFont="1" applyBorder="1" applyAlignment="1">
      <alignment horizontal="center"/>
    </xf>
    <xf numFmtId="0" fontId="3" fillId="0" borderId="8" xfId="0" applyFont="1" applyBorder="1"/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textRotation="90"/>
    </xf>
    <xf numFmtId="0" fontId="3" fillId="2" borderId="9" xfId="0" applyFont="1" applyFill="1" applyBorder="1" applyAlignment="1">
      <alignment textRotation="90" wrapText="1"/>
    </xf>
    <xf numFmtId="0" fontId="3" fillId="2" borderId="9" xfId="0" applyFont="1" applyFill="1" applyBorder="1" applyAlignment="1">
      <alignment wrapText="1"/>
    </xf>
    <xf numFmtId="0" fontId="0" fillId="0" borderId="9" xfId="0" applyBorder="1"/>
    <xf numFmtId="165" fontId="0" fillId="0" borderId="9" xfId="0" applyNumberFormat="1" applyFont="1" applyFill="1" applyBorder="1" applyAlignment="1">
      <alignment horizontal="right"/>
    </xf>
    <xf numFmtId="0" fontId="0" fillId="0" borderId="9" xfId="0" applyFill="1" applyBorder="1"/>
    <xf numFmtId="14" fontId="0" fillId="0" borderId="9" xfId="0" applyNumberFormat="1" applyFill="1" applyBorder="1"/>
    <xf numFmtId="0" fontId="0" fillId="3" borderId="9" xfId="0" applyFill="1" applyBorder="1"/>
    <xf numFmtId="2" fontId="5" fillId="0" borderId="9" xfId="0" applyNumberFormat="1" applyFont="1" applyFill="1" applyBorder="1" applyAlignment="1">
      <alignment horizontal="right" wrapText="1"/>
    </xf>
    <xf numFmtId="0" fontId="2" fillId="0" borderId="0" xfId="0" applyFont="1" applyFill="1" applyBorder="1"/>
    <xf numFmtId="0" fontId="2" fillId="0" borderId="0" xfId="0" applyFont="1" applyBorder="1"/>
    <xf numFmtId="14" fontId="4" fillId="0" borderId="9" xfId="0" applyNumberFormat="1" applyFont="1" applyFill="1" applyBorder="1" applyAlignment="1">
      <alignment horizontal="right" wrapText="1"/>
    </xf>
    <xf numFmtId="49" fontId="2" fillId="4" borderId="9" xfId="0" applyNumberFormat="1" applyFont="1" applyFill="1" applyBorder="1" applyAlignment="1" applyProtection="1">
      <alignment horizontal="left" wrapText="1"/>
    </xf>
    <xf numFmtId="164" fontId="2" fillId="4" borderId="9" xfId="0" applyNumberFormat="1" applyFont="1" applyFill="1" applyBorder="1" applyAlignment="1">
      <alignment horizontal="left" wrapText="1"/>
    </xf>
    <xf numFmtId="0" fontId="0" fillId="0" borderId="10" xfId="0" applyBorder="1"/>
    <xf numFmtId="0" fontId="0" fillId="0" borderId="10" xfId="0" applyFill="1" applyBorder="1"/>
    <xf numFmtId="14" fontId="4" fillId="0" borderId="9" xfId="1" applyNumberFormat="1" applyFont="1" applyFill="1" applyBorder="1" applyAlignment="1">
      <alignment horizontal="center" vertical="top"/>
    </xf>
    <xf numFmtId="0" fontId="2" fillId="0" borderId="9" xfId="0" applyFont="1" applyBorder="1"/>
    <xf numFmtId="0" fontId="0" fillId="3" borderId="9" xfId="0" applyFill="1" applyBorder="1" applyAlignment="1">
      <alignment wrapText="1"/>
    </xf>
    <xf numFmtId="2" fontId="0" fillId="0" borderId="9" xfId="0" applyNumberFormat="1" applyFill="1" applyBorder="1"/>
    <xf numFmtId="2" fontId="0" fillId="0" borderId="9" xfId="0" applyNumberFormat="1" applyBorder="1"/>
    <xf numFmtId="14" fontId="0" fillId="0" borderId="9" xfId="0" applyNumberFormat="1" applyBorder="1"/>
    <xf numFmtId="0" fontId="3" fillId="2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/>
    <xf numFmtId="0" fontId="0" fillId="0" borderId="0" xfId="0" applyAlignment="1">
      <alignment vertical="center"/>
    </xf>
    <xf numFmtId="0" fontId="0" fillId="0" borderId="9" xfId="0" applyBorder="1" applyAlignment="1">
      <alignment wrapText="1"/>
    </xf>
    <xf numFmtId="14" fontId="0" fillId="0" borderId="10" xfId="0" applyNumberFormat="1" applyFill="1" applyBorder="1"/>
    <xf numFmtId="0" fontId="0" fillId="4" borderId="9" xfId="0" applyFill="1" applyBorder="1"/>
    <xf numFmtId="0" fontId="0" fillId="0" borderId="9" xfId="0" applyFill="1" applyBorder="1" applyAlignment="1">
      <alignment wrapText="1"/>
    </xf>
    <xf numFmtId="0" fontId="0" fillId="5" borderId="9" xfId="0" applyFill="1" applyBorder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7" fillId="0" borderId="0" xfId="0" applyFont="1" applyFill="1"/>
    <xf numFmtId="2" fontId="2" fillId="0" borderId="9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4"/>
  <sheetViews>
    <sheetView tabSelected="1" zoomScale="70" zoomScaleNormal="70" workbookViewId="0">
      <pane xSplit="1" ySplit="4" topLeftCell="B16" activePane="bottomRight" state="frozen"/>
      <selection pane="topRight" activeCell="B1" sqref="B1"/>
      <selection pane="bottomLeft" activeCell="A5" sqref="A5"/>
      <selection pane="bottomRight" activeCell="AD27" sqref="AD27"/>
    </sheetView>
  </sheetViews>
  <sheetFormatPr defaultRowHeight="15" x14ac:dyDescent="0.25"/>
  <cols>
    <col min="1" max="1" width="31.5703125" bestFit="1" customWidth="1"/>
    <col min="2" max="2" width="12.85546875" bestFit="1" customWidth="1"/>
    <col min="3" max="3" width="5.7109375" hidden="1" customWidth="1"/>
    <col min="4" max="8" width="3.7109375" hidden="1" customWidth="1"/>
    <col min="9" max="9" width="5.140625" hidden="1" customWidth="1"/>
    <col min="10" max="11" width="9.140625" hidden="1" customWidth="1"/>
    <col min="12" max="12" width="14.42578125" customWidth="1"/>
    <col min="13" max="14" width="9.140625" hidden="1" customWidth="1"/>
    <col min="15" max="15" width="37.7109375" hidden="1" customWidth="1"/>
    <col min="16" max="16" width="13.85546875" hidden="1" customWidth="1"/>
    <col min="17" max="18" width="11" hidden="1" customWidth="1"/>
    <col min="19" max="20" width="9.140625" style="20" hidden="1" customWidth="1"/>
    <col min="21" max="21" width="9.42578125" hidden="1" customWidth="1"/>
    <col min="22" max="22" width="10.28515625" bestFit="1" customWidth="1"/>
    <col min="23" max="23" width="9.7109375" bestFit="1" customWidth="1"/>
    <col min="24" max="24" width="12.42578125" customWidth="1"/>
    <col min="26" max="26" width="12.42578125" bestFit="1" customWidth="1"/>
    <col min="27" max="28" width="12.42578125" customWidth="1"/>
    <col min="30" max="30" width="13" bestFit="1" customWidth="1"/>
  </cols>
  <sheetData>
    <row r="1" spans="1:30" ht="24" thickBot="1" x14ac:dyDescent="0.4">
      <c r="C1" s="1" t="s">
        <v>0</v>
      </c>
      <c r="S1" s="19"/>
      <c r="T1" s="19"/>
    </row>
    <row r="2" spans="1:30" x14ac:dyDescent="0.25">
      <c r="A2" s="2"/>
      <c r="B2" s="32"/>
      <c r="C2" s="41" t="s">
        <v>1</v>
      </c>
      <c r="D2" s="42"/>
      <c r="E2" s="42"/>
      <c r="F2" s="42"/>
      <c r="G2" s="41" t="s">
        <v>2</v>
      </c>
      <c r="H2" s="42"/>
      <c r="I2" s="42"/>
      <c r="J2" s="42"/>
      <c r="K2" s="43"/>
      <c r="L2" s="3" t="s">
        <v>3</v>
      </c>
      <c r="M2" s="4" t="s">
        <v>4</v>
      </c>
      <c r="N2" s="5"/>
      <c r="O2" s="6"/>
      <c r="S2" s="19"/>
      <c r="T2" s="19"/>
    </row>
    <row r="3" spans="1:30" x14ac:dyDescent="0.25">
      <c r="A3" s="7"/>
      <c r="B3" s="33"/>
      <c r="C3" s="44">
        <v>44428</v>
      </c>
      <c r="D3" s="45"/>
      <c r="E3" s="45"/>
      <c r="F3" s="45"/>
      <c r="G3" s="46" t="s">
        <v>19</v>
      </c>
      <c r="H3" s="47"/>
      <c r="I3" s="47"/>
      <c r="J3" s="47"/>
      <c r="K3" s="48"/>
      <c r="L3" s="35" t="s">
        <v>20</v>
      </c>
      <c r="M3" s="8" t="s">
        <v>18</v>
      </c>
      <c r="N3" s="34"/>
      <c r="S3" s="19"/>
      <c r="T3" s="19"/>
    </row>
    <row r="4" spans="1:30" s="13" customFormat="1" ht="111.75" customHeight="1" x14ac:dyDescent="0.25">
      <c r="A4" s="9" t="s">
        <v>16</v>
      </c>
      <c r="B4" s="9" t="s">
        <v>76</v>
      </c>
      <c r="C4" s="10" t="s">
        <v>5</v>
      </c>
      <c r="D4" s="10" t="s">
        <v>6</v>
      </c>
      <c r="E4" s="10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72</v>
      </c>
      <c r="K4" s="11" t="s">
        <v>17</v>
      </c>
      <c r="L4" s="12" t="s">
        <v>126</v>
      </c>
      <c r="M4" s="12" t="s">
        <v>12</v>
      </c>
      <c r="N4" s="12" t="s">
        <v>13</v>
      </c>
      <c r="O4" s="12" t="s">
        <v>14</v>
      </c>
      <c r="P4" s="17" t="s">
        <v>15</v>
      </c>
      <c r="Q4" s="28" t="s">
        <v>74</v>
      </c>
      <c r="R4" s="28" t="s">
        <v>75</v>
      </c>
      <c r="S4" s="22" t="s">
        <v>15</v>
      </c>
      <c r="T4" s="23" t="s">
        <v>73</v>
      </c>
      <c r="U4" s="24" t="s">
        <v>1</v>
      </c>
      <c r="V4" s="36" t="s">
        <v>124</v>
      </c>
      <c r="W4" s="13" t="s">
        <v>1</v>
      </c>
      <c r="X4" s="36" t="s">
        <v>131</v>
      </c>
      <c r="Y4" s="36" t="s">
        <v>128</v>
      </c>
      <c r="Z4" s="36" t="s">
        <v>132</v>
      </c>
      <c r="AA4" s="36" t="s">
        <v>133</v>
      </c>
      <c r="AB4" s="36" t="s">
        <v>134</v>
      </c>
      <c r="AC4" s="13" t="s">
        <v>135</v>
      </c>
      <c r="AD4" s="13" t="s">
        <v>136</v>
      </c>
    </row>
    <row r="5" spans="1:30" s="15" customFormat="1" x14ac:dyDescent="0.25">
      <c r="A5" s="13" t="s">
        <v>63</v>
      </c>
      <c r="B5" s="13" t="s">
        <v>77</v>
      </c>
      <c r="C5" s="14" t="s">
        <v>61</v>
      </c>
      <c r="D5" s="15" t="s">
        <v>69</v>
      </c>
      <c r="E5" s="15" t="s">
        <v>70</v>
      </c>
      <c r="I5" s="15" t="s">
        <v>71</v>
      </c>
      <c r="J5" s="15" t="s">
        <v>73</v>
      </c>
      <c r="L5" s="15">
        <v>11.520000000000003</v>
      </c>
      <c r="O5" s="15" t="s">
        <v>125</v>
      </c>
      <c r="P5" s="16">
        <v>44564</v>
      </c>
      <c r="Q5" s="29">
        <v>2.2879999999999998</v>
      </c>
      <c r="R5" s="29">
        <v>0.2</v>
      </c>
      <c r="S5" s="26"/>
      <c r="T5" s="18"/>
      <c r="U5" s="37">
        <v>44469</v>
      </c>
      <c r="V5" s="15">
        <v>0.2407</v>
      </c>
      <c r="W5" s="16">
        <v>44477</v>
      </c>
      <c r="X5" s="15">
        <v>0.85129999999999995</v>
      </c>
      <c r="Y5" s="40">
        <f>X5-V5</f>
        <v>0.61059999999999992</v>
      </c>
      <c r="Z5" s="15">
        <v>0.88129999999999997</v>
      </c>
      <c r="AA5" s="40">
        <f>Z5-V5</f>
        <v>0.64059999999999995</v>
      </c>
      <c r="AB5" s="40">
        <f>AA5-Y5</f>
        <v>3.0000000000000027E-2</v>
      </c>
      <c r="AC5" s="58">
        <v>9.7928591434488208</v>
      </c>
      <c r="AD5" s="59">
        <f>AC5/(L5/1000)</f>
        <v>850.07457842437657</v>
      </c>
    </row>
    <row r="6" spans="1:30" s="15" customFormat="1" x14ac:dyDescent="0.25">
      <c r="A6" s="13" t="s">
        <v>64</v>
      </c>
      <c r="B6" s="13" t="s">
        <v>78</v>
      </c>
      <c r="C6" s="14" t="s">
        <v>61</v>
      </c>
      <c r="D6" s="15" t="s">
        <v>69</v>
      </c>
      <c r="E6" s="15" t="s">
        <v>70</v>
      </c>
      <c r="I6" s="15" t="s">
        <v>71</v>
      </c>
      <c r="J6" s="15" t="s">
        <v>73</v>
      </c>
      <c r="L6" s="15">
        <v>12.36</v>
      </c>
      <c r="O6" s="15" t="s">
        <v>125</v>
      </c>
      <c r="P6" s="16">
        <v>44564</v>
      </c>
      <c r="Q6" s="29">
        <v>3.718</v>
      </c>
      <c r="R6" s="29">
        <v>0.2</v>
      </c>
      <c r="S6" s="26"/>
      <c r="T6" s="18"/>
      <c r="U6" s="37">
        <v>44469</v>
      </c>
      <c r="V6" s="15">
        <v>0.23849999999999999</v>
      </c>
      <c r="W6" s="16">
        <v>44477</v>
      </c>
      <c r="X6" s="15">
        <v>0.4829</v>
      </c>
      <c r="Y6" s="15">
        <f t="shared" ref="Y6:Y51" si="0">X6-V6</f>
        <v>0.24440000000000001</v>
      </c>
      <c r="Z6" s="15">
        <v>0.49399999999999999</v>
      </c>
      <c r="AA6" s="40">
        <f t="shared" ref="AA6:AA51" si="1">Z6-V6</f>
        <v>0.2555</v>
      </c>
      <c r="AB6" s="40">
        <f t="shared" ref="AB6:AB51" si="2">AA6-Y6</f>
        <v>1.1099999999999999E-2</v>
      </c>
      <c r="AC6" s="58">
        <v>2.5713737230018578</v>
      </c>
      <c r="AD6" s="59">
        <f t="shared" ref="AD6:AD51" si="3">AC6/(L6/1000)</f>
        <v>208.03994522668754</v>
      </c>
    </row>
    <row r="7" spans="1:30" s="15" customFormat="1" ht="45" x14ac:dyDescent="0.25">
      <c r="A7" s="13" t="s">
        <v>65</v>
      </c>
      <c r="B7" s="13" t="s">
        <v>79</v>
      </c>
      <c r="C7" s="14" t="s">
        <v>61</v>
      </c>
      <c r="D7" s="15" t="s">
        <v>69</v>
      </c>
      <c r="E7" s="15" t="s">
        <v>70</v>
      </c>
      <c r="I7" s="15" t="s">
        <v>71</v>
      </c>
      <c r="J7" s="15" t="s">
        <v>73</v>
      </c>
      <c r="L7" s="15">
        <v>156.07</v>
      </c>
      <c r="O7" s="39" t="s">
        <v>129</v>
      </c>
      <c r="P7" s="16">
        <v>44564</v>
      </c>
      <c r="Q7" s="29">
        <v>3.5590000000000002</v>
      </c>
      <c r="R7" s="29">
        <v>0.2</v>
      </c>
      <c r="S7" s="26"/>
      <c r="T7" s="18"/>
      <c r="U7" s="37">
        <v>44469</v>
      </c>
      <c r="V7" s="15">
        <v>0.23880000000000001</v>
      </c>
      <c r="W7" s="16">
        <v>44477</v>
      </c>
      <c r="X7" s="15">
        <v>0.2422</v>
      </c>
      <c r="Y7" s="15">
        <f t="shared" si="0"/>
        <v>3.3999999999999864E-3</v>
      </c>
      <c r="Z7" s="15">
        <v>0.24310000000000001</v>
      </c>
      <c r="AA7" s="40">
        <f t="shared" si="1"/>
        <v>4.2999999999999983E-3</v>
      </c>
      <c r="AB7" s="40">
        <f t="shared" si="2"/>
        <v>9.000000000000119E-4</v>
      </c>
      <c r="AC7" s="58">
        <v>0.99324000757632991</v>
      </c>
      <c r="AD7" s="59">
        <f t="shared" si="3"/>
        <v>6.3640674541957454</v>
      </c>
    </row>
    <row r="8" spans="1:30" s="15" customFormat="1" x14ac:dyDescent="0.25">
      <c r="A8" s="13" t="s">
        <v>66</v>
      </c>
      <c r="B8" s="13" t="s">
        <v>80</v>
      </c>
      <c r="C8" s="14" t="s">
        <v>61</v>
      </c>
      <c r="D8" s="15" t="s">
        <v>69</v>
      </c>
      <c r="E8" s="15" t="s">
        <v>70</v>
      </c>
      <c r="I8" s="15" t="s">
        <v>71</v>
      </c>
      <c r="J8" s="15" t="s">
        <v>73</v>
      </c>
      <c r="L8" s="15">
        <v>22.68</v>
      </c>
      <c r="O8" s="15" t="s">
        <v>125</v>
      </c>
      <c r="P8" s="16">
        <v>44564</v>
      </c>
      <c r="Q8" s="29">
        <v>2.536</v>
      </c>
      <c r="R8" s="29">
        <v>0.2</v>
      </c>
      <c r="S8" s="26"/>
      <c r="T8" s="18"/>
      <c r="U8" s="37">
        <v>44469</v>
      </c>
      <c r="V8" s="15">
        <v>0.2414</v>
      </c>
      <c r="W8" s="16">
        <v>44477</v>
      </c>
      <c r="X8" s="15">
        <v>0.49070000000000003</v>
      </c>
      <c r="Y8" s="15">
        <f t="shared" si="0"/>
        <v>0.24930000000000002</v>
      </c>
      <c r="Z8" s="15">
        <v>0.50249999999999995</v>
      </c>
      <c r="AA8" s="40">
        <f t="shared" si="1"/>
        <v>0.26109999999999994</v>
      </c>
      <c r="AB8" s="40">
        <f t="shared" si="2"/>
        <v>1.1799999999999922E-2</v>
      </c>
      <c r="AC8" s="58">
        <v>8.1795304116398597</v>
      </c>
      <c r="AD8" s="59">
        <f t="shared" si="3"/>
        <v>360.64948904937654</v>
      </c>
    </row>
    <row r="9" spans="1:30" s="15" customFormat="1" x14ac:dyDescent="0.25">
      <c r="A9" s="13" t="s">
        <v>67</v>
      </c>
      <c r="B9" s="13" t="s">
        <v>81</v>
      </c>
      <c r="C9" s="14" t="s">
        <v>61</v>
      </c>
      <c r="D9" s="15" t="s">
        <v>69</v>
      </c>
      <c r="E9" s="15" t="s">
        <v>70</v>
      </c>
      <c r="I9" s="15" t="s">
        <v>71</v>
      </c>
      <c r="J9" s="15" t="s">
        <v>73</v>
      </c>
      <c r="L9" s="15">
        <v>11.589999999999996</v>
      </c>
      <c r="O9" s="15" t="s">
        <v>125</v>
      </c>
      <c r="P9" s="16">
        <v>44564</v>
      </c>
      <c r="Q9" s="29">
        <v>3.5579999999999998</v>
      </c>
      <c r="R9" s="29">
        <v>0.2</v>
      </c>
      <c r="S9" s="26"/>
      <c r="T9" s="18"/>
      <c r="U9" s="37">
        <v>44469</v>
      </c>
      <c r="V9" s="15">
        <v>0.24129999999999999</v>
      </c>
      <c r="W9" s="16">
        <v>44477</v>
      </c>
      <c r="X9" s="15">
        <v>0.31969999999999998</v>
      </c>
      <c r="Y9" s="15">
        <f t="shared" si="0"/>
        <v>7.8399999999999997E-2</v>
      </c>
      <c r="Z9" s="15">
        <v>0.3251</v>
      </c>
      <c r="AA9" s="40">
        <f t="shared" si="1"/>
        <v>8.3800000000000013E-2</v>
      </c>
      <c r="AB9" s="40">
        <f t="shared" si="2"/>
        <v>5.4000000000000159E-3</v>
      </c>
      <c r="AC9" s="58">
        <v>1.2809285652988016</v>
      </c>
      <c r="AD9" s="59">
        <f t="shared" si="3"/>
        <v>110.52015231223486</v>
      </c>
    </row>
    <row r="10" spans="1:30" s="15" customFormat="1" x14ac:dyDescent="0.25">
      <c r="A10" s="13" t="s">
        <v>68</v>
      </c>
      <c r="B10" s="13" t="s">
        <v>82</v>
      </c>
      <c r="C10" s="14" t="s">
        <v>61</v>
      </c>
      <c r="D10" s="15" t="s">
        <v>69</v>
      </c>
      <c r="E10" s="15" t="s">
        <v>70</v>
      </c>
      <c r="I10" s="15" t="s">
        <v>71</v>
      </c>
      <c r="J10" s="15" t="s">
        <v>73</v>
      </c>
      <c r="L10" s="38">
        <v>77.490000000000009</v>
      </c>
      <c r="O10" s="15" t="s">
        <v>127</v>
      </c>
      <c r="P10" s="16">
        <v>44564</v>
      </c>
      <c r="Q10" s="29">
        <v>2.6760000000000002</v>
      </c>
      <c r="R10" s="29">
        <v>0.2</v>
      </c>
      <c r="S10" s="26"/>
      <c r="T10" s="18"/>
      <c r="U10" s="37">
        <v>44469</v>
      </c>
      <c r="V10" s="15">
        <v>0.2404</v>
      </c>
      <c r="W10" s="16">
        <v>44477</v>
      </c>
      <c r="X10" s="15">
        <v>0.24160000000000001</v>
      </c>
      <c r="Y10" s="15">
        <f t="shared" si="0"/>
        <v>1.2000000000000066E-3</v>
      </c>
      <c r="Z10" s="15">
        <v>0.24249999999999999</v>
      </c>
      <c r="AA10" s="40">
        <f t="shared" si="1"/>
        <v>2.0999999999999908E-3</v>
      </c>
      <c r="AB10" s="40">
        <f t="shared" si="2"/>
        <v>8.9999999999998415E-4</v>
      </c>
      <c r="AC10" s="58">
        <v>0.35545825382283852</v>
      </c>
      <c r="AD10" s="59">
        <f t="shared" si="3"/>
        <v>4.5871500041661957</v>
      </c>
    </row>
    <row r="11" spans="1:30" s="15" customFormat="1" x14ac:dyDescent="0.25">
      <c r="A11" s="13" t="s">
        <v>30</v>
      </c>
      <c r="B11" s="13" t="s">
        <v>83</v>
      </c>
      <c r="C11" s="14" t="s">
        <v>61</v>
      </c>
      <c r="D11" s="15" t="s">
        <v>69</v>
      </c>
      <c r="E11" s="15" t="s">
        <v>70</v>
      </c>
      <c r="I11" s="15" t="s">
        <v>71</v>
      </c>
      <c r="J11" s="15" t="s">
        <v>73</v>
      </c>
      <c r="L11" s="38">
        <v>187.25</v>
      </c>
      <c r="O11" s="15" t="s">
        <v>127</v>
      </c>
      <c r="P11" s="16">
        <v>44564</v>
      </c>
      <c r="Q11" s="29">
        <v>5.4649999999999999</v>
      </c>
      <c r="R11" s="29">
        <v>0.2</v>
      </c>
      <c r="S11" s="26"/>
      <c r="T11" s="18"/>
      <c r="U11" s="37">
        <v>44469</v>
      </c>
      <c r="V11" s="15">
        <v>0.2442</v>
      </c>
      <c r="W11" s="16">
        <v>44477</v>
      </c>
      <c r="X11" s="15">
        <v>0.24560000000000001</v>
      </c>
      <c r="Y11" s="15">
        <f t="shared" si="0"/>
        <v>1.4000000000000123E-3</v>
      </c>
      <c r="Z11" s="15">
        <v>0.24709999999999999</v>
      </c>
      <c r="AA11" s="40">
        <f t="shared" si="1"/>
        <v>2.8999999999999859E-3</v>
      </c>
      <c r="AB11" s="40">
        <f t="shared" si="2"/>
        <v>1.4999999999999736E-3</v>
      </c>
      <c r="AC11" s="58">
        <v>1.046437323968445</v>
      </c>
      <c r="AD11" s="59">
        <f t="shared" si="3"/>
        <v>5.5884503282693991</v>
      </c>
    </row>
    <row r="12" spans="1:30" s="15" customFormat="1" x14ac:dyDescent="0.25">
      <c r="A12" s="13" t="s">
        <v>31</v>
      </c>
      <c r="B12" s="13" t="s">
        <v>84</v>
      </c>
      <c r="C12" s="14" t="s">
        <v>61</v>
      </c>
      <c r="D12" s="15" t="s">
        <v>69</v>
      </c>
      <c r="E12" s="15" t="s">
        <v>70</v>
      </c>
      <c r="I12" s="15" t="s">
        <v>71</v>
      </c>
      <c r="J12" s="15" t="s">
        <v>73</v>
      </c>
      <c r="L12" s="38">
        <v>59.59</v>
      </c>
      <c r="O12" s="15" t="s">
        <v>127</v>
      </c>
      <c r="P12" s="16">
        <v>44564</v>
      </c>
      <c r="Q12" s="29">
        <v>5.6550000000000002</v>
      </c>
      <c r="R12" s="29">
        <v>0.2</v>
      </c>
      <c r="S12" s="26"/>
      <c r="T12" s="18"/>
      <c r="U12" s="37">
        <v>44469</v>
      </c>
      <c r="V12" s="15">
        <v>0.2402</v>
      </c>
      <c r="W12" s="16">
        <v>44477</v>
      </c>
      <c r="X12" s="15">
        <v>0.24030000000000001</v>
      </c>
      <c r="Y12" s="15">
        <f t="shared" si="0"/>
        <v>1.0000000000001674E-4</v>
      </c>
      <c r="Z12" s="15">
        <v>0.2409</v>
      </c>
      <c r="AA12" s="40">
        <f t="shared" si="1"/>
        <v>7.0000000000000617E-4</v>
      </c>
      <c r="AB12" s="40">
        <f t="shared" si="2"/>
        <v>5.9999999999998943E-4</v>
      </c>
      <c r="AC12" s="58">
        <v>0.39719240842078224</v>
      </c>
      <c r="AD12" s="59">
        <f t="shared" si="3"/>
        <v>6.6654205138577316</v>
      </c>
    </row>
    <row r="13" spans="1:30" s="15" customFormat="1" x14ac:dyDescent="0.25">
      <c r="A13" s="13" t="s">
        <v>32</v>
      </c>
      <c r="B13" s="13" t="s">
        <v>85</v>
      </c>
      <c r="C13" s="14" t="s">
        <v>61</v>
      </c>
      <c r="D13" s="15" t="s">
        <v>69</v>
      </c>
      <c r="E13" s="15" t="s">
        <v>70</v>
      </c>
      <c r="I13" s="15" t="s">
        <v>71</v>
      </c>
      <c r="J13" s="15" t="s">
        <v>73</v>
      </c>
      <c r="L13" s="38">
        <v>134.51</v>
      </c>
      <c r="O13" s="15" t="s">
        <v>127</v>
      </c>
      <c r="P13" s="16">
        <v>44564</v>
      </c>
      <c r="Q13" s="29">
        <v>2.3130000000000002</v>
      </c>
      <c r="R13" s="29">
        <v>0.2</v>
      </c>
      <c r="S13" s="26"/>
      <c r="T13" s="18"/>
      <c r="U13" s="37">
        <v>44469</v>
      </c>
      <c r="V13" s="15">
        <v>0.2412</v>
      </c>
      <c r="W13" s="16">
        <v>44477</v>
      </c>
      <c r="X13" s="15">
        <v>0.24179999999999999</v>
      </c>
      <c r="Y13" s="15">
        <f t="shared" si="0"/>
        <v>5.9999999999998943E-4</v>
      </c>
      <c r="Z13" s="15">
        <v>0.24249999999999999</v>
      </c>
      <c r="AA13" s="40">
        <f t="shared" si="1"/>
        <v>1.2999999999999956E-3</v>
      </c>
      <c r="AB13" s="40">
        <f t="shared" si="2"/>
        <v>7.0000000000000617E-4</v>
      </c>
      <c r="AC13" s="58">
        <v>0.33234237884337697</v>
      </c>
      <c r="AD13" s="59">
        <f t="shared" si="3"/>
        <v>2.4707633547199239</v>
      </c>
    </row>
    <row r="14" spans="1:30" s="15" customFormat="1" x14ac:dyDescent="0.25">
      <c r="A14" s="13" t="s">
        <v>33</v>
      </c>
      <c r="B14" s="13" t="s">
        <v>86</v>
      </c>
      <c r="C14" s="14" t="s">
        <v>61</v>
      </c>
      <c r="D14" s="15" t="s">
        <v>69</v>
      </c>
      <c r="E14" s="15" t="s">
        <v>70</v>
      </c>
      <c r="I14" s="15" t="s">
        <v>71</v>
      </c>
      <c r="J14" s="15" t="s">
        <v>73</v>
      </c>
      <c r="L14" s="38">
        <v>117.22999999999999</v>
      </c>
      <c r="O14" s="15" t="s">
        <v>127</v>
      </c>
      <c r="P14" s="16">
        <v>44564</v>
      </c>
      <c r="Q14" s="29">
        <v>2.532</v>
      </c>
      <c r="R14" s="29">
        <v>0.2</v>
      </c>
      <c r="S14" s="26"/>
      <c r="T14" s="18"/>
      <c r="U14" s="37">
        <v>44469</v>
      </c>
      <c r="V14" s="15">
        <v>0.2407</v>
      </c>
      <c r="W14" s="16">
        <v>44477</v>
      </c>
      <c r="X14" s="15">
        <v>0.24160000000000001</v>
      </c>
      <c r="Y14" s="15">
        <f t="shared" si="0"/>
        <v>9.000000000000119E-4</v>
      </c>
      <c r="Z14" s="15">
        <v>0.2424</v>
      </c>
      <c r="AA14" s="40">
        <f t="shared" si="1"/>
        <v>1.7000000000000071E-3</v>
      </c>
      <c r="AB14" s="40">
        <f t="shared" si="2"/>
        <v>7.9999999999999516E-4</v>
      </c>
      <c r="AC14" s="58">
        <v>0.33481118985762565</v>
      </c>
      <c r="AD14" s="59">
        <f t="shared" si="3"/>
        <v>2.8560197036392192</v>
      </c>
    </row>
    <row r="15" spans="1:30" s="15" customFormat="1" x14ac:dyDescent="0.25">
      <c r="A15" s="13" t="s">
        <v>45</v>
      </c>
      <c r="B15" s="13" t="s">
        <v>87</v>
      </c>
      <c r="C15" s="14" t="s">
        <v>61</v>
      </c>
      <c r="D15" s="15" t="s">
        <v>69</v>
      </c>
      <c r="E15" s="15" t="s">
        <v>70</v>
      </c>
      <c r="I15" s="15" t="s">
        <v>71</v>
      </c>
      <c r="J15" s="15" t="s">
        <v>73</v>
      </c>
      <c r="L15" s="38">
        <v>333.45</v>
      </c>
      <c r="O15" s="15" t="s">
        <v>127</v>
      </c>
      <c r="P15" s="16">
        <v>44564</v>
      </c>
      <c r="Q15" s="29">
        <v>1.7609999999999999</v>
      </c>
      <c r="R15" s="29">
        <v>0.2</v>
      </c>
      <c r="S15" s="26"/>
      <c r="T15" s="18"/>
      <c r="U15" s="37">
        <v>44469</v>
      </c>
      <c r="V15" s="15">
        <v>0.24099999999999999</v>
      </c>
      <c r="W15" s="16">
        <v>44477</v>
      </c>
      <c r="X15" s="15">
        <v>0.24249999999999999</v>
      </c>
      <c r="Y15" s="15">
        <f t="shared" si="0"/>
        <v>1.5000000000000013E-3</v>
      </c>
      <c r="Z15" s="15">
        <v>0.24329999999999999</v>
      </c>
      <c r="AA15" s="40">
        <f t="shared" si="1"/>
        <v>2.2999999999999965E-3</v>
      </c>
      <c r="AB15" s="40">
        <f t="shared" si="2"/>
        <v>7.9999999999999516E-4</v>
      </c>
      <c r="AC15" s="58">
        <v>0.49779418859739377</v>
      </c>
      <c r="AD15" s="59">
        <f t="shared" si="3"/>
        <v>1.4928600647695121</v>
      </c>
    </row>
    <row r="16" spans="1:30" s="15" customFormat="1" x14ac:dyDescent="0.25">
      <c r="A16" s="13" t="s">
        <v>46</v>
      </c>
      <c r="B16" s="13" t="s">
        <v>88</v>
      </c>
      <c r="C16" s="14" t="s">
        <v>61</v>
      </c>
      <c r="D16" s="15" t="s">
        <v>69</v>
      </c>
      <c r="E16" s="15" t="s">
        <v>70</v>
      </c>
      <c r="I16" s="15" t="s">
        <v>71</v>
      </c>
      <c r="J16" s="15" t="s">
        <v>73</v>
      </c>
      <c r="L16" s="38">
        <v>318</v>
      </c>
      <c r="O16" s="15" t="s">
        <v>127</v>
      </c>
      <c r="P16" s="16">
        <v>44564</v>
      </c>
      <c r="Q16" s="29">
        <v>2.0049999999999999</v>
      </c>
      <c r="R16" s="29">
        <v>0.2</v>
      </c>
      <c r="S16" s="26"/>
      <c r="T16" s="18"/>
      <c r="U16" s="37">
        <v>44469</v>
      </c>
      <c r="V16" s="15">
        <v>0.24160000000000001</v>
      </c>
      <c r="W16" s="16">
        <v>44477</v>
      </c>
      <c r="X16" s="15">
        <v>0.24329999999999999</v>
      </c>
      <c r="Y16" s="15">
        <f t="shared" si="0"/>
        <v>1.6999999999999793E-3</v>
      </c>
      <c r="Z16" s="15">
        <v>0.2442</v>
      </c>
      <c r="AA16" s="40">
        <f t="shared" si="1"/>
        <v>2.5999999999999912E-3</v>
      </c>
      <c r="AB16" s="40">
        <f t="shared" si="2"/>
        <v>9.000000000000119E-4</v>
      </c>
      <c r="AC16" s="58">
        <v>0.47710769568542255</v>
      </c>
      <c r="AD16" s="59">
        <f t="shared" si="3"/>
        <v>1.5003386656774294</v>
      </c>
    </row>
    <row r="17" spans="1:30" s="15" customFormat="1" x14ac:dyDescent="0.25">
      <c r="A17" s="13" t="s">
        <v>44</v>
      </c>
      <c r="B17" s="13" t="s">
        <v>89</v>
      </c>
      <c r="C17" s="14" t="s">
        <v>61</v>
      </c>
      <c r="D17" s="15" t="s">
        <v>69</v>
      </c>
      <c r="E17" s="15" t="s">
        <v>70</v>
      </c>
      <c r="I17" s="15" t="s">
        <v>71</v>
      </c>
      <c r="J17" s="15" t="s">
        <v>73</v>
      </c>
      <c r="L17" s="38">
        <v>293.42</v>
      </c>
      <c r="O17" s="15" t="s">
        <v>127</v>
      </c>
      <c r="P17" s="16">
        <v>44564</v>
      </c>
      <c r="Q17" s="29">
        <v>1.5109999999999999</v>
      </c>
      <c r="R17" s="29">
        <v>0.2</v>
      </c>
      <c r="S17" s="26"/>
      <c r="T17" s="18"/>
      <c r="U17" s="37">
        <v>44469</v>
      </c>
      <c r="V17" s="15">
        <v>0.24</v>
      </c>
      <c r="W17" s="16">
        <v>44477</v>
      </c>
      <c r="X17" s="15">
        <v>0.24360000000000001</v>
      </c>
      <c r="Y17" s="15">
        <f t="shared" si="0"/>
        <v>3.6000000000000199E-3</v>
      </c>
      <c r="Z17" s="15">
        <v>0.2445</v>
      </c>
      <c r="AA17" s="40">
        <f t="shared" si="1"/>
        <v>4.500000000000004E-3</v>
      </c>
      <c r="AB17" s="40">
        <f t="shared" si="2"/>
        <v>8.9999999999998415E-4</v>
      </c>
      <c r="AC17" s="58">
        <v>0.75074101119692438</v>
      </c>
      <c r="AD17" s="59">
        <f t="shared" si="3"/>
        <v>2.5585884097775349</v>
      </c>
    </row>
    <row r="18" spans="1:30" s="15" customFormat="1" x14ac:dyDescent="0.25">
      <c r="A18" s="13" t="s">
        <v>43</v>
      </c>
      <c r="B18" s="13" t="s">
        <v>90</v>
      </c>
      <c r="C18" s="14" t="s">
        <v>61</v>
      </c>
      <c r="D18" s="15" t="s">
        <v>69</v>
      </c>
      <c r="E18" s="15" t="s">
        <v>70</v>
      </c>
      <c r="I18" s="15" t="s">
        <v>71</v>
      </c>
      <c r="J18" s="15" t="s">
        <v>73</v>
      </c>
      <c r="L18" s="38">
        <v>341.46</v>
      </c>
      <c r="O18" s="15" t="s">
        <v>127</v>
      </c>
      <c r="P18" s="16">
        <v>44564</v>
      </c>
      <c r="Q18" s="29">
        <v>1.746</v>
      </c>
      <c r="R18" s="29">
        <v>0.2</v>
      </c>
      <c r="S18" s="26"/>
      <c r="T18" s="18"/>
      <c r="U18" s="37">
        <v>44469</v>
      </c>
      <c r="V18" s="15">
        <v>0.2407</v>
      </c>
      <c r="W18" s="16">
        <v>44477</v>
      </c>
      <c r="X18" s="15">
        <v>0.2424</v>
      </c>
      <c r="Y18" s="15">
        <f t="shared" si="0"/>
        <v>1.7000000000000071E-3</v>
      </c>
      <c r="Z18" s="15">
        <v>0.24310000000000001</v>
      </c>
      <c r="AA18" s="40">
        <f t="shared" si="1"/>
        <v>2.4000000000000132E-3</v>
      </c>
      <c r="AB18" s="40">
        <f t="shared" si="2"/>
        <v>7.0000000000000617E-4</v>
      </c>
      <c r="AC18" s="58">
        <v>0.58988878338277129</v>
      </c>
      <c r="AD18" s="59">
        <f t="shared" si="3"/>
        <v>1.72754871253667</v>
      </c>
    </row>
    <row r="19" spans="1:30" s="15" customFormat="1" x14ac:dyDescent="0.25">
      <c r="A19" s="13" t="s">
        <v>34</v>
      </c>
      <c r="B19" s="13" t="s">
        <v>91</v>
      </c>
      <c r="C19" s="14" t="s">
        <v>61</v>
      </c>
      <c r="D19" s="15" t="s">
        <v>69</v>
      </c>
      <c r="E19" s="15" t="s">
        <v>70</v>
      </c>
      <c r="I19" s="15" t="s">
        <v>71</v>
      </c>
      <c r="J19" s="15" t="s">
        <v>73</v>
      </c>
      <c r="L19" s="38">
        <v>335.95000000000005</v>
      </c>
      <c r="O19" s="15" t="s">
        <v>127</v>
      </c>
      <c r="P19" s="16">
        <v>44564</v>
      </c>
      <c r="Q19" s="29">
        <v>3.903</v>
      </c>
      <c r="R19" s="29">
        <v>0.2</v>
      </c>
      <c r="S19" s="26"/>
      <c r="T19" s="18"/>
      <c r="U19" s="37">
        <v>44469</v>
      </c>
      <c r="V19" s="15">
        <v>0.2397</v>
      </c>
      <c r="W19" s="16">
        <v>44477</v>
      </c>
      <c r="X19" s="15">
        <v>0.2422</v>
      </c>
      <c r="Y19" s="15">
        <f t="shared" si="0"/>
        <v>2.5000000000000022E-3</v>
      </c>
      <c r="Z19" s="15">
        <v>0.24299999999999999</v>
      </c>
      <c r="AA19" s="40">
        <f t="shared" si="1"/>
        <v>3.2999999999999974E-3</v>
      </c>
      <c r="AB19" s="40">
        <f t="shared" si="2"/>
        <v>7.9999999999999516E-4</v>
      </c>
      <c r="AC19" s="58">
        <v>0.41115945786763125</v>
      </c>
      <c r="AD19" s="59">
        <f t="shared" si="3"/>
        <v>1.2238709863599679</v>
      </c>
    </row>
    <row r="20" spans="1:30" s="15" customFormat="1" x14ac:dyDescent="0.25">
      <c r="A20" s="13" t="s">
        <v>35</v>
      </c>
      <c r="B20" s="13" t="s">
        <v>92</v>
      </c>
      <c r="C20" s="14" t="s">
        <v>61</v>
      </c>
      <c r="D20" s="15" t="s">
        <v>69</v>
      </c>
      <c r="E20" s="15" t="s">
        <v>70</v>
      </c>
      <c r="I20" s="15" t="s">
        <v>71</v>
      </c>
      <c r="J20" s="15" t="s">
        <v>73</v>
      </c>
      <c r="L20" s="38">
        <v>371.47</v>
      </c>
      <c r="O20" s="15" t="s">
        <v>127</v>
      </c>
      <c r="P20" s="16">
        <v>44564</v>
      </c>
      <c r="Q20" s="29">
        <v>46.533999999999999</v>
      </c>
      <c r="R20" s="29">
        <v>0.2</v>
      </c>
      <c r="S20" s="26"/>
      <c r="T20" s="18"/>
      <c r="U20" s="37">
        <v>44469</v>
      </c>
      <c r="V20" s="15">
        <v>0.24179999999999999</v>
      </c>
      <c r="W20" s="16">
        <v>44477</v>
      </c>
      <c r="X20" s="15">
        <v>0.24429999999999999</v>
      </c>
      <c r="Y20" s="15">
        <f t="shared" si="0"/>
        <v>2.5000000000000022E-3</v>
      </c>
      <c r="Z20" s="15">
        <v>0.24510000000000001</v>
      </c>
      <c r="AA20" s="40">
        <f t="shared" si="1"/>
        <v>3.3000000000000251E-3</v>
      </c>
      <c r="AB20" s="40">
        <f t="shared" si="2"/>
        <v>8.0000000000002292E-4</v>
      </c>
      <c r="AC20" s="58">
        <v>0.67181118278701879</v>
      </c>
      <c r="AD20" s="59">
        <f t="shared" si="3"/>
        <v>1.8085206955797744</v>
      </c>
    </row>
    <row r="21" spans="1:30" s="15" customFormat="1" x14ac:dyDescent="0.25">
      <c r="A21" s="13" t="s">
        <v>36</v>
      </c>
      <c r="B21" s="13" t="s">
        <v>93</v>
      </c>
      <c r="C21" s="14" t="s">
        <v>61</v>
      </c>
      <c r="D21" s="15" t="s">
        <v>69</v>
      </c>
      <c r="E21" s="15" t="s">
        <v>70</v>
      </c>
      <c r="I21" s="15" t="s">
        <v>71</v>
      </c>
      <c r="J21" s="15" t="s">
        <v>73</v>
      </c>
      <c r="L21" s="38">
        <v>505.32000000000005</v>
      </c>
      <c r="O21" s="15" t="s">
        <v>127</v>
      </c>
      <c r="P21" s="16">
        <v>44567</v>
      </c>
      <c r="Q21" s="29">
        <v>5.1909999999999998</v>
      </c>
      <c r="R21" s="29">
        <v>0.2</v>
      </c>
      <c r="S21" s="26"/>
      <c r="T21" s="18"/>
      <c r="U21" s="37">
        <v>44469</v>
      </c>
      <c r="V21" s="15">
        <v>0.2407</v>
      </c>
      <c r="W21" s="16">
        <v>44477</v>
      </c>
      <c r="X21" s="15">
        <v>0.33110000000000001</v>
      </c>
      <c r="Y21" s="15">
        <f t="shared" si="0"/>
        <v>9.0400000000000008E-2</v>
      </c>
      <c r="Z21" s="15">
        <v>0.33629999999999999</v>
      </c>
      <c r="AA21" s="40">
        <f t="shared" si="1"/>
        <v>9.5599999999999991E-2</v>
      </c>
      <c r="AB21" s="40">
        <f t="shared" si="2"/>
        <v>5.1999999999999824E-3</v>
      </c>
      <c r="AC21" s="58">
        <v>8.47656660188572</v>
      </c>
      <c r="AD21" s="59">
        <f t="shared" si="3"/>
        <v>16.774650918003875</v>
      </c>
    </row>
    <row r="22" spans="1:30" s="15" customFormat="1" x14ac:dyDescent="0.25">
      <c r="A22" s="13" t="s">
        <v>37</v>
      </c>
      <c r="B22" s="13" t="s">
        <v>94</v>
      </c>
      <c r="C22" s="14" t="s">
        <v>61</v>
      </c>
      <c r="D22" s="15" t="s">
        <v>69</v>
      </c>
      <c r="E22" s="15" t="s">
        <v>70</v>
      </c>
      <c r="I22" s="15" t="s">
        <v>71</v>
      </c>
      <c r="J22" s="15" t="s">
        <v>73</v>
      </c>
      <c r="L22" s="38">
        <v>406.95000000000005</v>
      </c>
      <c r="O22" s="15" t="s">
        <v>127</v>
      </c>
      <c r="P22" s="16">
        <v>44564</v>
      </c>
      <c r="Q22" s="29">
        <v>2.089</v>
      </c>
      <c r="R22" s="29">
        <v>0.2</v>
      </c>
      <c r="S22" s="26"/>
      <c r="T22" s="18"/>
      <c r="U22" s="37">
        <v>44469</v>
      </c>
      <c r="V22" s="15">
        <v>0.2387</v>
      </c>
      <c r="W22" s="16">
        <v>44477</v>
      </c>
      <c r="X22" s="15">
        <v>0.2389</v>
      </c>
      <c r="Y22" s="15">
        <f t="shared" si="0"/>
        <v>2.0000000000000573E-4</v>
      </c>
      <c r="Z22" s="15">
        <v>0.23949999999999999</v>
      </c>
      <c r="AA22" s="40">
        <f t="shared" si="1"/>
        <v>7.9999999999999516E-4</v>
      </c>
      <c r="AB22" s="40">
        <f t="shared" si="2"/>
        <v>5.9999999999998943E-4</v>
      </c>
      <c r="AC22" s="58">
        <v>0.23127367916880659</v>
      </c>
      <c r="AD22" s="59">
        <f t="shared" si="3"/>
        <v>0.56830981488833165</v>
      </c>
    </row>
    <row r="23" spans="1:30" s="15" customFormat="1" x14ac:dyDescent="0.25">
      <c r="A23" s="13" t="s">
        <v>38</v>
      </c>
      <c r="B23" s="13" t="s">
        <v>95</v>
      </c>
      <c r="C23" s="14" t="s">
        <v>61</v>
      </c>
      <c r="D23" s="15" t="s">
        <v>69</v>
      </c>
      <c r="E23" s="15" t="s">
        <v>70</v>
      </c>
      <c r="I23" s="15" t="s">
        <v>71</v>
      </c>
      <c r="J23" s="15" t="s">
        <v>73</v>
      </c>
      <c r="L23" s="38">
        <v>361.8</v>
      </c>
      <c r="O23" s="15" t="s">
        <v>127</v>
      </c>
      <c r="P23" s="16">
        <v>44564</v>
      </c>
      <c r="Q23" s="29">
        <v>1.464</v>
      </c>
      <c r="R23" s="29">
        <v>0.2</v>
      </c>
      <c r="S23" s="26"/>
      <c r="T23" s="18"/>
      <c r="U23" s="37">
        <v>44469</v>
      </c>
      <c r="V23" s="15">
        <v>0.23780000000000001</v>
      </c>
      <c r="W23" s="16">
        <v>44477</v>
      </c>
      <c r="X23" s="15">
        <v>0.23899999999999999</v>
      </c>
      <c r="Y23" s="15">
        <f t="shared" si="0"/>
        <v>1.1999999999999789E-3</v>
      </c>
      <c r="Z23" s="15">
        <v>0.23960000000000001</v>
      </c>
      <c r="AA23" s="40">
        <f t="shared" si="1"/>
        <v>1.799999999999996E-3</v>
      </c>
      <c r="AB23" s="40">
        <f t="shared" si="2"/>
        <v>6.0000000000001719E-4</v>
      </c>
      <c r="AC23" s="58">
        <v>0.34429548199145893</v>
      </c>
      <c r="AD23" s="59">
        <f t="shared" si="3"/>
        <v>0.95161824762702851</v>
      </c>
    </row>
    <row r="24" spans="1:30" s="15" customFormat="1" x14ac:dyDescent="0.25">
      <c r="A24" s="13" t="s">
        <v>62</v>
      </c>
      <c r="B24" s="13" t="s">
        <v>96</v>
      </c>
      <c r="C24" s="14" t="s">
        <v>61</v>
      </c>
      <c r="D24" s="15" t="s">
        <v>69</v>
      </c>
      <c r="E24" s="15" t="s">
        <v>70</v>
      </c>
      <c r="I24" s="15" t="s">
        <v>71</v>
      </c>
      <c r="J24" s="15" t="s">
        <v>73</v>
      </c>
      <c r="L24" s="38">
        <v>240.43</v>
      </c>
      <c r="O24" s="15" t="s">
        <v>127</v>
      </c>
      <c r="P24" s="16">
        <v>44564</v>
      </c>
      <c r="Q24" s="29">
        <v>9.1790000000000003</v>
      </c>
      <c r="R24" s="29">
        <v>0.2</v>
      </c>
      <c r="S24" s="26"/>
      <c r="T24" s="18"/>
      <c r="U24" s="37">
        <v>44469</v>
      </c>
      <c r="V24" s="15">
        <v>0.24310000000000001</v>
      </c>
      <c r="W24" s="16">
        <v>44477</v>
      </c>
      <c r="X24" s="15">
        <v>0.37830000000000003</v>
      </c>
      <c r="Y24" s="15">
        <f t="shared" si="0"/>
        <v>0.13520000000000001</v>
      </c>
      <c r="Z24" s="15">
        <v>0.38179999999999997</v>
      </c>
      <c r="AA24" s="40">
        <f t="shared" si="1"/>
        <v>0.13869999999999996</v>
      </c>
      <c r="AB24" s="40">
        <f t="shared" si="2"/>
        <v>3.4999999999999476E-3</v>
      </c>
      <c r="AC24" s="58">
        <v>12.42059499105352</v>
      </c>
      <c r="AD24" s="59">
        <f t="shared" si="3"/>
        <v>51.659921769552547</v>
      </c>
    </row>
    <row r="25" spans="1:30" s="15" customFormat="1" x14ac:dyDescent="0.25">
      <c r="A25" s="13" t="s">
        <v>40</v>
      </c>
      <c r="B25" s="13" t="s">
        <v>97</v>
      </c>
      <c r="C25" s="14" t="s">
        <v>61</v>
      </c>
      <c r="D25" s="15" t="s">
        <v>69</v>
      </c>
      <c r="E25" s="15" t="s">
        <v>70</v>
      </c>
      <c r="I25" s="15" t="s">
        <v>71</v>
      </c>
      <c r="J25" s="15" t="s">
        <v>73</v>
      </c>
      <c r="L25" s="38">
        <v>257.18</v>
      </c>
      <c r="O25" s="15" t="s">
        <v>127</v>
      </c>
      <c r="P25" s="16">
        <v>44564</v>
      </c>
      <c r="Q25" s="29">
        <v>12.625</v>
      </c>
      <c r="R25" s="29">
        <v>0.2</v>
      </c>
      <c r="S25" s="26"/>
      <c r="T25" s="18"/>
      <c r="U25" s="37">
        <v>44469</v>
      </c>
      <c r="V25" s="15">
        <v>0.2412</v>
      </c>
      <c r="W25" s="16">
        <v>44477</v>
      </c>
      <c r="X25" s="15">
        <v>0.377</v>
      </c>
      <c r="Y25" s="15">
        <f t="shared" si="0"/>
        <v>0.1358</v>
      </c>
      <c r="Z25" s="15">
        <v>0.38369999999999999</v>
      </c>
      <c r="AA25" s="40">
        <f t="shared" si="1"/>
        <v>0.14249999999999999</v>
      </c>
      <c r="AB25" s="40">
        <f t="shared" si="2"/>
        <v>6.6999999999999837E-3</v>
      </c>
      <c r="AC25" s="58">
        <v>12.917667659613238</v>
      </c>
      <c r="AD25" s="59">
        <f t="shared" si="3"/>
        <v>50.228119059076278</v>
      </c>
    </row>
    <row r="26" spans="1:30" s="15" customFormat="1" x14ac:dyDescent="0.25">
      <c r="A26" s="13" t="s">
        <v>51</v>
      </c>
      <c r="B26" s="13" t="s">
        <v>98</v>
      </c>
      <c r="C26" s="14" t="s">
        <v>61</v>
      </c>
      <c r="D26" s="15" t="s">
        <v>69</v>
      </c>
      <c r="E26" s="15" t="s">
        <v>70</v>
      </c>
      <c r="I26" s="15" t="s">
        <v>71</v>
      </c>
      <c r="J26" s="15" t="s">
        <v>73</v>
      </c>
      <c r="L26" s="38">
        <v>297.24</v>
      </c>
      <c r="O26" s="15" t="s">
        <v>127</v>
      </c>
      <c r="P26" s="16">
        <v>44564</v>
      </c>
      <c r="Q26" s="29">
        <v>12.997</v>
      </c>
      <c r="R26" s="29">
        <v>0.2</v>
      </c>
      <c r="S26" s="26"/>
      <c r="T26" s="18"/>
      <c r="U26" s="37">
        <v>44469</v>
      </c>
      <c r="V26" s="15">
        <v>0.24379999999999999</v>
      </c>
      <c r="W26" s="16">
        <v>44477</v>
      </c>
      <c r="X26" s="15">
        <v>0.26840000000000003</v>
      </c>
      <c r="Y26" s="15">
        <f t="shared" si="0"/>
        <v>2.4600000000000039E-2</v>
      </c>
      <c r="Z26" s="15">
        <v>0.2702</v>
      </c>
      <c r="AA26" s="40">
        <f t="shared" si="1"/>
        <v>2.6400000000000007E-2</v>
      </c>
      <c r="AB26" s="40">
        <f t="shared" si="2"/>
        <v>1.7999999999999683E-3</v>
      </c>
      <c r="AC26" s="58">
        <v>3.4720828614205299</v>
      </c>
      <c r="AD26" s="59">
        <f t="shared" si="3"/>
        <v>11.681075432043231</v>
      </c>
    </row>
    <row r="27" spans="1:30" s="15" customFormat="1" x14ac:dyDescent="0.25">
      <c r="A27" s="13" t="s">
        <v>49</v>
      </c>
      <c r="B27" s="13" t="s">
        <v>99</v>
      </c>
      <c r="C27" s="14" t="s">
        <v>61</v>
      </c>
      <c r="D27" s="15" t="s">
        <v>69</v>
      </c>
      <c r="E27" s="15" t="s">
        <v>70</v>
      </c>
      <c r="I27" s="15" t="s">
        <v>71</v>
      </c>
      <c r="J27" s="15" t="s">
        <v>73</v>
      </c>
      <c r="L27" s="38">
        <v>262.73</v>
      </c>
      <c r="O27" s="15" t="s">
        <v>127</v>
      </c>
      <c r="P27" s="16">
        <v>44564</v>
      </c>
      <c r="Q27" s="29">
        <v>12.868</v>
      </c>
      <c r="R27" s="29">
        <v>0.2</v>
      </c>
      <c r="S27" s="26"/>
      <c r="T27" s="18"/>
      <c r="U27" s="37">
        <v>44469</v>
      </c>
      <c r="V27" s="15">
        <v>0.2414</v>
      </c>
      <c r="W27" s="16">
        <v>44477</v>
      </c>
      <c r="X27" s="15">
        <v>0.25109999999999999</v>
      </c>
      <c r="Y27" s="15">
        <f t="shared" si="0"/>
        <v>9.6999999999999864E-3</v>
      </c>
      <c r="Z27" s="15">
        <v>0.25230000000000002</v>
      </c>
      <c r="AA27" s="40">
        <f t="shared" si="1"/>
        <v>1.0900000000000021E-2</v>
      </c>
      <c r="AB27" s="40">
        <f t="shared" si="2"/>
        <v>1.2000000000000344E-3</v>
      </c>
      <c r="AC27" s="58">
        <v>1.6843076180902734</v>
      </c>
      <c r="AD27" s="59">
        <f t="shared" si="3"/>
        <v>6.4107928979951785</v>
      </c>
    </row>
    <row r="28" spans="1:30" s="15" customFormat="1" x14ac:dyDescent="0.25">
      <c r="A28" s="13" t="s">
        <v>52</v>
      </c>
      <c r="B28" s="13" t="s">
        <v>100</v>
      </c>
      <c r="C28" s="14" t="s">
        <v>61</v>
      </c>
      <c r="D28" s="15" t="s">
        <v>69</v>
      </c>
      <c r="E28" s="15" t="s">
        <v>70</v>
      </c>
      <c r="I28" s="15" t="s">
        <v>71</v>
      </c>
      <c r="J28" s="15" t="s">
        <v>73</v>
      </c>
      <c r="L28" s="38">
        <v>272.58000000000004</v>
      </c>
      <c r="O28" s="15" t="s">
        <v>127</v>
      </c>
      <c r="P28" s="16">
        <v>44564</v>
      </c>
      <c r="Q28" s="29">
        <v>11.551</v>
      </c>
      <c r="R28" s="29">
        <v>0.2</v>
      </c>
      <c r="S28" s="26"/>
      <c r="T28" s="18"/>
      <c r="U28" s="37">
        <v>44469</v>
      </c>
      <c r="V28" s="15">
        <v>0.23980000000000001</v>
      </c>
      <c r="W28" s="16">
        <v>44477</v>
      </c>
      <c r="X28" s="15">
        <v>0.24579999999999999</v>
      </c>
      <c r="Y28" s="15">
        <f t="shared" si="0"/>
        <v>5.9999999999999776E-3</v>
      </c>
      <c r="Z28" s="15">
        <v>0.247</v>
      </c>
      <c r="AA28" s="40">
        <f t="shared" si="1"/>
        <v>7.1999999999999842E-3</v>
      </c>
      <c r="AB28" s="40">
        <f t="shared" si="2"/>
        <v>1.2000000000000066E-3</v>
      </c>
      <c r="AC28" s="58">
        <v>1.3097205793723499</v>
      </c>
      <c r="AD28" s="59">
        <f t="shared" si="3"/>
        <v>4.8049034388889487</v>
      </c>
    </row>
    <row r="29" spans="1:30" s="15" customFormat="1" x14ac:dyDescent="0.25">
      <c r="A29" s="13" t="s">
        <v>42</v>
      </c>
      <c r="B29" s="13" t="s">
        <v>101</v>
      </c>
      <c r="C29" s="14" t="s">
        <v>61</v>
      </c>
      <c r="D29" s="15" t="s">
        <v>69</v>
      </c>
      <c r="E29" s="15" t="s">
        <v>70</v>
      </c>
      <c r="I29" s="15" t="s">
        <v>71</v>
      </c>
      <c r="J29" s="15" t="s">
        <v>73</v>
      </c>
      <c r="L29" s="38">
        <v>223.25</v>
      </c>
      <c r="O29" s="15" t="s">
        <v>127</v>
      </c>
      <c r="P29" s="16">
        <v>44564</v>
      </c>
      <c r="Q29" s="29">
        <v>4.5220000000000002</v>
      </c>
      <c r="R29" s="29">
        <v>0.2</v>
      </c>
      <c r="S29" s="26"/>
      <c r="T29" s="18"/>
      <c r="U29" s="37">
        <v>44469</v>
      </c>
      <c r="V29" s="15">
        <v>0.24010000000000001</v>
      </c>
      <c r="W29" s="16">
        <v>44477</v>
      </c>
      <c r="X29" s="15">
        <v>0.2555</v>
      </c>
      <c r="Y29" s="15">
        <f t="shared" si="0"/>
        <v>1.5399999999999997E-2</v>
      </c>
      <c r="Z29" s="15">
        <v>0.25719999999999998</v>
      </c>
      <c r="AA29" s="40">
        <f t="shared" si="1"/>
        <v>1.7099999999999976E-2</v>
      </c>
      <c r="AB29" s="40">
        <f t="shared" si="2"/>
        <v>1.6999999999999793E-3</v>
      </c>
      <c r="AC29" s="58">
        <v>2.4792040459396865</v>
      </c>
      <c r="AD29" s="59">
        <f t="shared" si="3"/>
        <v>11.105057316639133</v>
      </c>
    </row>
    <row r="30" spans="1:30" s="15" customFormat="1" x14ac:dyDescent="0.25">
      <c r="A30" s="13" t="s">
        <v>50</v>
      </c>
      <c r="B30" s="13" t="s">
        <v>102</v>
      </c>
      <c r="C30" s="14" t="s">
        <v>61</v>
      </c>
      <c r="D30" s="15" t="s">
        <v>69</v>
      </c>
      <c r="E30" s="15" t="s">
        <v>70</v>
      </c>
      <c r="I30" s="15" t="s">
        <v>71</v>
      </c>
      <c r="J30" s="15" t="s">
        <v>73</v>
      </c>
      <c r="L30" s="38">
        <v>207.27</v>
      </c>
      <c r="O30" s="15" t="s">
        <v>127</v>
      </c>
      <c r="P30" s="16">
        <v>44564</v>
      </c>
      <c r="Q30" s="29">
        <v>4.4359999999999999</v>
      </c>
      <c r="R30" s="29">
        <v>0.2</v>
      </c>
      <c r="S30" s="26"/>
      <c r="T30" s="18"/>
      <c r="U30" s="37">
        <v>44469</v>
      </c>
      <c r="V30" s="15">
        <v>0.24149999999999999</v>
      </c>
      <c r="W30" s="16">
        <v>44477</v>
      </c>
      <c r="X30" s="15">
        <v>0.26729999999999998</v>
      </c>
      <c r="Y30" s="15">
        <f t="shared" si="0"/>
        <v>2.579999999999999E-2</v>
      </c>
      <c r="Z30" s="15">
        <v>0.26879999999999998</v>
      </c>
      <c r="AA30" s="40">
        <f t="shared" si="1"/>
        <v>2.7299999999999991E-2</v>
      </c>
      <c r="AB30" s="40">
        <f t="shared" si="2"/>
        <v>1.5000000000000013E-3</v>
      </c>
      <c r="AC30" s="58">
        <v>6.1584312598812998</v>
      </c>
      <c r="AD30" s="59">
        <f t="shared" si="3"/>
        <v>29.712120711541949</v>
      </c>
    </row>
    <row r="31" spans="1:30" s="15" customFormat="1" x14ac:dyDescent="0.25">
      <c r="A31" s="13" t="s">
        <v>41</v>
      </c>
      <c r="B31" s="13" t="s">
        <v>103</v>
      </c>
      <c r="C31" s="14" t="s">
        <v>61</v>
      </c>
      <c r="D31" s="15" t="s">
        <v>69</v>
      </c>
      <c r="E31" s="15" t="s">
        <v>70</v>
      </c>
      <c r="I31" s="15" t="s">
        <v>71</v>
      </c>
      <c r="J31" s="15" t="s">
        <v>73</v>
      </c>
      <c r="L31" s="38">
        <v>222.95000000000002</v>
      </c>
      <c r="O31" s="15" t="s">
        <v>127</v>
      </c>
      <c r="P31" s="16">
        <v>44564</v>
      </c>
      <c r="Q31" s="29">
        <v>13.108000000000001</v>
      </c>
      <c r="R31" s="29">
        <v>0.2</v>
      </c>
      <c r="S31" s="26"/>
      <c r="T31" s="18"/>
      <c r="U31" s="37">
        <v>44469</v>
      </c>
      <c r="V31" s="15">
        <v>0.2437</v>
      </c>
      <c r="W31" s="16">
        <v>44477</v>
      </c>
      <c r="X31" s="15">
        <v>0.252</v>
      </c>
      <c r="Y31" s="15">
        <f t="shared" si="0"/>
        <v>8.3000000000000018E-3</v>
      </c>
      <c r="Z31" s="15">
        <v>0.25330000000000003</v>
      </c>
      <c r="AA31" s="40">
        <f t="shared" si="1"/>
        <v>9.6000000000000252E-3</v>
      </c>
      <c r="AB31" s="40">
        <f t="shared" si="2"/>
        <v>1.3000000000000234E-3</v>
      </c>
      <c r="AC31" s="58">
        <v>1.4577906907522695</v>
      </c>
      <c r="AD31" s="59">
        <f t="shared" si="3"/>
        <v>6.5386440491243301</v>
      </c>
    </row>
    <row r="32" spans="1:30" s="15" customFormat="1" x14ac:dyDescent="0.25">
      <c r="A32" s="13" t="s">
        <v>47</v>
      </c>
      <c r="B32" s="13" t="s">
        <v>104</v>
      </c>
      <c r="C32" s="14" t="s">
        <v>61</v>
      </c>
      <c r="D32" s="15" t="s">
        <v>69</v>
      </c>
      <c r="E32" s="15" t="s">
        <v>70</v>
      </c>
      <c r="I32" s="15" t="s">
        <v>71</v>
      </c>
      <c r="J32" s="15" t="s">
        <v>73</v>
      </c>
      <c r="L32" s="38">
        <v>254.43999999999997</v>
      </c>
      <c r="O32" s="15" t="s">
        <v>127</v>
      </c>
      <c r="P32" s="16">
        <v>44564</v>
      </c>
      <c r="Q32" s="29">
        <v>12.442</v>
      </c>
      <c r="R32" s="29">
        <v>0.2</v>
      </c>
      <c r="S32" s="26"/>
      <c r="T32" s="18"/>
      <c r="U32" s="37">
        <v>44469</v>
      </c>
      <c r="V32" s="15">
        <v>0.2419</v>
      </c>
      <c r="W32" s="16">
        <v>44477</v>
      </c>
      <c r="X32" s="15">
        <v>0.33329999999999999</v>
      </c>
      <c r="Y32" s="15">
        <f t="shared" si="0"/>
        <v>9.1399999999999981E-2</v>
      </c>
      <c r="Z32" s="15">
        <v>0.33950000000000002</v>
      </c>
      <c r="AA32" s="40">
        <f t="shared" si="1"/>
        <v>9.760000000000002E-2</v>
      </c>
      <c r="AB32" s="40">
        <f t="shared" si="2"/>
        <v>6.2000000000000388E-3</v>
      </c>
      <c r="AC32" s="58">
        <v>10.503118006915519</v>
      </c>
      <c r="AD32" s="59">
        <f t="shared" si="3"/>
        <v>41.279350758196514</v>
      </c>
    </row>
    <row r="33" spans="1:30" s="15" customFormat="1" x14ac:dyDescent="0.25">
      <c r="A33" s="13" t="s">
        <v>39</v>
      </c>
      <c r="B33" s="13" t="s">
        <v>105</v>
      </c>
      <c r="C33" s="14" t="s">
        <v>61</v>
      </c>
      <c r="D33" s="15" t="s">
        <v>69</v>
      </c>
      <c r="E33" s="15" t="s">
        <v>70</v>
      </c>
      <c r="I33" s="15" t="s">
        <v>71</v>
      </c>
      <c r="J33" s="15" t="s">
        <v>73</v>
      </c>
      <c r="L33" s="38">
        <v>315.87000000000006</v>
      </c>
      <c r="O33" s="15" t="s">
        <v>127</v>
      </c>
      <c r="P33" s="16">
        <v>44564</v>
      </c>
      <c r="Q33" s="29">
        <v>12.977</v>
      </c>
      <c r="R33" s="29">
        <v>0.2</v>
      </c>
      <c r="S33" s="26"/>
      <c r="T33" s="18"/>
      <c r="U33" s="37">
        <v>44469</v>
      </c>
      <c r="V33" s="15">
        <v>0.24010000000000001</v>
      </c>
      <c r="W33" s="16">
        <v>44477</v>
      </c>
      <c r="X33" s="15">
        <v>0.26729999999999998</v>
      </c>
      <c r="Y33" s="15">
        <f t="shared" si="0"/>
        <v>2.7199999999999974E-2</v>
      </c>
      <c r="Z33" s="15">
        <v>0.26979999999999998</v>
      </c>
      <c r="AA33" s="40">
        <f t="shared" si="1"/>
        <v>2.9699999999999976E-2</v>
      </c>
      <c r="AB33" s="40">
        <f t="shared" si="2"/>
        <v>2.5000000000000022E-3</v>
      </c>
      <c r="AC33" s="58">
        <v>3.0083665576103797</v>
      </c>
      <c r="AD33" s="59">
        <f t="shared" si="3"/>
        <v>9.5240654624066217</v>
      </c>
    </row>
    <row r="34" spans="1:30" s="15" customFormat="1" x14ac:dyDescent="0.25">
      <c r="A34" s="13" t="s">
        <v>53</v>
      </c>
      <c r="B34" s="13" t="s">
        <v>106</v>
      </c>
      <c r="C34" s="14" t="s">
        <v>61</v>
      </c>
      <c r="D34" s="15" t="s">
        <v>69</v>
      </c>
      <c r="E34" s="15" t="s">
        <v>70</v>
      </c>
      <c r="I34" s="15" t="s">
        <v>71</v>
      </c>
      <c r="J34" s="15" t="s">
        <v>73</v>
      </c>
      <c r="L34" s="38">
        <v>213.57</v>
      </c>
      <c r="O34" s="15" t="s">
        <v>127</v>
      </c>
      <c r="P34" s="16">
        <v>44564</v>
      </c>
      <c r="Q34" s="29">
        <v>12.073</v>
      </c>
      <c r="R34" s="29">
        <v>0.2</v>
      </c>
      <c r="S34" s="26"/>
      <c r="T34" s="18"/>
      <c r="U34" s="37">
        <v>44469</v>
      </c>
      <c r="V34" s="15">
        <v>0.24249999999999999</v>
      </c>
      <c r="W34" s="16">
        <v>44477</v>
      </c>
      <c r="X34" s="15">
        <v>0.249</v>
      </c>
      <c r="Y34" s="15">
        <f t="shared" si="0"/>
        <v>6.5000000000000058E-3</v>
      </c>
      <c r="Z34" s="15">
        <v>0.25019999999999998</v>
      </c>
      <c r="AA34" s="40">
        <f t="shared" si="1"/>
        <v>7.6999999999999846E-3</v>
      </c>
      <c r="AB34" s="40">
        <f t="shared" si="2"/>
        <v>1.1999999999999789E-3</v>
      </c>
      <c r="AC34" s="58">
        <v>1.2189465182507433</v>
      </c>
      <c r="AD34" s="59">
        <f t="shared" si="3"/>
        <v>5.7074800685992573</v>
      </c>
    </row>
    <row r="35" spans="1:30" s="15" customFormat="1" x14ac:dyDescent="0.25">
      <c r="A35" s="13" t="s">
        <v>48</v>
      </c>
      <c r="B35" s="13" t="s">
        <v>107</v>
      </c>
      <c r="C35" s="14" t="s">
        <v>61</v>
      </c>
      <c r="D35" s="15" t="s">
        <v>69</v>
      </c>
      <c r="E35" s="15" t="s">
        <v>70</v>
      </c>
      <c r="I35" s="15" t="s">
        <v>71</v>
      </c>
      <c r="J35" s="15" t="s">
        <v>73</v>
      </c>
      <c r="L35" s="15">
        <v>279.39000000000004</v>
      </c>
      <c r="O35" s="15" t="s">
        <v>127</v>
      </c>
      <c r="P35" s="16">
        <v>44564</v>
      </c>
      <c r="Q35" s="29">
        <v>13.388</v>
      </c>
      <c r="R35" s="29">
        <v>0.2</v>
      </c>
      <c r="S35" s="26"/>
      <c r="T35" s="18"/>
      <c r="U35" s="37">
        <v>44469</v>
      </c>
      <c r="V35" s="15">
        <v>0.23849999999999999</v>
      </c>
      <c r="W35" s="16">
        <v>44477</v>
      </c>
      <c r="X35" s="15">
        <v>0.27850000000000003</v>
      </c>
      <c r="Y35" s="15">
        <f t="shared" si="0"/>
        <v>4.0000000000000036E-2</v>
      </c>
      <c r="Z35" s="15">
        <v>0.28160000000000002</v>
      </c>
      <c r="AA35" s="40">
        <f t="shared" si="1"/>
        <v>4.3100000000000027E-2</v>
      </c>
      <c r="AB35" s="40">
        <f t="shared" si="2"/>
        <v>3.0999999999999917E-3</v>
      </c>
      <c r="AC35" s="58">
        <v>4.05181995661607</v>
      </c>
      <c r="AD35" s="59">
        <f t="shared" si="3"/>
        <v>14.502380030123016</v>
      </c>
    </row>
    <row r="36" spans="1:30" s="15" customFormat="1" x14ac:dyDescent="0.25">
      <c r="A36" s="13" t="s">
        <v>21</v>
      </c>
      <c r="B36" s="13" t="s">
        <v>108</v>
      </c>
      <c r="C36" s="14" t="s">
        <v>61</v>
      </c>
      <c r="D36" s="15" t="s">
        <v>69</v>
      </c>
      <c r="E36" s="15" t="s">
        <v>70</v>
      </c>
      <c r="I36" s="15" t="s">
        <v>71</v>
      </c>
      <c r="J36" s="15" t="s">
        <v>73</v>
      </c>
      <c r="L36" s="15">
        <v>347.28999999999996</v>
      </c>
      <c r="O36" s="15" t="s">
        <v>127</v>
      </c>
      <c r="P36" s="16">
        <v>44564</v>
      </c>
      <c r="Q36" s="29">
        <v>2.1269999999999998</v>
      </c>
      <c r="R36" s="29">
        <v>0.2</v>
      </c>
      <c r="S36" s="26"/>
      <c r="T36" s="18"/>
      <c r="U36" s="37">
        <v>44469</v>
      </c>
      <c r="V36" s="15">
        <v>0.2397</v>
      </c>
      <c r="W36" s="16">
        <v>44477</v>
      </c>
      <c r="X36" s="15">
        <v>0.2409</v>
      </c>
      <c r="Y36" s="15">
        <f t="shared" si="0"/>
        <v>1.2000000000000066E-3</v>
      </c>
      <c r="Z36" s="15">
        <v>0.24179999999999999</v>
      </c>
      <c r="AA36" s="40">
        <f t="shared" si="1"/>
        <v>2.0999999999999908E-3</v>
      </c>
      <c r="AB36" s="40">
        <f t="shared" si="2"/>
        <v>8.9999999999998415E-4</v>
      </c>
      <c r="AC36" s="58">
        <v>0.38268099641422432</v>
      </c>
      <c r="AD36" s="59">
        <f t="shared" si="3"/>
        <v>1.1019061775871011</v>
      </c>
    </row>
    <row r="37" spans="1:30" s="15" customFormat="1" x14ac:dyDescent="0.25">
      <c r="A37" s="13" t="s">
        <v>22</v>
      </c>
      <c r="B37" s="13" t="s">
        <v>109</v>
      </c>
      <c r="C37" s="14" t="s">
        <v>61</v>
      </c>
      <c r="D37" s="15" t="s">
        <v>69</v>
      </c>
      <c r="E37" s="15" t="s">
        <v>70</v>
      </c>
      <c r="I37" s="15" t="s">
        <v>71</v>
      </c>
      <c r="J37" s="15" t="s">
        <v>73</v>
      </c>
      <c r="L37" s="15">
        <v>421.38</v>
      </c>
      <c r="O37" s="15" t="s">
        <v>127</v>
      </c>
      <c r="P37" s="16">
        <v>44564</v>
      </c>
      <c r="Q37" s="29">
        <v>1.3859999999999999</v>
      </c>
      <c r="R37" s="29">
        <v>0.2</v>
      </c>
      <c r="S37" s="26"/>
      <c r="T37" s="18"/>
      <c r="U37" s="37">
        <v>44469</v>
      </c>
      <c r="V37" s="15">
        <v>0.23849999999999999</v>
      </c>
      <c r="W37" s="16">
        <v>44477</v>
      </c>
      <c r="X37" s="15">
        <v>0.24679999999999999</v>
      </c>
      <c r="Y37" s="15">
        <f t="shared" si="0"/>
        <v>8.3000000000000018E-3</v>
      </c>
      <c r="Z37" s="15">
        <v>0.24660000000000001</v>
      </c>
      <c r="AA37" s="40">
        <f t="shared" si="1"/>
        <v>8.1000000000000238E-3</v>
      </c>
      <c r="AB37" s="40">
        <f t="shared" si="2"/>
        <v>-1.9999999999997797E-4</v>
      </c>
      <c r="AC37" s="58">
        <v>0.313369731685532</v>
      </c>
      <c r="AD37" s="59">
        <f t="shared" si="3"/>
        <v>0.74367490551410131</v>
      </c>
    </row>
    <row r="38" spans="1:30" s="15" customFormat="1" x14ac:dyDescent="0.25">
      <c r="A38" s="13" t="s">
        <v>23</v>
      </c>
      <c r="B38" s="13" t="s">
        <v>110</v>
      </c>
      <c r="C38" s="14" t="s">
        <v>61</v>
      </c>
      <c r="D38" s="15" t="s">
        <v>69</v>
      </c>
      <c r="E38" s="15" t="s">
        <v>70</v>
      </c>
      <c r="I38" s="15" t="s">
        <v>71</v>
      </c>
      <c r="J38" s="15" t="s">
        <v>73</v>
      </c>
      <c r="L38" s="15">
        <v>368.46</v>
      </c>
      <c r="O38" s="15" t="s">
        <v>127</v>
      </c>
      <c r="P38" s="16">
        <v>44564</v>
      </c>
      <c r="Q38" s="29">
        <v>1.5820000000000001</v>
      </c>
      <c r="R38" s="29">
        <v>0.2</v>
      </c>
      <c r="S38" s="26"/>
      <c r="T38" s="18"/>
      <c r="U38" s="37">
        <v>44469</v>
      </c>
      <c r="V38" s="15">
        <v>0.24199999999999999</v>
      </c>
      <c r="W38" s="16">
        <v>44477</v>
      </c>
      <c r="X38" s="15">
        <v>0.26140000000000002</v>
      </c>
      <c r="Y38" s="15">
        <f t="shared" si="0"/>
        <v>1.9400000000000028E-2</v>
      </c>
      <c r="Z38" s="15">
        <v>0.26229999999999998</v>
      </c>
      <c r="AA38" s="40">
        <f t="shared" si="1"/>
        <v>2.0299999999999985E-2</v>
      </c>
      <c r="AB38" s="40">
        <f t="shared" si="2"/>
        <v>8.9999999999995639E-4</v>
      </c>
      <c r="AC38" s="58">
        <v>3.1352131787203663</v>
      </c>
      <c r="AD38" s="59">
        <f t="shared" si="3"/>
        <v>8.5089648231025539</v>
      </c>
    </row>
    <row r="39" spans="1:30" s="15" customFormat="1" x14ac:dyDescent="0.25">
      <c r="A39" s="13" t="s">
        <v>24</v>
      </c>
      <c r="B39" s="13" t="s">
        <v>111</v>
      </c>
      <c r="C39" s="14" t="s">
        <v>61</v>
      </c>
      <c r="D39" s="15" t="s">
        <v>69</v>
      </c>
      <c r="E39" s="15" t="s">
        <v>70</v>
      </c>
      <c r="I39" s="15" t="s">
        <v>71</v>
      </c>
      <c r="J39" s="15" t="s">
        <v>73</v>
      </c>
      <c r="L39" s="15">
        <v>334.69</v>
      </c>
      <c r="O39" s="15" t="s">
        <v>127</v>
      </c>
      <c r="P39" s="16">
        <v>44564</v>
      </c>
      <c r="Q39" s="29">
        <v>1.643</v>
      </c>
      <c r="R39" s="29">
        <v>0.2</v>
      </c>
      <c r="S39" s="26"/>
      <c r="T39" s="18"/>
      <c r="U39" s="37">
        <v>44469</v>
      </c>
      <c r="V39" s="15">
        <v>0.2387</v>
      </c>
      <c r="W39" s="16">
        <v>44477</v>
      </c>
      <c r="X39" s="15">
        <v>0.26879999999999998</v>
      </c>
      <c r="Y39" s="15">
        <f t="shared" si="0"/>
        <v>3.0099999999999988E-2</v>
      </c>
      <c r="Z39" s="15">
        <v>0.26889999999999997</v>
      </c>
      <c r="AA39" s="40">
        <f t="shared" si="1"/>
        <v>3.0199999999999977E-2</v>
      </c>
      <c r="AB39" s="40">
        <f t="shared" si="2"/>
        <v>9.9999999999988987E-5</v>
      </c>
      <c r="AC39" s="58">
        <v>3.4862856316465263</v>
      </c>
      <c r="AD39" s="59">
        <f t="shared" si="3"/>
        <v>10.416461895026821</v>
      </c>
    </row>
    <row r="40" spans="1:30" s="15" customFormat="1" x14ac:dyDescent="0.25">
      <c r="A40" s="13" t="s">
        <v>25</v>
      </c>
      <c r="B40" s="13" t="s">
        <v>112</v>
      </c>
      <c r="C40" s="14" t="s">
        <v>61</v>
      </c>
      <c r="D40" s="15" t="s">
        <v>69</v>
      </c>
      <c r="E40" s="15" t="s">
        <v>70</v>
      </c>
      <c r="I40" s="15" t="s">
        <v>71</v>
      </c>
      <c r="J40" s="15" t="s">
        <v>73</v>
      </c>
      <c r="L40" s="15">
        <v>397.98999999999995</v>
      </c>
      <c r="O40" s="15" t="s">
        <v>127</v>
      </c>
      <c r="P40" s="16">
        <v>44564</v>
      </c>
      <c r="Q40" s="29">
        <v>1.5389999999999999</v>
      </c>
      <c r="R40" s="29">
        <v>0.2</v>
      </c>
      <c r="S40" s="26"/>
      <c r="T40" s="18"/>
      <c r="U40" s="37">
        <v>44469</v>
      </c>
      <c r="V40" s="15">
        <v>0.24179999999999999</v>
      </c>
      <c r="W40" s="16">
        <v>44477</v>
      </c>
      <c r="X40" s="15">
        <v>0.27110000000000001</v>
      </c>
      <c r="Y40" s="15">
        <f t="shared" si="0"/>
        <v>2.930000000000002E-2</v>
      </c>
      <c r="Z40" s="15">
        <v>0.27329999999999999</v>
      </c>
      <c r="AA40" s="40">
        <f t="shared" si="1"/>
        <v>3.15E-2</v>
      </c>
      <c r="AB40" s="40">
        <f t="shared" si="2"/>
        <v>2.1999999999999797E-3</v>
      </c>
      <c r="AC40" s="58">
        <v>3.8748705648576802</v>
      </c>
      <c r="AD40" s="59">
        <f t="shared" si="3"/>
        <v>9.7361003162332747</v>
      </c>
    </row>
    <row r="41" spans="1:30" s="15" customFormat="1" x14ac:dyDescent="0.25">
      <c r="A41" s="13" t="s">
        <v>26</v>
      </c>
      <c r="B41" s="13" t="s">
        <v>113</v>
      </c>
      <c r="C41" s="14" t="s">
        <v>61</v>
      </c>
      <c r="D41" s="15" t="s">
        <v>69</v>
      </c>
      <c r="E41" s="15" t="s">
        <v>70</v>
      </c>
      <c r="I41" s="15" t="s">
        <v>71</v>
      </c>
      <c r="J41" s="15" t="s">
        <v>73</v>
      </c>
      <c r="L41" s="15">
        <v>331.53999999999996</v>
      </c>
      <c r="O41" s="15" t="s">
        <v>127</v>
      </c>
      <c r="P41" s="16">
        <v>44564</v>
      </c>
      <c r="Q41" s="29">
        <v>1.502</v>
      </c>
      <c r="R41" s="29">
        <v>0.2</v>
      </c>
      <c r="S41" s="26"/>
      <c r="T41" s="18"/>
      <c r="U41" s="37">
        <v>44469</v>
      </c>
      <c r="V41" s="15">
        <v>0.2427</v>
      </c>
      <c r="W41" s="16">
        <v>44477</v>
      </c>
      <c r="X41" s="15">
        <v>0.32229999999999998</v>
      </c>
      <c r="Y41" s="15">
        <f t="shared" si="0"/>
        <v>7.9599999999999976E-2</v>
      </c>
      <c r="Z41" s="15">
        <v>0.32600000000000001</v>
      </c>
      <c r="AA41" s="40">
        <f t="shared" si="1"/>
        <v>8.3300000000000013E-2</v>
      </c>
      <c r="AB41" s="40">
        <f t="shared" si="2"/>
        <v>3.7000000000000366E-3</v>
      </c>
      <c r="AC41" s="58">
        <v>12.816921322556738</v>
      </c>
      <c r="AD41" s="59">
        <f t="shared" si="3"/>
        <v>38.658748032082826</v>
      </c>
    </row>
    <row r="42" spans="1:30" s="15" customFormat="1" x14ac:dyDescent="0.25">
      <c r="A42" s="13" t="s">
        <v>27</v>
      </c>
      <c r="B42" s="13" t="s">
        <v>114</v>
      </c>
      <c r="C42" s="14" t="s">
        <v>61</v>
      </c>
      <c r="D42" s="15" t="s">
        <v>69</v>
      </c>
      <c r="E42" s="15" t="s">
        <v>70</v>
      </c>
      <c r="I42" s="15" t="s">
        <v>71</v>
      </c>
      <c r="J42" s="15" t="s">
        <v>73</v>
      </c>
      <c r="L42" s="15">
        <v>424.06000000000006</v>
      </c>
      <c r="O42" s="15" t="s">
        <v>127</v>
      </c>
      <c r="P42" s="16">
        <v>44564</v>
      </c>
      <c r="Q42" s="29">
        <v>1.46</v>
      </c>
      <c r="R42" s="29">
        <v>0.2</v>
      </c>
      <c r="S42" s="26"/>
      <c r="T42" s="18"/>
      <c r="U42" s="37">
        <v>44469</v>
      </c>
      <c r="V42" s="15">
        <v>0.24199999999999999</v>
      </c>
      <c r="W42" s="16">
        <v>44477</v>
      </c>
      <c r="X42" s="15">
        <v>0.2732</v>
      </c>
      <c r="Y42" s="15">
        <f t="shared" si="0"/>
        <v>3.1200000000000006E-2</v>
      </c>
      <c r="Z42" s="15">
        <v>0.27050000000000002</v>
      </c>
      <c r="AA42" s="40">
        <f t="shared" si="1"/>
        <v>2.8500000000000025E-2</v>
      </c>
      <c r="AB42" s="40">
        <f t="shared" si="2"/>
        <v>-2.6999999999999802E-3</v>
      </c>
      <c r="AC42" s="58">
        <v>2.6905717389419799</v>
      </c>
      <c r="AD42" s="59">
        <f t="shared" si="3"/>
        <v>6.3447902158703471</v>
      </c>
    </row>
    <row r="43" spans="1:30" s="15" customFormat="1" x14ac:dyDescent="0.25">
      <c r="A43" s="13" t="s">
        <v>28</v>
      </c>
      <c r="B43" s="13" t="s">
        <v>115</v>
      </c>
      <c r="C43" s="14" t="s">
        <v>61</v>
      </c>
      <c r="D43" s="15" t="s">
        <v>69</v>
      </c>
      <c r="E43" s="15" t="s">
        <v>70</v>
      </c>
      <c r="I43" s="15" t="s">
        <v>71</v>
      </c>
      <c r="J43" s="15" t="s">
        <v>73</v>
      </c>
      <c r="L43" s="15">
        <v>417.94000000000005</v>
      </c>
      <c r="O43" s="15" t="s">
        <v>127</v>
      </c>
      <c r="P43" s="16">
        <v>44564</v>
      </c>
      <c r="Q43" s="29">
        <v>1.4370000000000001</v>
      </c>
      <c r="R43" s="29">
        <v>0.2</v>
      </c>
      <c r="S43" s="26"/>
      <c r="T43" s="18"/>
      <c r="U43" s="37">
        <v>44469</v>
      </c>
      <c r="V43" s="15">
        <v>0.2429</v>
      </c>
      <c r="W43" s="16">
        <v>44477</v>
      </c>
      <c r="X43" s="15">
        <v>0.25159999999999999</v>
      </c>
      <c r="Y43" s="15">
        <f t="shared" si="0"/>
        <v>8.6999999999999855E-3</v>
      </c>
      <c r="Z43" s="15">
        <v>0.25280000000000002</v>
      </c>
      <c r="AA43" s="40">
        <f t="shared" si="1"/>
        <v>9.9000000000000199E-3</v>
      </c>
      <c r="AB43" s="40">
        <f t="shared" si="2"/>
        <v>1.2000000000000344E-3</v>
      </c>
      <c r="AC43" s="58">
        <v>0.82731469580186878</v>
      </c>
      <c r="AD43" s="59">
        <f t="shared" si="3"/>
        <v>1.9795058998944075</v>
      </c>
    </row>
    <row r="44" spans="1:30" s="15" customFormat="1" x14ac:dyDescent="0.25">
      <c r="A44" s="13" t="s">
        <v>55</v>
      </c>
      <c r="B44" s="13" t="s">
        <v>116</v>
      </c>
      <c r="C44" s="14" t="s">
        <v>61</v>
      </c>
      <c r="D44" s="15" t="s">
        <v>69</v>
      </c>
      <c r="E44" s="15" t="s">
        <v>70</v>
      </c>
      <c r="I44" s="15" t="s">
        <v>71</v>
      </c>
      <c r="J44" s="15" t="s">
        <v>73</v>
      </c>
      <c r="L44" s="15">
        <v>475.45999999999992</v>
      </c>
      <c r="O44" s="15" t="s">
        <v>127</v>
      </c>
      <c r="P44" s="16">
        <v>44564</v>
      </c>
      <c r="Q44" s="29">
        <v>1.6559999999999999</v>
      </c>
      <c r="R44" s="29">
        <v>0.2</v>
      </c>
      <c r="S44" s="26"/>
      <c r="T44" s="18"/>
      <c r="U44" s="37">
        <v>44469</v>
      </c>
      <c r="V44" s="15">
        <v>0.2399</v>
      </c>
      <c r="W44" s="16">
        <v>44477</v>
      </c>
      <c r="X44" s="15">
        <v>0.24829999999999999</v>
      </c>
      <c r="Y44" s="15">
        <f t="shared" si="0"/>
        <v>8.3999999999999908E-3</v>
      </c>
      <c r="Z44" s="15">
        <v>0.24909999999999999</v>
      </c>
      <c r="AA44" s="40">
        <f t="shared" si="1"/>
        <v>9.199999999999986E-3</v>
      </c>
      <c r="AB44" s="40">
        <f t="shared" si="2"/>
        <v>7.9999999999999516E-4</v>
      </c>
      <c r="AC44" s="58">
        <v>1.5306314181812617</v>
      </c>
      <c r="AD44" s="59">
        <f t="shared" si="3"/>
        <v>3.219264329662352</v>
      </c>
    </row>
    <row r="45" spans="1:30" s="15" customFormat="1" x14ac:dyDescent="0.25">
      <c r="A45" s="13" t="s">
        <v>54</v>
      </c>
      <c r="B45" s="13" t="s">
        <v>117</v>
      </c>
      <c r="C45" s="14" t="s">
        <v>61</v>
      </c>
      <c r="D45" s="15" t="s">
        <v>69</v>
      </c>
      <c r="E45" s="15" t="s">
        <v>70</v>
      </c>
      <c r="I45" s="15" t="s">
        <v>71</v>
      </c>
      <c r="J45" s="15" t="s">
        <v>73</v>
      </c>
      <c r="L45" s="15">
        <v>369.59000000000003</v>
      </c>
      <c r="O45" s="15" t="s">
        <v>127</v>
      </c>
      <c r="P45" s="16">
        <v>44564</v>
      </c>
      <c r="Q45" s="29">
        <v>1.7370000000000001</v>
      </c>
      <c r="R45" s="29">
        <v>0.2</v>
      </c>
      <c r="S45" s="26"/>
      <c r="T45" s="18"/>
      <c r="U45" s="37">
        <v>44469</v>
      </c>
      <c r="V45" s="15">
        <v>0.24299999999999999</v>
      </c>
      <c r="W45" s="16">
        <v>44477</v>
      </c>
      <c r="X45" s="15">
        <v>0.24890000000000001</v>
      </c>
      <c r="Y45" s="15">
        <f t="shared" si="0"/>
        <v>5.9000000000000163E-3</v>
      </c>
      <c r="Z45" s="15">
        <v>0.24979999999999999</v>
      </c>
      <c r="AA45" s="40">
        <f t="shared" si="1"/>
        <v>6.8000000000000005E-3</v>
      </c>
      <c r="AB45" s="40">
        <f t="shared" si="2"/>
        <v>8.9999999999998415E-4</v>
      </c>
      <c r="AC45" s="58">
        <v>1.1106837244569674</v>
      </c>
      <c r="AD45" s="59">
        <f t="shared" si="3"/>
        <v>3.005177966008191</v>
      </c>
    </row>
    <row r="46" spans="1:30" s="15" customFormat="1" x14ac:dyDescent="0.25">
      <c r="A46" s="13" t="s">
        <v>29</v>
      </c>
      <c r="B46" s="13" t="s">
        <v>118</v>
      </c>
      <c r="C46" s="14" t="s">
        <v>61</v>
      </c>
      <c r="D46" s="15" t="s">
        <v>69</v>
      </c>
      <c r="E46" s="15" t="s">
        <v>70</v>
      </c>
      <c r="I46" s="15" t="s">
        <v>71</v>
      </c>
      <c r="J46" s="15" t="s">
        <v>73</v>
      </c>
      <c r="L46" s="15">
        <v>254.70999999999998</v>
      </c>
      <c r="O46" s="15" t="s">
        <v>127</v>
      </c>
      <c r="P46" s="16">
        <v>44564</v>
      </c>
      <c r="Q46" s="29">
        <v>1.4590000000000001</v>
      </c>
      <c r="R46" s="29">
        <v>0.2</v>
      </c>
      <c r="S46" s="26"/>
      <c r="T46" s="18"/>
      <c r="U46" s="37">
        <v>44469</v>
      </c>
      <c r="V46" s="15">
        <v>0.24210000000000001</v>
      </c>
      <c r="W46" s="16">
        <v>44477</v>
      </c>
      <c r="X46" s="15">
        <v>0.24390000000000001</v>
      </c>
      <c r="Y46" s="15">
        <f t="shared" si="0"/>
        <v>1.799999999999996E-3</v>
      </c>
      <c r="Z46" s="15">
        <v>0.2445</v>
      </c>
      <c r="AA46" s="40">
        <f t="shared" si="1"/>
        <v>2.3999999999999855E-3</v>
      </c>
      <c r="AB46" s="40">
        <f t="shared" si="2"/>
        <v>5.9999999999998943E-4</v>
      </c>
      <c r="AC46" s="58">
        <v>0.39802114286580476</v>
      </c>
      <c r="AD46" s="59">
        <f t="shared" si="3"/>
        <v>1.5626443518739146</v>
      </c>
    </row>
    <row r="47" spans="1:30" s="15" customFormat="1" x14ac:dyDescent="0.25">
      <c r="A47" s="13" t="s">
        <v>56</v>
      </c>
      <c r="B47" s="13" t="s">
        <v>119</v>
      </c>
      <c r="C47" s="14" t="s">
        <v>61</v>
      </c>
      <c r="D47" s="15" t="s">
        <v>69</v>
      </c>
      <c r="E47" s="15" t="s">
        <v>70</v>
      </c>
      <c r="I47" s="15" t="s">
        <v>71</v>
      </c>
      <c r="J47" s="15" t="s">
        <v>73</v>
      </c>
      <c r="L47" s="15">
        <v>289.45999999999998</v>
      </c>
      <c r="O47" s="15" t="s">
        <v>127</v>
      </c>
      <c r="P47" s="16">
        <v>44564</v>
      </c>
      <c r="Q47" s="29">
        <v>1.6379999999999999</v>
      </c>
      <c r="R47" s="29">
        <v>0.2</v>
      </c>
      <c r="S47" s="26"/>
      <c r="T47" s="18"/>
      <c r="U47" s="37">
        <v>44469</v>
      </c>
      <c r="V47" s="15">
        <v>0.23960000000000001</v>
      </c>
      <c r="W47" s="16">
        <v>44477</v>
      </c>
      <c r="X47" s="15">
        <v>0.2432</v>
      </c>
      <c r="Y47" s="15">
        <f t="shared" si="0"/>
        <v>3.5999999999999921E-3</v>
      </c>
      <c r="Z47" s="15">
        <v>0.2442</v>
      </c>
      <c r="AA47" s="40">
        <f t="shared" si="1"/>
        <v>4.599999999999993E-3</v>
      </c>
      <c r="AB47" s="40">
        <f t="shared" si="2"/>
        <v>1.0000000000000009E-3</v>
      </c>
      <c r="AC47" s="58">
        <v>0.83265553196139408</v>
      </c>
      <c r="AD47" s="59">
        <f t="shared" si="3"/>
        <v>2.8765823670330759</v>
      </c>
    </row>
    <row r="48" spans="1:30" s="15" customFormat="1" x14ac:dyDescent="0.25">
      <c r="A48" s="13" t="s">
        <v>57</v>
      </c>
      <c r="B48" s="13" t="s">
        <v>120</v>
      </c>
      <c r="C48" s="14" t="s">
        <v>61</v>
      </c>
      <c r="D48" s="15" t="s">
        <v>69</v>
      </c>
      <c r="E48" s="15" t="s">
        <v>70</v>
      </c>
      <c r="I48" s="15" t="s">
        <v>71</v>
      </c>
      <c r="J48" s="15" t="s">
        <v>73</v>
      </c>
      <c r="L48" s="15">
        <v>345.87</v>
      </c>
      <c r="O48" s="15" t="s">
        <v>127</v>
      </c>
      <c r="P48" s="16">
        <v>44564</v>
      </c>
      <c r="Q48" s="29">
        <v>1.7050000000000001</v>
      </c>
      <c r="R48" s="29">
        <v>0.2</v>
      </c>
      <c r="S48" s="26"/>
      <c r="T48" s="18"/>
      <c r="U48" s="37">
        <v>44469</v>
      </c>
      <c r="V48" s="15">
        <v>0.23680000000000001</v>
      </c>
      <c r="W48" s="16">
        <v>44477</v>
      </c>
      <c r="X48" s="15">
        <v>0.23960000000000001</v>
      </c>
      <c r="Y48" s="15">
        <f t="shared" si="0"/>
        <v>2.7999999999999969E-3</v>
      </c>
      <c r="Z48" s="15">
        <v>0.24</v>
      </c>
      <c r="AA48" s="40">
        <f t="shared" si="1"/>
        <v>3.1999999999999806E-3</v>
      </c>
      <c r="AB48" s="40">
        <f t="shared" si="2"/>
        <v>3.999999999999837E-4</v>
      </c>
      <c r="AC48" s="58">
        <v>0.76527716116168332</v>
      </c>
      <c r="AD48" s="59">
        <f t="shared" si="3"/>
        <v>2.2126150321267621</v>
      </c>
    </row>
    <row r="49" spans="1:30" s="15" customFormat="1" x14ac:dyDescent="0.25">
      <c r="A49" s="13" t="s">
        <v>58</v>
      </c>
      <c r="B49" s="13" t="s">
        <v>121</v>
      </c>
      <c r="C49" s="14" t="s">
        <v>61</v>
      </c>
      <c r="D49" s="15" t="s">
        <v>69</v>
      </c>
      <c r="E49" s="15" t="s">
        <v>70</v>
      </c>
      <c r="I49" s="15" t="s">
        <v>71</v>
      </c>
      <c r="J49" s="15" t="s">
        <v>73</v>
      </c>
      <c r="L49" s="15">
        <v>368.48</v>
      </c>
      <c r="O49" s="15" t="s">
        <v>127</v>
      </c>
      <c r="P49" s="16">
        <v>44564</v>
      </c>
      <c r="Q49" s="29">
        <v>1.7070000000000001</v>
      </c>
      <c r="R49" s="29">
        <v>0.2</v>
      </c>
      <c r="S49" s="26"/>
      <c r="T49" s="18"/>
      <c r="U49" s="37">
        <v>44469</v>
      </c>
      <c r="V49" s="15">
        <v>0.2354</v>
      </c>
      <c r="W49" s="16">
        <v>44477</v>
      </c>
      <c r="X49" s="15">
        <v>0.2394</v>
      </c>
      <c r="Y49" s="15">
        <f t="shared" si="0"/>
        <v>4.0000000000000036E-3</v>
      </c>
      <c r="Z49" s="15">
        <v>0.24010000000000001</v>
      </c>
      <c r="AA49" s="40">
        <f t="shared" si="1"/>
        <v>4.7000000000000097E-3</v>
      </c>
      <c r="AB49" s="40">
        <f t="shared" si="2"/>
        <v>7.0000000000000617E-4</v>
      </c>
      <c r="AC49" s="58">
        <v>0.94608429262040739</v>
      </c>
      <c r="AD49" s="59">
        <f t="shared" si="3"/>
        <v>2.5675322748057079</v>
      </c>
    </row>
    <row r="50" spans="1:30" s="15" customFormat="1" x14ac:dyDescent="0.25">
      <c r="A50" s="13" t="s">
        <v>59</v>
      </c>
      <c r="B50" s="13" t="s">
        <v>122</v>
      </c>
      <c r="C50" s="14" t="s">
        <v>61</v>
      </c>
      <c r="D50" s="15" t="s">
        <v>69</v>
      </c>
      <c r="E50" s="15" t="s">
        <v>70</v>
      </c>
      <c r="I50" s="15" t="s">
        <v>71</v>
      </c>
      <c r="J50" s="15" t="s">
        <v>73</v>
      </c>
      <c r="L50" s="15">
        <v>344.90999999999997</v>
      </c>
      <c r="O50" s="15" t="s">
        <v>127</v>
      </c>
      <c r="P50" s="16">
        <v>44564</v>
      </c>
      <c r="Q50" s="29">
        <v>1.681</v>
      </c>
      <c r="R50" s="29">
        <v>0.2</v>
      </c>
      <c r="S50" s="26"/>
      <c r="T50" s="18"/>
      <c r="U50" s="37">
        <v>44469</v>
      </c>
      <c r="V50" s="15">
        <v>0.23910000000000001</v>
      </c>
      <c r="W50" s="16">
        <v>44477</v>
      </c>
      <c r="X50" s="15">
        <v>0.2412</v>
      </c>
      <c r="Y50" s="15">
        <f t="shared" si="0"/>
        <v>2.0999999999999908E-3</v>
      </c>
      <c r="Z50" s="15">
        <v>0.2417</v>
      </c>
      <c r="AA50" s="40">
        <f t="shared" si="1"/>
        <v>2.5999999999999912E-3</v>
      </c>
      <c r="AB50" s="40">
        <f t="shared" si="2"/>
        <v>5.0000000000000044E-4</v>
      </c>
      <c r="AC50" s="58">
        <v>0.7695772781627146</v>
      </c>
      <c r="AD50" s="59">
        <f t="shared" si="3"/>
        <v>2.2312408401110857</v>
      </c>
    </row>
    <row r="51" spans="1:30" s="15" customFormat="1" x14ac:dyDescent="0.25">
      <c r="A51" s="13" t="s">
        <v>60</v>
      </c>
      <c r="B51" s="13" t="s">
        <v>123</v>
      </c>
      <c r="C51" s="14" t="s">
        <v>61</v>
      </c>
      <c r="D51" s="15" t="s">
        <v>69</v>
      </c>
      <c r="E51" s="15" t="s">
        <v>70</v>
      </c>
      <c r="I51" s="15" t="s">
        <v>71</v>
      </c>
      <c r="J51" s="15" t="s">
        <v>73</v>
      </c>
      <c r="L51" s="15">
        <v>340.19</v>
      </c>
      <c r="O51" s="15" t="s">
        <v>127</v>
      </c>
      <c r="P51" s="16">
        <v>44564</v>
      </c>
      <c r="Q51" s="29">
        <v>1.262</v>
      </c>
      <c r="R51" s="29">
        <v>0.2</v>
      </c>
      <c r="S51" s="26"/>
      <c r="T51" s="18"/>
      <c r="U51" s="37">
        <v>44469</v>
      </c>
      <c r="V51" s="15">
        <v>0.24110000000000001</v>
      </c>
      <c r="W51" s="16">
        <v>44477</v>
      </c>
      <c r="X51" s="15">
        <v>0.245</v>
      </c>
      <c r="Y51" s="15">
        <f t="shared" si="0"/>
        <v>3.8999999999999868E-3</v>
      </c>
      <c r="Z51" s="15">
        <v>0.24579999999999999</v>
      </c>
      <c r="AA51" s="40">
        <f t="shared" si="1"/>
        <v>4.699999999999982E-3</v>
      </c>
      <c r="AB51" s="40">
        <f t="shared" si="2"/>
        <v>7.9999999999999516E-4</v>
      </c>
      <c r="AC51" s="58">
        <v>0.94659764689089532</v>
      </c>
      <c r="AD51" s="59">
        <f t="shared" si="3"/>
        <v>2.7825557685143458</v>
      </c>
    </row>
    <row r="52" spans="1:30" s="15" customFormat="1" x14ac:dyDescent="0.25">
      <c r="A52" s="13"/>
      <c r="B52" s="13"/>
      <c r="C52" s="14"/>
      <c r="P52" s="16"/>
      <c r="Q52" s="29"/>
      <c r="R52" s="29"/>
      <c r="S52" s="26"/>
      <c r="T52" s="18"/>
      <c r="U52" s="25"/>
    </row>
    <row r="53" spans="1:30" s="15" customFormat="1" x14ac:dyDescent="0.25">
      <c r="A53" s="13"/>
      <c r="B53" s="13"/>
      <c r="C53" s="14"/>
      <c r="P53" s="16"/>
      <c r="Q53" s="29"/>
      <c r="R53" s="29"/>
      <c r="S53" s="26"/>
      <c r="T53" s="18"/>
      <c r="U53" s="25"/>
    </row>
    <row r="54" spans="1:30" s="15" customFormat="1" x14ac:dyDescent="0.25">
      <c r="A54" s="13"/>
      <c r="B54" s="13"/>
      <c r="C54" s="14"/>
      <c r="P54" s="16"/>
      <c r="Q54" s="29"/>
      <c r="R54" s="29"/>
      <c r="S54" s="26"/>
      <c r="T54" s="18"/>
      <c r="U54" s="25"/>
    </row>
    <row r="55" spans="1:3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5"/>
      <c r="K55" s="15"/>
      <c r="L55" s="13"/>
      <c r="M55" s="13"/>
      <c r="N55" s="13"/>
      <c r="O55" s="15"/>
      <c r="P55" s="16"/>
      <c r="Q55" s="29"/>
      <c r="R55" s="29"/>
      <c r="S55" s="26"/>
      <c r="T55" s="18"/>
    </row>
    <row r="56" spans="1:30" s="15" customFormat="1" x14ac:dyDescent="0.25">
      <c r="A56" s="49" t="s">
        <v>130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26"/>
      <c r="T56" s="18"/>
      <c r="U56" s="25"/>
    </row>
    <row r="57" spans="1:30" s="15" customFormat="1" x14ac:dyDescent="0.25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4"/>
      <c r="S57" s="26"/>
      <c r="T57" s="18"/>
      <c r="U57" s="25"/>
    </row>
    <row r="58" spans="1:30" s="15" customFormat="1" x14ac:dyDescent="0.25">
      <c r="A58" s="55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7"/>
      <c r="S58" s="26"/>
      <c r="T58" s="18"/>
      <c r="U58" s="25"/>
    </row>
    <row r="59" spans="1:3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5"/>
      <c r="K59" s="15"/>
      <c r="L59" s="13"/>
      <c r="M59" s="13"/>
      <c r="N59" s="13"/>
      <c r="O59" s="15"/>
      <c r="P59" s="16"/>
      <c r="Q59" s="29"/>
      <c r="R59" s="29"/>
      <c r="S59" s="26"/>
      <c r="T59" s="18"/>
    </row>
    <row r="60" spans="1:30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5"/>
      <c r="K60" s="15"/>
      <c r="L60" s="13"/>
      <c r="M60" s="13"/>
      <c r="N60" s="13"/>
      <c r="O60" s="15"/>
      <c r="P60" s="16"/>
      <c r="Q60" s="29"/>
      <c r="R60" s="29"/>
      <c r="S60" s="26"/>
      <c r="T60" s="18"/>
    </row>
    <row r="61" spans="1:3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5"/>
      <c r="K61" s="15"/>
      <c r="L61" s="13"/>
      <c r="M61" s="13"/>
      <c r="N61" s="13"/>
      <c r="O61" s="15"/>
      <c r="P61" s="16"/>
      <c r="Q61" s="29"/>
      <c r="R61" s="29"/>
      <c r="S61" s="26"/>
      <c r="T61" s="18"/>
    </row>
    <row r="62" spans="1:30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5"/>
      <c r="K62" s="15"/>
      <c r="L62" s="13"/>
      <c r="M62" s="13"/>
      <c r="N62" s="13"/>
      <c r="O62" s="15"/>
      <c r="P62" s="16"/>
      <c r="Q62" s="29"/>
      <c r="R62" s="29"/>
      <c r="S62" s="21"/>
      <c r="T62" s="18"/>
    </row>
    <row r="63" spans="1:3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5"/>
      <c r="K63" s="15"/>
      <c r="L63" s="13"/>
      <c r="M63" s="13"/>
      <c r="N63" s="13"/>
      <c r="O63" s="15"/>
      <c r="P63" s="16"/>
      <c r="Q63" s="29"/>
      <c r="R63" s="29"/>
      <c r="S63" s="26"/>
      <c r="T63" s="18"/>
    </row>
    <row r="64" spans="1:30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5"/>
      <c r="K64" s="15"/>
      <c r="L64" s="13"/>
      <c r="M64" s="13"/>
      <c r="N64" s="13"/>
      <c r="O64" s="15"/>
      <c r="P64" s="16"/>
      <c r="Q64" s="29"/>
      <c r="R64" s="29"/>
      <c r="S64" s="26"/>
      <c r="T64" s="18"/>
    </row>
    <row r="65" spans="1:2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5"/>
      <c r="K65" s="15"/>
      <c r="L65" s="13"/>
      <c r="M65" s="13"/>
      <c r="N65" s="13"/>
      <c r="O65" s="15"/>
      <c r="P65" s="16"/>
      <c r="Q65" s="29"/>
      <c r="R65" s="29"/>
      <c r="S65" s="26"/>
      <c r="T65" s="18"/>
    </row>
    <row r="66" spans="1:20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5"/>
      <c r="K66" s="15"/>
      <c r="L66" s="13"/>
      <c r="M66" s="13"/>
      <c r="N66" s="13"/>
      <c r="O66" s="15"/>
      <c r="P66" s="16"/>
      <c r="Q66" s="29"/>
      <c r="R66" s="29"/>
      <c r="S66" s="26"/>
      <c r="T66" s="18"/>
    </row>
    <row r="67" spans="1:20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5"/>
      <c r="K67" s="15"/>
      <c r="L67" s="13"/>
      <c r="M67" s="13"/>
      <c r="N67" s="13"/>
      <c r="O67" s="15"/>
      <c r="P67" s="16"/>
      <c r="Q67" s="29"/>
      <c r="R67" s="29"/>
      <c r="S67" s="26"/>
      <c r="T67" s="18"/>
    </row>
    <row r="68" spans="1:20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5"/>
      <c r="K68" s="15"/>
      <c r="L68" s="13"/>
      <c r="M68" s="13"/>
      <c r="N68" s="13"/>
      <c r="O68" s="15"/>
      <c r="P68" s="16"/>
      <c r="Q68" s="29"/>
      <c r="R68" s="29"/>
      <c r="S68" s="26"/>
      <c r="T68" s="18"/>
    </row>
    <row r="69" spans="1:2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5"/>
      <c r="K69" s="15"/>
      <c r="L69" s="13"/>
      <c r="M69" s="13"/>
      <c r="N69" s="13"/>
      <c r="O69" s="15"/>
      <c r="P69" s="16"/>
      <c r="Q69" s="29"/>
      <c r="R69" s="29"/>
      <c r="S69" s="26"/>
      <c r="T69" s="18"/>
    </row>
    <row r="70" spans="1:20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5"/>
      <c r="K70" s="15"/>
      <c r="L70" s="13"/>
      <c r="M70" s="13"/>
      <c r="N70" s="13"/>
      <c r="O70" s="15"/>
      <c r="P70" s="16"/>
      <c r="Q70" s="29"/>
      <c r="R70" s="29"/>
      <c r="S70" s="26"/>
      <c r="T70" s="18"/>
    </row>
    <row r="71" spans="1:2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5"/>
      <c r="K71" s="15"/>
      <c r="L71" s="13"/>
      <c r="M71" s="13"/>
      <c r="N71" s="13"/>
      <c r="O71" s="15"/>
      <c r="P71" s="16"/>
      <c r="Q71" s="29"/>
      <c r="R71" s="29"/>
      <c r="S71" s="26"/>
      <c r="T71" s="18"/>
    </row>
    <row r="72" spans="1:20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5"/>
      <c r="K72" s="15"/>
      <c r="L72" s="13"/>
      <c r="M72" s="13"/>
      <c r="N72" s="13"/>
      <c r="O72" s="15"/>
      <c r="P72" s="16"/>
      <c r="Q72" s="29"/>
      <c r="R72" s="29"/>
      <c r="S72" s="26"/>
      <c r="T72" s="18"/>
    </row>
    <row r="73" spans="1:2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5"/>
      <c r="L73" s="13"/>
      <c r="M73" s="13"/>
      <c r="N73" s="13"/>
      <c r="O73" s="15"/>
      <c r="P73" s="16"/>
      <c r="Q73" s="29"/>
      <c r="R73" s="29"/>
      <c r="S73" s="26"/>
      <c r="T73" s="18"/>
    </row>
    <row r="74" spans="1:20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5"/>
      <c r="K74" s="15"/>
      <c r="L74" s="13"/>
      <c r="M74" s="13"/>
      <c r="N74" s="13"/>
      <c r="O74" s="15"/>
      <c r="P74" s="16"/>
      <c r="Q74" s="29"/>
      <c r="R74" s="29"/>
      <c r="S74" s="26"/>
      <c r="T74" s="18"/>
    </row>
    <row r="75" spans="1:2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5"/>
      <c r="K75" s="15"/>
      <c r="L75" s="13"/>
      <c r="M75" s="13"/>
      <c r="N75" s="13"/>
      <c r="O75" s="15"/>
      <c r="P75" s="16"/>
      <c r="Q75" s="29"/>
      <c r="R75" s="29"/>
      <c r="S75" s="26"/>
      <c r="T75" s="18"/>
    </row>
    <row r="76" spans="1:20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5"/>
      <c r="K76" s="15"/>
      <c r="L76" s="13"/>
      <c r="M76" s="13"/>
      <c r="N76" s="13"/>
      <c r="O76" s="15"/>
      <c r="P76" s="16"/>
      <c r="Q76" s="29"/>
      <c r="R76" s="29"/>
      <c r="S76" s="26"/>
      <c r="T76" s="18"/>
    </row>
    <row r="77" spans="1:2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5"/>
      <c r="K77" s="15"/>
      <c r="L77" s="13"/>
      <c r="M77" s="13"/>
      <c r="N77" s="13"/>
      <c r="O77" s="13"/>
      <c r="P77" s="13"/>
      <c r="Q77" s="30"/>
      <c r="R77" s="30"/>
      <c r="S77" s="27"/>
      <c r="T77" s="27"/>
    </row>
    <row r="78" spans="1:20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5"/>
      <c r="K78" s="15"/>
      <c r="L78" s="13"/>
      <c r="M78" s="13"/>
      <c r="N78" s="13"/>
      <c r="O78" s="15"/>
      <c r="P78" s="31"/>
      <c r="Q78" s="30"/>
      <c r="R78" s="30"/>
      <c r="S78" s="27"/>
      <c r="T78" s="27"/>
    </row>
    <row r="79" spans="1:2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5"/>
      <c r="K79" s="15"/>
      <c r="L79" s="13"/>
      <c r="M79" s="13"/>
      <c r="N79" s="13"/>
      <c r="O79" s="15"/>
      <c r="P79" s="31"/>
      <c r="Q79" s="30"/>
      <c r="R79" s="30"/>
      <c r="S79" s="27"/>
      <c r="T79" s="27"/>
    </row>
    <row r="80" spans="1:20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5"/>
      <c r="K80" s="15"/>
      <c r="L80" s="13"/>
      <c r="M80" s="13"/>
      <c r="N80" s="13"/>
      <c r="O80" s="15"/>
      <c r="P80" s="31"/>
      <c r="Q80" s="30"/>
      <c r="R80" s="30"/>
      <c r="S80" s="27"/>
      <c r="T80" s="27"/>
    </row>
    <row r="81" spans="1:20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5"/>
      <c r="K81" s="15"/>
      <c r="L81" s="13"/>
      <c r="M81" s="13"/>
      <c r="N81" s="13"/>
      <c r="O81" s="13"/>
      <c r="P81" s="13"/>
      <c r="Q81" s="30"/>
      <c r="R81" s="30"/>
      <c r="S81" s="27"/>
      <c r="T81" s="27"/>
    </row>
    <row r="82" spans="1:20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5"/>
      <c r="K82" s="15"/>
      <c r="L82" s="13"/>
      <c r="M82" s="13"/>
      <c r="N82" s="13"/>
      <c r="O82" s="15"/>
      <c r="P82" s="31"/>
      <c r="Q82" s="30"/>
      <c r="R82" s="30"/>
      <c r="S82" s="27"/>
      <c r="T82" s="27"/>
    </row>
    <row r="83" spans="1:20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5"/>
      <c r="K83" s="15"/>
      <c r="L83" s="13"/>
      <c r="M83" s="13"/>
      <c r="N83" s="13"/>
      <c r="O83" s="15"/>
      <c r="P83" s="31"/>
      <c r="Q83" s="30"/>
      <c r="R83" s="30"/>
      <c r="S83" s="27"/>
      <c r="T83" s="27"/>
    </row>
    <row r="84" spans="1:20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5"/>
      <c r="K84" s="15"/>
      <c r="L84" s="13"/>
      <c r="M84" s="13"/>
      <c r="N84" s="13"/>
      <c r="O84" s="15"/>
      <c r="P84" s="31"/>
      <c r="Q84" s="30"/>
      <c r="R84" s="30"/>
      <c r="S84" s="27"/>
      <c r="T84" s="27"/>
    </row>
    <row r="85" spans="1:20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5"/>
      <c r="K85" s="15"/>
      <c r="L85" s="13"/>
      <c r="M85" s="13"/>
      <c r="N85" s="13"/>
      <c r="O85" s="15"/>
      <c r="P85" s="31"/>
      <c r="Q85" s="30"/>
      <c r="R85" s="30"/>
      <c r="S85" s="27"/>
      <c r="T85" s="27"/>
    </row>
    <row r="86" spans="1:20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5"/>
      <c r="K86" s="15"/>
      <c r="L86" s="13"/>
      <c r="M86" s="13"/>
      <c r="N86" s="13"/>
      <c r="O86" s="13"/>
      <c r="P86" s="13"/>
      <c r="Q86" s="30"/>
      <c r="R86" s="30"/>
      <c r="S86" s="27"/>
      <c r="T86" s="27"/>
    </row>
    <row r="87" spans="1:20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5"/>
      <c r="K87" s="15"/>
      <c r="L87" s="13"/>
      <c r="M87" s="13"/>
      <c r="N87" s="13"/>
      <c r="O87" s="15"/>
      <c r="P87" s="31"/>
      <c r="Q87" s="30"/>
      <c r="R87" s="30"/>
      <c r="S87" s="27"/>
      <c r="T87" s="27"/>
    </row>
    <row r="88" spans="1:20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5"/>
      <c r="K88" s="15"/>
      <c r="L88" s="13"/>
      <c r="M88" s="13"/>
      <c r="N88" s="13"/>
      <c r="O88" s="15"/>
      <c r="P88" s="31"/>
      <c r="Q88" s="30"/>
      <c r="R88" s="30"/>
      <c r="S88" s="27"/>
      <c r="T88" s="27"/>
    </row>
    <row r="89" spans="1:20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5"/>
      <c r="K89" s="15"/>
      <c r="L89" s="13"/>
      <c r="M89" s="13"/>
      <c r="N89" s="13"/>
      <c r="O89" s="15"/>
      <c r="P89" s="31"/>
      <c r="Q89" s="30"/>
      <c r="R89" s="30"/>
      <c r="S89" s="27"/>
      <c r="T89" s="27"/>
    </row>
    <row r="90" spans="1:20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5"/>
      <c r="K90" s="15"/>
      <c r="L90" s="13"/>
      <c r="M90" s="13"/>
      <c r="N90" s="13"/>
      <c r="O90" s="15"/>
      <c r="P90" s="31"/>
      <c r="Q90" s="30"/>
      <c r="R90" s="30"/>
      <c r="S90" s="27"/>
      <c r="T90" s="27"/>
    </row>
    <row r="91" spans="1:2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5"/>
      <c r="K91" s="15"/>
      <c r="L91" s="13"/>
      <c r="M91" s="13"/>
      <c r="N91" s="13"/>
      <c r="O91" s="15"/>
      <c r="P91" s="31"/>
      <c r="Q91" s="30"/>
      <c r="R91" s="30"/>
      <c r="S91" s="27"/>
      <c r="T91" s="27"/>
    </row>
    <row r="92" spans="1:20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5"/>
      <c r="K92" s="15"/>
      <c r="L92" s="13"/>
      <c r="M92" s="13"/>
      <c r="N92" s="13"/>
      <c r="O92" s="13"/>
      <c r="P92" s="13"/>
      <c r="Q92" s="30"/>
      <c r="R92" s="30"/>
      <c r="S92" s="27"/>
      <c r="T92" s="27"/>
    </row>
    <row r="93" spans="1:2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5"/>
      <c r="K93" s="15"/>
      <c r="L93" s="13"/>
      <c r="M93" s="13"/>
      <c r="N93" s="13"/>
      <c r="O93" s="15"/>
      <c r="P93" s="31"/>
      <c r="Q93" s="30"/>
      <c r="R93" s="30"/>
      <c r="S93" s="27"/>
      <c r="T93" s="27"/>
    </row>
    <row r="94" spans="1:20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5"/>
      <c r="K94" s="15"/>
      <c r="L94" s="13"/>
      <c r="M94" s="13"/>
      <c r="N94" s="13"/>
      <c r="O94" s="15"/>
      <c r="P94" s="31"/>
      <c r="Q94" s="30"/>
      <c r="R94" s="30"/>
      <c r="S94" s="27"/>
      <c r="T94" s="27"/>
    </row>
    <row r="95" spans="1:2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5"/>
      <c r="K95" s="15"/>
      <c r="L95" s="13"/>
      <c r="M95" s="13"/>
      <c r="N95" s="13"/>
      <c r="O95" s="15"/>
      <c r="P95" s="31"/>
      <c r="Q95" s="30"/>
      <c r="R95" s="30"/>
      <c r="S95" s="27"/>
      <c r="T95" s="27"/>
    </row>
    <row r="96" spans="1:20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5"/>
      <c r="K96" s="15"/>
      <c r="L96" s="13"/>
      <c r="M96" s="13"/>
      <c r="N96" s="13"/>
      <c r="O96" s="15"/>
      <c r="P96" s="31"/>
      <c r="Q96" s="30"/>
      <c r="R96" s="30"/>
      <c r="S96" s="27"/>
      <c r="T96" s="27"/>
    </row>
    <row r="97" spans="1:2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5"/>
      <c r="K97" s="15"/>
      <c r="L97" s="13"/>
      <c r="M97" s="13"/>
      <c r="N97" s="13"/>
      <c r="O97" s="15"/>
      <c r="P97" s="31"/>
      <c r="Q97" s="30"/>
      <c r="R97" s="30"/>
      <c r="S97" s="27"/>
      <c r="T97" s="27"/>
    </row>
    <row r="98" spans="1:2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5"/>
      <c r="K98" s="15"/>
      <c r="L98" s="13"/>
      <c r="M98" s="13"/>
      <c r="N98" s="13"/>
      <c r="O98" s="13"/>
      <c r="P98" s="13"/>
      <c r="Q98" s="30"/>
      <c r="R98" s="30"/>
      <c r="S98" s="27"/>
      <c r="T98" s="27"/>
    </row>
    <row r="99" spans="1:2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5"/>
      <c r="K99" s="15"/>
      <c r="L99" s="13"/>
      <c r="M99" s="13"/>
      <c r="N99" s="13"/>
      <c r="O99" s="15"/>
      <c r="P99" s="31"/>
      <c r="Q99" s="30"/>
      <c r="R99" s="30"/>
      <c r="S99" s="27"/>
      <c r="T99" s="27"/>
    </row>
    <row r="100" spans="1:2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5"/>
      <c r="K100" s="15"/>
      <c r="L100" s="13"/>
      <c r="M100" s="13"/>
      <c r="N100" s="13"/>
      <c r="O100" s="15"/>
      <c r="P100" s="31"/>
      <c r="Q100" s="30"/>
      <c r="R100" s="30"/>
      <c r="S100" s="27"/>
      <c r="T100" s="27"/>
    </row>
    <row r="101" spans="1:2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5"/>
      <c r="K101" s="15"/>
      <c r="L101" s="13"/>
      <c r="M101" s="13"/>
      <c r="N101" s="13"/>
      <c r="O101" s="15"/>
      <c r="P101" s="31"/>
      <c r="Q101" s="30"/>
      <c r="R101" s="30"/>
      <c r="S101" s="27"/>
      <c r="T101" s="27"/>
    </row>
    <row r="102" spans="1:2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5"/>
      <c r="K102" s="15"/>
      <c r="L102" s="13"/>
      <c r="M102" s="13"/>
      <c r="N102" s="13"/>
      <c r="O102" s="15"/>
      <c r="P102" s="31"/>
      <c r="Q102" s="30"/>
      <c r="R102" s="30"/>
      <c r="S102" s="27"/>
      <c r="T102" s="27"/>
    </row>
    <row r="103" spans="1:2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5"/>
      <c r="K103" s="15"/>
      <c r="L103" s="13"/>
      <c r="M103" s="13"/>
      <c r="N103" s="13"/>
      <c r="O103" s="15"/>
      <c r="P103" s="31"/>
      <c r="Q103" s="30"/>
      <c r="R103" s="30"/>
      <c r="S103" s="27"/>
      <c r="T103" s="27"/>
    </row>
    <row r="104" spans="1:2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5"/>
      <c r="K104" s="15"/>
      <c r="L104" s="13"/>
      <c r="M104" s="13"/>
      <c r="N104" s="13"/>
      <c r="O104" s="15"/>
      <c r="P104" s="13"/>
      <c r="Q104" s="30"/>
      <c r="R104" s="30"/>
      <c r="S104" s="27"/>
      <c r="T104" s="27"/>
    </row>
    <row r="105" spans="1:2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5"/>
      <c r="K105" s="15"/>
      <c r="L105" s="13"/>
      <c r="M105" s="13"/>
      <c r="N105" s="13"/>
      <c r="O105" s="15"/>
      <c r="P105" s="31"/>
      <c r="Q105" s="30"/>
      <c r="R105" s="30"/>
      <c r="S105" s="27"/>
      <c r="T105" s="27"/>
    </row>
    <row r="106" spans="1:2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5"/>
      <c r="K106" s="15"/>
      <c r="L106" s="13"/>
      <c r="M106" s="13"/>
      <c r="N106" s="13"/>
      <c r="O106" s="15"/>
      <c r="P106" s="31"/>
      <c r="Q106" s="30"/>
      <c r="R106" s="30"/>
      <c r="S106" s="27"/>
      <c r="T106" s="27"/>
    </row>
    <row r="107" spans="1:2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5"/>
      <c r="K107" s="15"/>
      <c r="L107" s="13"/>
      <c r="M107" s="13"/>
      <c r="N107" s="13"/>
      <c r="O107" s="15"/>
      <c r="P107" s="31"/>
      <c r="Q107" s="30"/>
      <c r="R107" s="30"/>
      <c r="S107" s="27"/>
      <c r="T107" s="27"/>
    </row>
    <row r="108" spans="1:2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5"/>
      <c r="K108" s="15"/>
      <c r="L108" s="13"/>
      <c r="M108" s="13"/>
      <c r="N108" s="13"/>
      <c r="O108" s="15"/>
      <c r="P108" s="31"/>
      <c r="Q108" s="30"/>
      <c r="R108" s="30"/>
      <c r="S108" s="27"/>
      <c r="T108" s="27"/>
    </row>
    <row r="109" spans="1:2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5"/>
      <c r="K109" s="15"/>
      <c r="L109" s="13"/>
      <c r="M109" s="13"/>
      <c r="N109" s="13"/>
      <c r="O109" s="13"/>
      <c r="P109" s="13"/>
      <c r="Q109" s="30"/>
      <c r="R109" s="30"/>
      <c r="S109" s="27"/>
      <c r="T109" s="27"/>
    </row>
    <row r="110" spans="1:2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5"/>
      <c r="K110" s="15"/>
      <c r="L110" s="13"/>
      <c r="M110" s="13"/>
      <c r="N110" s="13"/>
      <c r="O110" s="15"/>
      <c r="P110" s="31"/>
      <c r="Q110" s="30"/>
      <c r="R110" s="30"/>
      <c r="S110" s="27"/>
      <c r="T110" s="27"/>
    </row>
    <row r="111" spans="1:2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5"/>
      <c r="K111" s="15"/>
      <c r="L111" s="13"/>
      <c r="M111" s="13"/>
      <c r="N111" s="13"/>
      <c r="O111" s="15"/>
      <c r="P111" s="31"/>
      <c r="Q111" s="30"/>
      <c r="R111" s="30"/>
      <c r="S111" s="27"/>
      <c r="T111" s="27"/>
    </row>
    <row r="112" spans="1:2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5"/>
      <c r="K112" s="15"/>
      <c r="L112" s="13"/>
      <c r="M112" s="13"/>
      <c r="N112" s="13"/>
      <c r="O112" s="15"/>
      <c r="P112" s="31"/>
      <c r="Q112" s="30"/>
      <c r="R112" s="30"/>
      <c r="S112" s="27"/>
      <c r="T112" s="27"/>
    </row>
    <row r="113" spans="1:2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5"/>
      <c r="K113" s="15"/>
      <c r="L113" s="13"/>
      <c r="M113" s="13"/>
      <c r="N113" s="13"/>
      <c r="O113" s="13"/>
      <c r="P113" s="13"/>
      <c r="Q113" s="30"/>
      <c r="R113" s="30"/>
      <c r="S113" s="27"/>
      <c r="T113" s="27"/>
    </row>
    <row r="114" spans="1:2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5"/>
      <c r="K114" s="15"/>
      <c r="L114" s="13"/>
      <c r="M114" s="13"/>
      <c r="N114" s="13"/>
      <c r="O114" s="15"/>
      <c r="P114" s="31"/>
      <c r="Q114" s="30"/>
      <c r="R114" s="30"/>
      <c r="S114" s="27"/>
      <c r="T114" s="27"/>
    </row>
    <row r="115" spans="1:2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5"/>
      <c r="K115" s="15"/>
      <c r="L115" s="13"/>
      <c r="M115" s="13"/>
      <c r="N115" s="13"/>
      <c r="O115" s="15"/>
      <c r="P115" s="31"/>
      <c r="Q115" s="30"/>
      <c r="R115" s="30"/>
      <c r="S115" s="27"/>
      <c r="T115" s="27"/>
    </row>
    <row r="116" spans="1:2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5"/>
      <c r="K116" s="15"/>
      <c r="L116" s="13"/>
      <c r="M116" s="13"/>
      <c r="N116" s="13"/>
      <c r="O116" s="15"/>
      <c r="P116" s="31"/>
      <c r="Q116" s="30"/>
      <c r="R116" s="30"/>
      <c r="S116" s="27"/>
      <c r="T116" s="27"/>
    </row>
    <row r="117" spans="1:2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5"/>
      <c r="K117" s="15"/>
      <c r="L117" s="13"/>
      <c r="M117" s="13"/>
      <c r="N117" s="13"/>
      <c r="O117" s="15"/>
      <c r="P117" s="31"/>
      <c r="Q117" s="30"/>
      <c r="R117" s="30"/>
      <c r="S117" s="27"/>
      <c r="T117" s="27"/>
    </row>
    <row r="118" spans="1:2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5"/>
      <c r="K118" s="15"/>
      <c r="L118" s="13"/>
      <c r="M118" s="13"/>
      <c r="N118" s="13"/>
      <c r="O118" s="13"/>
      <c r="P118" s="13"/>
      <c r="Q118" s="30"/>
      <c r="R118" s="30"/>
      <c r="S118" s="27"/>
      <c r="T118" s="27"/>
    </row>
    <row r="119" spans="1:2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5"/>
      <c r="K119" s="15"/>
      <c r="L119" s="13"/>
      <c r="M119" s="13"/>
      <c r="N119" s="13"/>
      <c r="O119" s="15"/>
      <c r="P119" s="31"/>
      <c r="Q119" s="30"/>
      <c r="R119" s="30"/>
      <c r="S119" s="27"/>
      <c r="T119" s="27"/>
    </row>
    <row r="120" spans="1:2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5"/>
      <c r="K120" s="15"/>
      <c r="L120" s="13"/>
      <c r="M120" s="13"/>
      <c r="N120" s="13"/>
      <c r="O120" s="15"/>
      <c r="P120" s="31"/>
      <c r="Q120" s="30"/>
      <c r="R120" s="30"/>
      <c r="S120" s="27"/>
      <c r="T120" s="27"/>
    </row>
    <row r="121" spans="1:2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5"/>
      <c r="K121" s="15"/>
      <c r="L121" s="13"/>
      <c r="M121" s="13"/>
      <c r="N121" s="13"/>
      <c r="O121" s="15"/>
      <c r="P121" s="31"/>
      <c r="Q121" s="30"/>
      <c r="R121" s="30"/>
      <c r="S121" s="27"/>
      <c r="T121" s="27"/>
    </row>
    <row r="122" spans="1:2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5"/>
      <c r="K122" s="15"/>
      <c r="L122" s="13"/>
      <c r="M122" s="13"/>
      <c r="N122" s="13"/>
      <c r="O122" s="13"/>
      <c r="P122" s="13"/>
      <c r="Q122" s="30"/>
      <c r="R122" s="30"/>
      <c r="S122" s="27"/>
      <c r="T122" s="27"/>
    </row>
    <row r="123" spans="1:2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5"/>
      <c r="K123" s="15"/>
      <c r="L123" s="13"/>
      <c r="M123" s="13"/>
      <c r="N123" s="13"/>
      <c r="O123" s="15"/>
      <c r="P123" s="31"/>
      <c r="Q123" s="30"/>
      <c r="R123" s="30"/>
      <c r="S123" s="27"/>
      <c r="T123" s="27"/>
    </row>
    <row r="124" spans="1:2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5"/>
      <c r="K124" s="15"/>
      <c r="L124" s="13"/>
      <c r="M124" s="13"/>
      <c r="N124" s="13"/>
      <c r="O124" s="15"/>
      <c r="P124" s="31"/>
      <c r="Q124" s="30"/>
      <c r="R124" s="30"/>
      <c r="S124" s="27"/>
      <c r="T124" s="27"/>
    </row>
    <row r="125" spans="1:2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5"/>
      <c r="K125" s="15"/>
      <c r="L125" s="13"/>
      <c r="M125" s="13"/>
      <c r="N125" s="13"/>
      <c r="O125" s="15"/>
      <c r="P125" s="31"/>
      <c r="Q125" s="30"/>
      <c r="R125" s="30"/>
      <c r="S125" s="27"/>
      <c r="T125" s="27"/>
    </row>
    <row r="126" spans="1:2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5"/>
      <c r="K126" s="15"/>
      <c r="L126" s="13"/>
      <c r="M126" s="13"/>
      <c r="N126" s="13"/>
      <c r="O126" s="15"/>
      <c r="P126" s="31"/>
      <c r="Q126" s="30"/>
      <c r="R126" s="30"/>
      <c r="S126" s="27"/>
      <c r="T126" s="27"/>
    </row>
    <row r="127" spans="1:2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5"/>
      <c r="K127" s="15"/>
      <c r="L127" s="13"/>
      <c r="M127" s="13"/>
      <c r="N127" s="13"/>
      <c r="O127" s="13"/>
      <c r="P127" s="13"/>
      <c r="Q127" s="30"/>
      <c r="R127" s="30"/>
      <c r="S127" s="27"/>
      <c r="T127" s="27"/>
    </row>
    <row r="128" spans="1:2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5"/>
      <c r="K128" s="15"/>
      <c r="L128" s="13"/>
      <c r="M128" s="13"/>
      <c r="N128" s="13"/>
      <c r="O128" s="15"/>
      <c r="P128" s="31"/>
      <c r="Q128" s="30"/>
      <c r="R128" s="30"/>
      <c r="S128" s="27"/>
      <c r="T128" s="27"/>
    </row>
    <row r="129" spans="1:2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5"/>
      <c r="K129" s="15"/>
      <c r="L129" s="13"/>
      <c r="M129" s="13"/>
      <c r="N129" s="13"/>
      <c r="O129" s="15"/>
      <c r="P129" s="31"/>
      <c r="Q129" s="30"/>
      <c r="R129" s="30"/>
      <c r="S129" s="27"/>
      <c r="T129" s="27"/>
    </row>
    <row r="130" spans="1:2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5"/>
      <c r="K130" s="15"/>
      <c r="L130" s="13"/>
      <c r="M130" s="13"/>
      <c r="N130" s="13"/>
      <c r="O130" s="15"/>
      <c r="P130" s="31"/>
      <c r="Q130" s="30"/>
      <c r="R130" s="30"/>
      <c r="S130" s="27"/>
      <c r="T130" s="27"/>
    </row>
    <row r="131" spans="1:2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5"/>
      <c r="K131" s="15"/>
      <c r="L131" s="13"/>
      <c r="M131" s="13"/>
      <c r="N131" s="13"/>
      <c r="O131" s="15"/>
      <c r="P131" s="31"/>
      <c r="Q131" s="30"/>
      <c r="R131" s="30"/>
      <c r="S131" s="27"/>
      <c r="T131" s="27"/>
    </row>
    <row r="132" spans="1:2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5"/>
      <c r="K132" s="15"/>
      <c r="L132" s="13"/>
      <c r="M132" s="13"/>
      <c r="N132" s="13"/>
      <c r="O132" s="13"/>
      <c r="P132" s="13"/>
      <c r="Q132" s="30"/>
      <c r="R132" s="30"/>
      <c r="S132" s="27"/>
      <c r="T132" s="27"/>
    </row>
    <row r="133" spans="1:2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5"/>
      <c r="K133" s="15"/>
      <c r="L133" s="13"/>
      <c r="M133" s="13"/>
      <c r="N133" s="13"/>
      <c r="O133" s="15"/>
      <c r="P133" s="31"/>
      <c r="Q133" s="30"/>
      <c r="R133" s="30"/>
      <c r="S133" s="27"/>
      <c r="T133" s="27"/>
    </row>
    <row r="134" spans="1:2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5"/>
      <c r="K134" s="15"/>
      <c r="L134" s="13"/>
      <c r="M134" s="13"/>
      <c r="N134" s="13"/>
      <c r="O134" s="15"/>
      <c r="P134" s="31"/>
      <c r="Q134" s="30"/>
      <c r="R134" s="30"/>
      <c r="S134" s="27"/>
      <c r="T134" s="27"/>
    </row>
    <row r="135" spans="1:2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5"/>
      <c r="K135" s="15"/>
      <c r="L135" s="13"/>
      <c r="M135" s="13"/>
      <c r="N135" s="13"/>
      <c r="O135" s="13"/>
      <c r="P135" s="13"/>
      <c r="Q135" s="30"/>
      <c r="R135" s="30"/>
      <c r="S135" s="27"/>
      <c r="T135" s="27"/>
    </row>
    <row r="136" spans="1:2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5"/>
      <c r="K136" s="15"/>
      <c r="L136" s="13"/>
      <c r="M136" s="13"/>
      <c r="N136" s="13"/>
      <c r="O136" s="15"/>
      <c r="P136" s="31"/>
      <c r="Q136" s="30"/>
      <c r="R136" s="30"/>
      <c r="S136" s="27"/>
      <c r="T136" s="27"/>
    </row>
    <row r="137" spans="1:2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5"/>
      <c r="K137" s="15"/>
      <c r="L137" s="13"/>
      <c r="M137" s="13"/>
      <c r="N137" s="13"/>
      <c r="O137" s="15"/>
      <c r="P137" s="31"/>
      <c r="Q137" s="30"/>
      <c r="R137" s="30"/>
      <c r="S137" s="27"/>
      <c r="T137" s="27"/>
    </row>
    <row r="138" spans="1:2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5"/>
      <c r="K138" s="15"/>
      <c r="L138" s="13"/>
      <c r="M138" s="13"/>
      <c r="N138" s="13"/>
      <c r="O138" s="15"/>
      <c r="P138" s="31"/>
      <c r="Q138" s="30"/>
      <c r="R138" s="30"/>
      <c r="S138" s="27"/>
      <c r="T138" s="27"/>
    </row>
    <row r="139" spans="1:2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5"/>
      <c r="K139" s="15"/>
      <c r="L139" s="13"/>
      <c r="M139" s="13"/>
      <c r="N139" s="13"/>
      <c r="O139" s="13"/>
      <c r="P139" s="13"/>
      <c r="Q139" s="30"/>
      <c r="R139" s="30"/>
      <c r="S139" s="27"/>
      <c r="T139" s="27"/>
    </row>
    <row r="140" spans="1:2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5"/>
      <c r="K140" s="15"/>
      <c r="L140" s="13"/>
      <c r="M140" s="13"/>
      <c r="N140" s="13"/>
      <c r="O140" s="15"/>
      <c r="P140" s="31"/>
      <c r="Q140" s="30"/>
      <c r="R140" s="30"/>
      <c r="S140" s="27"/>
      <c r="T140" s="27"/>
    </row>
    <row r="141" spans="1:2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5"/>
      <c r="K141" s="15"/>
      <c r="L141" s="13"/>
      <c r="M141" s="13"/>
      <c r="N141" s="13"/>
      <c r="O141" s="15"/>
      <c r="P141" s="31"/>
      <c r="Q141" s="30"/>
      <c r="R141" s="30"/>
      <c r="S141" s="27"/>
      <c r="T141" s="27"/>
    </row>
    <row r="142" spans="1:2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5"/>
      <c r="K142" s="15"/>
      <c r="L142" s="13"/>
      <c r="M142" s="13"/>
      <c r="N142" s="13"/>
      <c r="O142" s="13"/>
      <c r="P142" s="13"/>
      <c r="Q142" s="30"/>
      <c r="R142" s="30"/>
      <c r="S142" s="27"/>
      <c r="T142" s="27"/>
    </row>
    <row r="143" spans="1:2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5"/>
      <c r="K143" s="15"/>
      <c r="L143" s="13"/>
      <c r="M143" s="13"/>
      <c r="N143" s="13"/>
      <c r="O143" s="15"/>
      <c r="P143" s="31"/>
      <c r="Q143" s="30"/>
      <c r="R143" s="30"/>
      <c r="S143" s="27"/>
      <c r="T143" s="27"/>
    </row>
    <row r="144" spans="1:2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5"/>
      <c r="K144" s="15"/>
      <c r="L144" s="13"/>
      <c r="M144" s="13"/>
      <c r="N144" s="13"/>
      <c r="O144" s="15"/>
      <c r="P144" s="31"/>
      <c r="Q144" s="30"/>
      <c r="R144" s="30"/>
      <c r="S144" s="27"/>
      <c r="T144" s="27"/>
    </row>
    <row r="145" spans="1:2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5"/>
      <c r="K145" s="15"/>
      <c r="L145" s="13"/>
      <c r="M145" s="13"/>
      <c r="N145" s="13"/>
      <c r="O145" s="15"/>
      <c r="P145" s="31"/>
      <c r="Q145" s="30"/>
      <c r="R145" s="30"/>
      <c r="S145" s="27"/>
      <c r="T145" s="27"/>
    </row>
    <row r="146" spans="1:2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5"/>
      <c r="K146" s="15"/>
      <c r="L146" s="13"/>
      <c r="M146" s="13"/>
      <c r="N146" s="13"/>
      <c r="O146" s="15"/>
      <c r="P146" s="31"/>
      <c r="Q146" s="30"/>
      <c r="R146" s="30"/>
      <c r="S146" s="27"/>
      <c r="T146" s="27"/>
    </row>
    <row r="147" spans="1:2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5"/>
      <c r="K147" s="15"/>
      <c r="L147" s="13"/>
      <c r="M147" s="13"/>
      <c r="N147" s="13"/>
      <c r="O147" s="13"/>
      <c r="P147" s="13"/>
      <c r="Q147" s="30"/>
      <c r="R147" s="30"/>
      <c r="S147" s="27"/>
      <c r="T147" s="27"/>
    </row>
    <row r="148" spans="1:2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5"/>
      <c r="K148" s="15"/>
      <c r="L148" s="13"/>
      <c r="M148" s="13"/>
      <c r="N148" s="13"/>
      <c r="O148" s="15"/>
      <c r="P148" s="31"/>
      <c r="Q148" s="30"/>
      <c r="R148" s="30"/>
      <c r="S148" s="27"/>
      <c r="T148" s="27"/>
    </row>
    <row r="149" spans="1:2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5"/>
      <c r="K149" s="15"/>
      <c r="L149" s="13"/>
      <c r="M149" s="13"/>
      <c r="N149" s="13"/>
      <c r="O149" s="15"/>
      <c r="P149" s="31"/>
      <c r="Q149" s="30"/>
      <c r="R149" s="30"/>
      <c r="S149" s="27"/>
      <c r="T149" s="27"/>
    </row>
    <row r="150" spans="1:2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5"/>
      <c r="K150" s="15"/>
      <c r="L150" s="13"/>
      <c r="M150" s="13"/>
      <c r="N150" s="13"/>
      <c r="O150" s="15"/>
      <c r="P150" s="31"/>
      <c r="Q150" s="30"/>
      <c r="R150" s="30"/>
      <c r="S150" s="27"/>
      <c r="T150" s="27"/>
    </row>
    <row r="151" spans="1:2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5"/>
      <c r="K151" s="15"/>
      <c r="L151" s="13"/>
      <c r="M151" s="13"/>
      <c r="N151" s="13"/>
      <c r="O151" s="13"/>
      <c r="P151" s="13"/>
      <c r="Q151" s="30"/>
      <c r="R151" s="30"/>
      <c r="S151" s="27"/>
      <c r="T151" s="27"/>
    </row>
    <row r="152" spans="1:2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5"/>
      <c r="K152" s="15"/>
      <c r="L152" s="13"/>
      <c r="M152" s="13"/>
      <c r="N152" s="13"/>
      <c r="O152" s="15"/>
      <c r="P152" s="31"/>
      <c r="Q152" s="30"/>
      <c r="R152" s="30"/>
      <c r="S152" s="27"/>
      <c r="T152" s="27"/>
    </row>
    <row r="153" spans="1:2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5"/>
      <c r="K153" s="15"/>
      <c r="L153" s="13"/>
      <c r="M153" s="13"/>
      <c r="N153" s="13"/>
      <c r="O153" s="15"/>
      <c r="P153" s="31"/>
      <c r="Q153" s="30"/>
      <c r="R153" s="30"/>
      <c r="S153" s="27"/>
      <c r="T153" s="27"/>
    </row>
    <row r="154" spans="1:2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5"/>
      <c r="K154" s="15"/>
      <c r="L154" s="13"/>
      <c r="M154" s="13"/>
      <c r="N154" s="13"/>
      <c r="O154" s="15"/>
      <c r="P154" s="31"/>
      <c r="Q154" s="30"/>
      <c r="R154" s="30"/>
      <c r="S154" s="27"/>
      <c r="T154" s="27"/>
    </row>
    <row r="155" spans="1:2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5"/>
      <c r="K155" s="15"/>
      <c r="L155" s="13"/>
      <c r="M155" s="13"/>
      <c r="N155" s="13"/>
      <c r="O155" s="15"/>
      <c r="P155" s="31"/>
      <c r="Q155" s="30"/>
      <c r="R155" s="30"/>
      <c r="S155" s="27"/>
      <c r="T155" s="27"/>
    </row>
    <row r="156" spans="1:2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5"/>
      <c r="K156" s="15"/>
      <c r="L156" s="13"/>
      <c r="M156" s="13"/>
      <c r="N156" s="13"/>
      <c r="O156" s="13"/>
      <c r="P156" s="13"/>
      <c r="Q156" s="30"/>
      <c r="R156" s="30"/>
      <c r="S156" s="27"/>
      <c r="T156" s="27"/>
    </row>
    <row r="157" spans="1:2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5"/>
      <c r="K157" s="15"/>
      <c r="L157" s="13"/>
      <c r="M157" s="13"/>
      <c r="N157" s="13"/>
      <c r="O157" s="15"/>
      <c r="P157" s="31"/>
      <c r="Q157" s="30"/>
      <c r="R157" s="30"/>
      <c r="S157" s="27"/>
      <c r="T157" s="27"/>
    </row>
    <row r="158" spans="1:2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5"/>
      <c r="K158" s="15"/>
      <c r="L158" s="13"/>
      <c r="M158" s="13"/>
      <c r="N158" s="13"/>
      <c r="O158" s="15"/>
      <c r="P158" s="31"/>
      <c r="Q158" s="30"/>
      <c r="R158" s="30"/>
      <c r="S158" s="27"/>
      <c r="T158" s="27"/>
    </row>
    <row r="159" spans="1:2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5"/>
      <c r="K159" s="15"/>
      <c r="L159" s="13"/>
      <c r="M159" s="13"/>
      <c r="N159" s="13"/>
      <c r="O159" s="15"/>
      <c r="P159" s="31"/>
      <c r="Q159" s="30"/>
      <c r="R159" s="30"/>
      <c r="S159" s="27"/>
      <c r="T159" s="27"/>
    </row>
    <row r="160" spans="1:2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5"/>
      <c r="K160" s="15"/>
      <c r="L160" s="13"/>
      <c r="M160" s="13"/>
      <c r="N160" s="13"/>
      <c r="O160" s="15"/>
      <c r="P160" s="31"/>
      <c r="Q160" s="30"/>
      <c r="R160" s="30"/>
      <c r="S160" s="27"/>
      <c r="T160" s="27"/>
    </row>
    <row r="161" spans="1:2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5"/>
      <c r="K161" s="15"/>
      <c r="L161" s="13"/>
      <c r="M161" s="13"/>
      <c r="N161" s="13"/>
      <c r="O161" s="13"/>
      <c r="P161" s="13"/>
      <c r="Q161" s="30"/>
      <c r="R161" s="30"/>
      <c r="S161" s="27"/>
      <c r="T161" s="27"/>
    </row>
    <row r="162" spans="1:2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5"/>
      <c r="K162" s="15"/>
      <c r="L162" s="13"/>
      <c r="M162" s="13"/>
      <c r="N162" s="13"/>
      <c r="O162" s="15"/>
      <c r="P162" s="31"/>
      <c r="Q162" s="30"/>
      <c r="R162" s="30"/>
      <c r="S162" s="27"/>
      <c r="T162" s="27"/>
    </row>
    <row r="163" spans="1:2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5"/>
      <c r="K163" s="15"/>
      <c r="L163" s="13"/>
      <c r="M163" s="13"/>
      <c r="N163" s="13"/>
      <c r="O163" s="15"/>
      <c r="P163" s="31"/>
      <c r="Q163" s="30"/>
      <c r="R163" s="30"/>
      <c r="S163" s="27"/>
      <c r="T163" s="27"/>
    </row>
    <row r="164" spans="1:2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5"/>
      <c r="K164" s="15"/>
      <c r="L164" s="13"/>
      <c r="M164" s="13"/>
      <c r="N164" s="13"/>
      <c r="O164" s="15"/>
      <c r="P164" s="31"/>
      <c r="Q164" s="30"/>
      <c r="R164" s="30"/>
      <c r="S164" s="27"/>
      <c r="T164" s="27"/>
    </row>
    <row r="165" spans="1:2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5"/>
      <c r="K165" s="15"/>
      <c r="L165" s="13"/>
      <c r="M165" s="13"/>
      <c r="N165" s="13"/>
      <c r="O165" s="15"/>
      <c r="P165" s="31"/>
      <c r="Q165" s="30"/>
      <c r="R165" s="30"/>
      <c r="S165" s="27"/>
      <c r="T165" s="27"/>
    </row>
    <row r="166" spans="1:2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5"/>
      <c r="K166" s="15"/>
      <c r="L166" s="13"/>
      <c r="M166" s="13"/>
      <c r="N166" s="13"/>
      <c r="O166" s="15"/>
      <c r="P166" s="31"/>
      <c r="Q166" s="30"/>
      <c r="R166" s="30"/>
      <c r="S166" s="27"/>
      <c r="T166" s="27"/>
    </row>
    <row r="167" spans="1:2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5"/>
      <c r="K167" s="15"/>
      <c r="L167" s="13"/>
      <c r="M167" s="13"/>
      <c r="N167" s="13"/>
      <c r="O167" s="13"/>
      <c r="P167" s="13"/>
      <c r="Q167" s="30"/>
      <c r="R167" s="30"/>
      <c r="S167" s="27"/>
      <c r="T167" s="27"/>
    </row>
    <row r="168" spans="1:2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5"/>
      <c r="K168" s="15"/>
      <c r="L168" s="13"/>
      <c r="M168" s="13"/>
      <c r="N168" s="13"/>
      <c r="O168" s="15"/>
      <c r="P168" s="31"/>
      <c r="Q168" s="30"/>
      <c r="R168" s="30"/>
      <c r="S168" s="27"/>
      <c r="T168" s="27"/>
    </row>
    <row r="169" spans="1:2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5"/>
      <c r="K169" s="15"/>
      <c r="L169" s="13"/>
      <c r="M169" s="13"/>
      <c r="N169" s="13"/>
      <c r="O169" s="15"/>
      <c r="P169" s="31"/>
      <c r="Q169" s="30"/>
      <c r="R169" s="30"/>
      <c r="S169" s="27"/>
      <c r="T169" s="27"/>
    </row>
    <row r="170" spans="1:2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5"/>
      <c r="K170" s="15"/>
      <c r="L170" s="13"/>
      <c r="M170" s="13"/>
      <c r="N170" s="13"/>
      <c r="O170" s="15"/>
      <c r="P170" s="31"/>
      <c r="Q170" s="30"/>
      <c r="R170" s="30"/>
      <c r="S170" s="27"/>
      <c r="T170" s="27"/>
    </row>
    <row r="171" spans="1:2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5"/>
      <c r="K171" s="15"/>
      <c r="L171" s="13"/>
      <c r="M171" s="13"/>
      <c r="N171" s="13"/>
      <c r="O171" s="15"/>
      <c r="P171" s="31"/>
      <c r="Q171" s="30"/>
      <c r="R171" s="30"/>
      <c r="S171" s="27"/>
      <c r="T171" s="27"/>
    </row>
    <row r="172" spans="1:2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5"/>
      <c r="K172" s="15"/>
      <c r="L172" s="13"/>
      <c r="M172" s="13"/>
      <c r="N172" s="13"/>
      <c r="O172" s="15"/>
      <c r="P172" s="31"/>
      <c r="Q172" s="30"/>
      <c r="R172" s="30"/>
      <c r="S172" s="27"/>
      <c r="T172" s="27"/>
    </row>
    <row r="173" spans="1:2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5"/>
      <c r="K173" s="15"/>
      <c r="L173" s="13"/>
      <c r="M173" s="13"/>
      <c r="N173" s="13"/>
      <c r="O173" s="13"/>
      <c r="P173" s="13"/>
      <c r="Q173" s="30"/>
      <c r="R173" s="30"/>
      <c r="S173" s="27"/>
      <c r="T173" s="27"/>
    </row>
    <row r="174" spans="1:2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5"/>
      <c r="K174" s="15"/>
      <c r="L174" s="13"/>
      <c r="M174" s="13"/>
      <c r="N174" s="13"/>
      <c r="O174" s="15"/>
      <c r="P174" s="31"/>
      <c r="Q174" s="30"/>
      <c r="R174" s="30"/>
      <c r="S174" s="27"/>
      <c r="T174" s="27"/>
    </row>
    <row r="175" spans="1:2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5"/>
      <c r="K175" s="15"/>
      <c r="L175" s="13"/>
      <c r="M175" s="13"/>
      <c r="N175" s="13"/>
      <c r="O175" s="15"/>
      <c r="P175" s="31"/>
      <c r="Q175" s="30"/>
      <c r="R175" s="30"/>
      <c r="S175" s="27"/>
      <c r="T175" s="27"/>
    </row>
    <row r="176" spans="1:2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5"/>
      <c r="K176" s="15"/>
      <c r="L176" s="13"/>
      <c r="M176" s="13"/>
      <c r="N176" s="13"/>
      <c r="O176" s="15"/>
      <c r="P176" s="31"/>
      <c r="Q176" s="30"/>
      <c r="R176" s="30"/>
      <c r="S176" s="27"/>
      <c r="T176" s="27"/>
    </row>
    <row r="177" spans="1:2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5"/>
      <c r="K177" s="15"/>
      <c r="L177" s="13"/>
      <c r="M177" s="13"/>
      <c r="N177" s="13"/>
      <c r="O177" s="15"/>
      <c r="P177" s="31"/>
      <c r="Q177" s="30"/>
      <c r="R177" s="30"/>
      <c r="S177" s="27"/>
      <c r="T177" s="27"/>
    </row>
    <row r="178" spans="1:2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5"/>
      <c r="K178" s="15"/>
      <c r="L178" s="13"/>
      <c r="M178" s="13"/>
      <c r="N178" s="13"/>
      <c r="O178" s="15"/>
      <c r="P178" s="31"/>
      <c r="Q178" s="30"/>
      <c r="R178" s="30"/>
      <c r="S178" s="27"/>
      <c r="T178" s="27"/>
    </row>
    <row r="179" spans="1:2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5"/>
      <c r="K179" s="15"/>
      <c r="L179" s="13"/>
      <c r="M179" s="13"/>
      <c r="N179" s="13"/>
      <c r="O179" s="13"/>
      <c r="P179" s="13"/>
      <c r="Q179" s="30"/>
      <c r="R179" s="30"/>
      <c r="S179" s="27"/>
      <c r="T179" s="27"/>
    </row>
    <row r="180" spans="1:2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5"/>
      <c r="K180" s="15"/>
      <c r="L180" s="13"/>
      <c r="M180" s="13"/>
      <c r="N180" s="13"/>
      <c r="O180" s="15"/>
      <c r="P180" s="31"/>
      <c r="Q180" s="30"/>
      <c r="R180" s="30"/>
      <c r="S180" s="27"/>
      <c r="T180" s="27"/>
    </row>
    <row r="181" spans="1:2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5"/>
      <c r="K181" s="15"/>
      <c r="L181" s="13"/>
      <c r="M181" s="13"/>
      <c r="N181" s="13"/>
      <c r="O181" s="15"/>
      <c r="P181" s="31"/>
      <c r="Q181" s="30"/>
      <c r="R181" s="30"/>
      <c r="S181" s="27"/>
      <c r="T181" s="27"/>
    </row>
    <row r="182" spans="1:2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5"/>
      <c r="K182" s="15"/>
      <c r="L182" s="13"/>
      <c r="M182" s="13"/>
      <c r="N182" s="13"/>
      <c r="O182" s="15"/>
      <c r="P182" s="31"/>
      <c r="Q182" s="30"/>
      <c r="R182" s="30"/>
      <c r="S182" s="27"/>
      <c r="T182" s="27"/>
    </row>
    <row r="183" spans="1:2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5"/>
      <c r="K183" s="15"/>
      <c r="L183" s="13"/>
      <c r="M183" s="13"/>
      <c r="N183" s="13"/>
      <c r="O183" s="15"/>
      <c r="P183" s="31"/>
      <c r="Q183" s="30"/>
      <c r="R183" s="30"/>
      <c r="S183" s="27"/>
      <c r="T183" s="27"/>
    </row>
    <row r="184" spans="1:2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5"/>
      <c r="K184" s="15"/>
      <c r="L184" s="13"/>
      <c r="M184" s="13"/>
      <c r="N184" s="13"/>
      <c r="O184" s="13"/>
      <c r="P184" s="13"/>
      <c r="Q184" s="30"/>
      <c r="R184" s="30"/>
      <c r="S184" s="27"/>
      <c r="T184" s="27"/>
    </row>
    <row r="185" spans="1:2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5"/>
      <c r="K185" s="15"/>
      <c r="L185" s="13"/>
      <c r="M185" s="13"/>
      <c r="N185" s="13"/>
      <c r="O185" s="15"/>
      <c r="P185" s="31"/>
      <c r="Q185" s="30"/>
      <c r="R185" s="30"/>
      <c r="S185" s="27"/>
      <c r="T185" s="27"/>
    </row>
    <row r="186" spans="1:2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5"/>
      <c r="K186" s="15"/>
      <c r="L186" s="13"/>
      <c r="M186" s="13"/>
      <c r="N186" s="13"/>
      <c r="O186" s="15"/>
      <c r="P186" s="31"/>
      <c r="Q186" s="30"/>
      <c r="R186" s="30"/>
      <c r="S186" s="27"/>
      <c r="T186" s="27"/>
    </row>
    <row r="187" spans="1:2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5"/>
      <c r="K187" s="15"/>
      <c r="L187" s="13"/>
      <c r="M187" s="13"/>
      <c r="N187" s="13"/>
      <c r="O187" s="15"/>
      <c r="P187" s="31"/>
      <c r="Q187" s="30"/>
      <c r="R187" s="30"/>
      <c r="S187" s="27"/>
      <c r="T187" s="27"/>
    </row>
    <row r="188" spans="1:2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5"/>
      <c r="K188" s="15"/>
      <c r="L188" s="13"/>
      <c r="M188" s="13"/>
      <c r="N188" s="13"/>
      <c r="O188" s="15"/>
      <c r="P188" s="31"/>
      <c r="Q188" s="30"/>
      <c r="R188" s="30"/>
      <c r="S188" s="27"/>
      <c r="T188" s="27"/>
    </row>
    <row r="189" spans="1:2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5"/>
      <c r="K189" s="15"/>
      <c r="L189" s="13"/>
      <c r="M189" s="13"/>
      <c r="N189" s="13"/>
      <c r="O189" s="15"/>
      <c r="P189" s="31"/>
      <c r="Q189" s="30"/>
      <c r="R189" s="30"/>
      <c r="S189" s="27"/>
      <c r="T189" s="27"/>
    </row>
    <row r="190" spans="1:2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5"/>
      <c r="K190" s="15"/>
      <c r="L190" s="13"/>
      <c r="M190" s="13"/>
      <c r="N190" s="13"/>
      <c r="O190" s="13"/>
      <c r="P190" s="13"/>
      <c r="Q190" s="30"/>
      <c r="R190" s="30"/>
      <c r="S190" s="27"/>
      <c r="T190" s="27"/>
    </row>
    <row r="191" spans="1:2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5"/>
      <c r="K191" s="15"/>
      <c r="L191" s="13"/>
      <c r="M191" s="13"/>
      <c r="N191" s="13"/>
      <c r="O191" s="15"/>
      <c r="P191" s="31"/>
      <c r="Q191" s="30"/>
      <c r="R191" s="30"/>
      <c r="S191" s="27"/>
      <c r="T191" s="27"/>
    </row>
    <row r="192" spans="1:2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5"/>
      <c r="K192" s="15"/>
      <c r="L192" s="13"/>
      <c r="M192" s="13"/>
      <c r="N192" s="13"/>
      <c r="O192" s="15"/>
      <c r="P192" s="31"/>
      <c r="Q192" s="30"/>
      <c r="R192" s="30"/>
      <c r="S192" s="27"/>
      <c r="T192" s="27"/>
    </row>
    <row r="193" spans="1:2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5"/>
      <c r="K193" s="15"/>
      <c r="L193" s="13"/>
      <c r="M193" s="13"/>
      <c r="N193" s="13"/>
      <c r="O193" s="15"/>
      <c r="P193" s="31"/>
      <c r="Q193" s="30"/>
      <c r="R193" s="30"/>
      <c r="S193" s="27"/>
      <c r="T193" s="27"/>
    </row>
    <row r="194" spans="1:2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5"/>
      <c r="K194" s="15"/>
      <c r="L194" s="13"/>
      <c r="M194" s="13"/>
      <c r="N194" s="13"/>
      <c r="O194" s="15"/>
      <c r="P194" s="31"/>
      <c r="Q194" s="30"/>
      <c r="R194" s="30"/>
      <c r="S194" s="27"/>
      <c r="T194" s="27"/>
    </row>
    <row r="195" spans="1:2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5"/>
      <c r="K195" s="15"/>
      <c r="L195" s="13"/>
      <c r="M195" s="13"/>
      <c r="N195" s="13"/>
      <c r="O195" s="13"/>
      <c r="P195" s="13"/>
      <c r="Q195" s="30"/>
      <c r="R195" s="30"/>
      <c r="S195" s="27"/>
      <c r="T195" s="27"/>
    </row>
    <row r="196" spans="1:2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5"/>
      <c r="K196" s="15"/>
      <c r="L196" s="13"/>
      <c r="M196" s="13"/>
      <c r="N196" s="13"/>
      <c r="O196" s="15"/>
      <c r="P196" s="31"/>
      <c r="Q196" s="30"/>
      <c r="R196" s="30"/>
      <c r="S196" s="27"/>
      <c r="T196" s="27"/>
    </row>
    <row r="197" spans="1:2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5"/>
      <c r="K197" s="15"/>
      <c r="L197" s="13"/>
      <c r="M197" s="13"/>
      <c r="N197" s="13"/>
      <c r="O197" s="15"/>
      <c r="P197" s="31"/>
      <c r="Q197" s="30"/>
      <c r="R197" s="30"/>
      <c r="S197" s="27"/>
      <c r="T197" s="27"/>
    </row>
    <row r="198" spans="1:2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5"/>
      <c r="K198" s="15"/>
      <c r="L198" s="13"/>
      <c r="M198" s="13"/>
      <c r="N198" s="13"/>
      <c r="O198" s="15"/>
      <c r="P198" s="31"/>
      <c r="Q198" s="30"/>
      <c r="R198" s="30"/>
      <c r="S198" s="27"/>
      <c r="T198" s="27"/>
    </row>
    <row r="199" spans="1:2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5"/>
      <c r="K199" s="15"/>
      <c r="L199" s="13"/>
      <c r="M199" s="13"/>
      <c r="N199" s="13"/>
      <c r="O199" s="15"/>
      <c r="P199" s="31"/>
      <c r="Q199" s="30"/>
      <c r="R199" s="30"/>
      <c r="S199" s="27"/>
      <c r="T199" s="27"/>
    </row>
    <row r="200" spans="1:2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5"/>
      <c r="K200" s="15"/>
      <c r="L200" s="13"/>
      <c r="M200" s="13"/>
      <c r="N200" s="13"/>
      <c r="O200" s="15"/>
      <c r="P200" s="31"/>
      <c r="Q200" s="30"/>
      <c r="R200" s="30"/>
      <c r="S200" s="27"/>
      <c r="T200" s="27"/>
    </row>
    <row r="201" spans="1:2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5"/>
      <c r="K201" s="15"/>
      <c r="L201" s="13"/>
      <c r="M201" s="13"/>
      <c r="N201" s="13"/>
      <c r="O201" s="13"/>
      <c r="P201" s="13"/>
      <c r="Q201" s="30"/>
      <c r="R201" s="30"/>
      <c r="S201" s="27"/>
      <c r="T201" s="27"/>
    </row>
    <row r="202" spans="1:2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5"/>
      <c r="K202" s="15"/>
      <c r="L202" s="13"/>
      <c r="M202" s="13"/>
      <c r="N202" s="13"/>
      <c r="O202" s="15"/>
      <c r="P202" s="31"/>
      <c r="Q202" s="30"/>
      <c r="R202" s="30"/>
      <c r="S202" s="27"/>
      <c r="T202" s="27"/>
    </row>
    <row r="203" spans="1:2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5"/>
      <c r="K203" s="15"/>
      <c r="L203" s="13"/>
      <c r="M203" s="13"/>
      <c r="N203" s="13"/>
      <c r="O203" s="15"/>
      <c r="P203" s="31"/>
      <c r="Q203" s="30"/>
      <c r="R203" s="30"/>
      <c r="S203" s="27"/>
      <c r="T203" s="27"/>
    </row>
    <row r="204" spans="1:2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5"/>
      <c r="K204" s="15"/>
      <c r="L204" s="13"/>
      <c r="M204" s="13"/>
      <c r="N204" s="13"/>
      <c r="O204" s="15"/>
      <c r="P204" s="31"/>
      <c r="Q204" s="30"/>
      <c r="R204" s="30"/>
      <c r="S204" s="27"/>
      <c r="T204" s="27"/>
    </row>
    <row r="205" spans="1:2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5"/>
      <c r="K205" s="15"/>
      <c r="L205" s="13"/>
      <c r="M205" s="13"/>
      <c r="N205" s="13"/>
      <c r="O205" s="15"/>
      <c r="P205" s="31"/>
      <c r="Q205" s="30"/>
      <c r="R205" s="30"/>
      <c r="S205" s="27"/>
      <c r="T205" s="27"/>
    </row>
    <row r="206" spans="1:2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5"/>
      <c r="K206" s="15"/>
      <c r="L206" s="13"/>
      <c r="M206" s="13"/>
      <c r="N206" s="13"/>
      <c r="O206" s="15"/>
      <c r="P206" s="31"/>
      <c r="Q206" s="30"/>
      <c r="R206" s="30"/>
      <c r="S206" s="27"/>
      <c r="T206" s="27"/>
    </row>
    <row r="207" spans="1:2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5"/>
      <c r="K207" s="15"/>
      <c r="L207" s="13"/>
      <c r="M207" s="13"/>
      <c r="N207" s="13"/>
      <c r="O207" s="13"/>
      <c r="P207" s="13"/>
      <c r="Q207" s="30"/>
      <c r="R207" s="30"/>
      <c r="S207" s="27"/>
      <c r="T207" s="27"/>
    </row>
    <row r="208" spans="1:2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5"/>
      <c r="K208" s="15"/>
      <c r="L208" s="13"/>
      <c r="M208" s="13"/>
      <c r="N208" s="13"/>
      <c r="O208" s="15"/>
      <c r="P208" s="31"/>
      <c r="Q208" s="30"/>
      <c r="R208" s="30"/>
      <c r="S208" s="27"/>
      <c r="T208" s="27"/>
    </row>
    <row r="209" spans="1:2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5"/>
      <c r="K209" s="15"/>
      <c r="L209" s="13"/>
      <c r="M209" s="13"/>
      <c r="N209" s="13"/>
      <c r="O209" s="15"/>
      <c r="P209" s="31"/>
      <c r="Q209" s="30"/>
      <c r="R209" s="30"/>
      <c r="S209" s="27"/>
      <c r="T209" s="27"/>
    </row>
    <row r="210" spans="1:2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5"/>
      <c r="K210" s="15"/>
      <c r="L210" s="13"/>
      <c r="M210" s="13"/>
      <c r="N210" s="13"/>
      <c r="O210" s="15"/>
      <c r="P210" s="31"/>
      <c r="Q210" s="30"/>
      <c r="R210" s="30"/>
      <c r="S210" s="27"/>
      <c r="T210" s="27"/>
    </row>
    <row r="211" spans="1:2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5"/>
      <c r="K211" s="15"/>
      <c r="L211" s="13"/>
      <c r="M211" s="13"/>
      <c r="N211" s="13"/>
      <c r="O211" s="15"/>
      <c r="P211" s="31"/>
      <c r="Q211" s="30"/>
      <c r="R211" s="30"/>
      <c r="S211" s="27"/>
      <c r="T211" s="27"/>
    </row>
    <row r="212" spans="1:2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5"/>
      <c r="K212" s="15"/>
      <c r="L212" s="13"/>
      <c r="M212" s="13"/>
      <c r="N212" s="13"/>
      <c r="O212" s="15"/>
      <c r="P212" s="31"/>
      <c r="Q212" s="30"/>
      <c r="R212" s="30"/>
      <c r="S212" s="27"/>
      <c r="T212" s="27"/>
    </row>
    <row r="213" spans="1:2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5"/>
      <c r="K213" s="15"/>
      <c r="L213" s="13"/>
      <c r="M213" s="13"/>
      <c r="N213" s="13"/>
      <c r="O213" s="15"/>
      <c r="P213" s="31"/>
      <c r="Q213" s="30"/>
      <c r="R213" s="30"/>
      <c r="S213" s="27"/>
      <c r="T213" s="27"/>
    </row>
    <row r="214" spans="1:2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5"/>
      <c r="K214" s="15"/>
      <c r="L214" s="13"/>
      <c r="M214" s="13"/>
      <c r="N214" s="13"/>
      <c r="O214" s="13"/>
      <c r="P214" s="31"/>
      <c r="Q214" s="30"/>
      <c r="R214" s="30"/>
      <c r="S214" s="27"/>
      <c r="T214" s="27"/>
    </row>
    <row r="215" spans="1:2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5"/>
      <c r="K215" s="15"/>
      <c r="L215" s="13"/>
      <c r="M215" s="13"/>
      <c r="N215" s="13"/>
      <c r="O215" s="13"/>
      <c r="P215" s="31"/>
      <c r="Q215" s="30"/>
      <c r="R215" s="30"/>
      <c r="S215" s="27"/>
      <c r="T215" s="27"/>
    </row>
    <row r="216" spans="1:2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5"/>
      <c r="K216" s="15"/>
      <c r="L216" s="13"/>
      <c r="M216" s="13"/>
      <c r="N216" s="13"/>
      <c r="O216" s="13"/>
      <c r="P216" s="31"/>
      <c r="Q216" s="30"/>
      <c r="R216" s="30"/>
      <c r="S216" s="27"/>
      <c r="T216" s="27"/>
    </row>
    <row r="217" spans="1:2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5"/>
      <c r="K217" s="15"/>
      <c r="L217" s="13"/>
      <c r="M217" s="13"/>
      <c r="N217" s="13"/>
      <c r="O217" s="13"/>
      <c r="P217" s="13"/>
      <c r="Q217" s="30"/>
      <c r="R217" s="30"/>
      <c r="S217" s="27"/>
      <c r="T217" s="27"/>
    </row>
    <row r="218" spans="1:2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5"/>
      <c r="K218" s="15"/>
      <c r="L218" s="13"/>
      <c r="M218" s="13"/>
      <c r="N218" s="13"/>
      <c r="O218" s="13"/>
      <c r="P218" s="31"/>
      <c r="Q218" s="30"/>
      <c r="R218" s="30"/>
      <c r="S218" s="27"/>
      <c r="T218" s="27"/>
    </row>
    <row r="219" spans="1:2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5"/>
      <c r="K219" s="15"/>
      <c r="L219" s="13"/>
      <c r="M219" s="13"/>
      <c r="N219" s="13"/>
      <c r="O219" s="13"/>
      <c r="P219" s="31"/>
      <c r="Q219" s="30"/>
      <c r="R219" s="30"/>
      <c r="S219" s="27"/>
      <c r="T219" s="27"/>
    </row>
    <row r="220" spans="1:2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5"/>
      <c r="K220" s="15"/>
      <c r="L220" s="13"/>
      <c r="M220" s="13"/>
      <c r="N220" s="13"/>
      <c r="O220" s="13"/>
      <c r="P220" s="31"/>
      <c r="Q220" s="30"/>
      <c r="R220" s="30"/>
      <c r="S220" s="27"/>
      <c r="T220" s="27"/>
    </row>
    <row r="221" spans="1:2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5"/>
      <c r="K221" s="15"/>
      <c r="L221" s="13"/>
      <c r="M221" s="13"/>
      <c r="N221" s="13"/>
      <c r="O221" s="13"/>
      <c r="P221" s="31"/>
      <c r="Q221" s="30"/>
      <c r="R221" s="30"/>
      <c r="S221" s="27"/>
      <c r="T221" s="27"/>
    </row>
    <row r="222" spans="1:2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5"/>
      <c r="K222" s="15"/>
      <c r="L222" s="13"/>
      <c r="M222" s="13"/>
      <c r="N222" s="13"/>
      <c r="O222" s="13"/>
      <c r="P222" s="13"/>
      <c r="Q222" s="30"/>
      <c r="R222" s="30"/>
      <c r="S222" s="27"/>
      <c r="T222" s="27"/>
    </row>
    <row r="223" spans="1:2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5"/>
      <c r="K223" s="15"/>
      <c r="L223" s="13"/>
      <c r="M223" s="13"/>
      <c r="N223" s="13"/>
      <c r="O223" s="13"/>
      <c r="P223" s="31"/>
      <c r="Q223" s="30"/>
      <c r="R223" s="30"/>
      <c r="S223" s="27"/>
      <c r="T223" s="27"/>
    </row>
    <row r="224" spans="1:2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5"/>
      <c r="K224" s="15"/>
      <c r="L224" s="13"/>
      <c r="M224" s="13"/>
      <c r="N224" s="13"/>
      <c r="O224" s="13"/>
      <c r="P224" s="31"/>
      <c r="Q224" s="30"/>
      <c r="R224" s="30"/>
      <c r="S224" s="27"/>
      <c r="T224" s="27"/>
    </row>
    <row r="225" spans="1:2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5"/>
      <c r="K225" s="15"/>
      <c r="L225" s="13"/>
      <c r="M225" s="13"/>
      <c r="N225" s="13"/>
      <c r="O225" s="13"/>
      <c r="P225" s="31"/>
      <c r="Q225" s="30"/>
      <c r="R225" s="30"/>
      <c r="S225" s="27"/>
      <c r="T225" s="27"/>
    </row>
    <row r="226" spans="1:2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5"/>
      <c r="K226" s="15"/>
      <c r="L226" s="13"/>
      <c r="M226" s="13"/>
      <c r="N226" s="13"/>
      <c r="O226" s="13"/>
      <c r="P226" s="31"/>
      <c r="Q226" s="30"/>
      <c r="R226" s="30"/>
      <c r="S226" s="27"/>
      <c r="T226" s="27"/>
    </row>
    <row r="227" spans="1:2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5"/>
      <c r="K227" s="15"/>
      <c r="L227" s="13"/>
      <c r="M227" s="13"/>
      <c r="N227" s="13"/>
      <c r="O227" s="13"/>
      <c r="P227" s="31"/>
      <c r="Q227" s="30"/>
      <c r="R227" s="30"/>
      <c r="S227" s="27"/>
      <c r="T227" s="27"/>
    </row>
    <row r="228" spans="1:2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5"/>
      <c r="K228" s="15"/>
      <c r="L228" s="13"/>
      <c r="M228" s="13"/>
      <c r="N228" s="13"/>
      <c r="O228" s="13"/>
      <c r="P228" s="13"/>
      <c r="Q228" s="30"/>
      <c r="R228" s="30"/>
      <c r="S228" s="27"/>
      <c r="T228" s="27"/>
    </row>
    <row r="229" spans="1:2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5"/>
      <c r="K229" s="15"/>
      <c r="L229" s="13"/>
      <c r="M229" s="13"/>
      <c r="N229" s="13"/>
      <c r="O229" s="13"/>
      <c r="P229" s="31"/>
      <c r="Q229" s="30"/>
      <c r="R229" s="30"/>
      <c r="S229" s="27"/>
      <c r="T229" s="27"/>
    </row>
    <row r="230" spans="1:2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5"/>
      <c r="K230" s="15"/>
      <c r="L230" s="13"/>
      <c r="M230" s="13"/>
      <c r="N230" s="13"/>
      <c r="O230" s="13"/>
      <c r="P230" s="31"/>
      <c r="Q230" s="30"/>
      <c r="R230" s="30"/>
      <c r="S230" s="27"/>
      <c r="T230" s="27"/>
    </row>
    <row r="231" spans="1:2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5"/>
      <c r="K231" s="15"/>
      <c r="L231" s="13"/>
      <c r="M231" s="13"/>
      <c r="N231" s="13"/>
      <c r="O231" s="13"/>
      <c r="P231" s="31"/>
      <c r="Q231" s="30"/>
      <c r="R231" s="30"/>
      <c r="S231" s="27"/>
      <c r="T231" s="27"/>
    </row>
    <row r="232" spans="1:2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5"/>
      <c r="K232" s="15"/>
      <c r="L232" s="13"/>
      <c r="M232" s="13"/>
      <c r="N232" s="13"/>
      <c r="O232" s="13"/>
      <c r="P232" s="31"/>
      <c r="Q232" s="30"/>
      <c r="R232" s="30"/>
      <c r="S232" s="27"/>
      <c r="T232" s="27"/>
    </row>
    <row r="233" spans="1:2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5"/>
      <c r="K233" s="15"/>
      <c r="L233" s="13"/>
      <c r="M233" s="13"/>
      <c r="N233" s="13"/>
      <c r="O233" s="13"/>
      <c r="P233" s="31"/>
      <c r="Q233" s="30"/>
      <c r="R233" s="30"/>
      <c r="S233" s="27"/>
      <c r="T233" s="27"/>
    </row>
    <row r="234" spans="1:2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5"/>
      <c r="K234" s="15"/>
      <c r="L234" s="13"/>
      <c r="M234" s="13"/>
      <c r="N234" s="13"/>
      <c r="O234" s="13"/>
      <c r="P234" s="13"/>
      <c r="Q234" s="30"/>
      <c r="R234" s="30"/>
      <c r="S234" s="27"/>
      <c r="T234" s="27"/>
    </row>
    <row r="235" spans="1:2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5"/>
      <c r="K235" s="15"/>
      <c r="L235" s="13"/>
      <c r="M235" s="13"/>
      <c r="N235" s="13"/>
      <c r="O235" s="13"/>
      <c r="P235" s="31"/>
      <c r="Q235" s="30"/>
      <c r="R235" s="30"/>
      <c r="S235" s="27"/>
      <c r="T235" s="27"/>
    </row>
    <row r="236" spans="1:2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5"/>
      <c r="K236" s="15"/>
      <c r="L236" s="13"/>
      <c r="M236" s="13"/>
      <c r="N236" s="13"/>
      <c r="O236" s="13"/>
      <c r="P236" s="31"/>
      <c r="Q236" s="30"/>
      <c r="R236" s="30"/>
      <c r="S236" s="27"/>
      <c r="T236" s="27"/>
    </row>
    <row r="237" spans="1:2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5"/>
      <c r="K237" s="15"/>
      <c r="L237" s="13"/>
      <c r="M237" s="13"/>
      <c r="N237" s="13"/>
      <c r="O237" s="13"/>
      <c r="P237" s="31"/>
      <c r="Q237" s="30"/>
      <c r="R237" s="30"/>
      <c r="S237" s="27"/>
      <c r="T237" s="27"/>
    </row>
    <row r="238" spans="1:2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5"/>
      <c r="K238" s="15"/>
      <c r="L238" s="13"/>
      <c r="M238" s="13"/>
      <c r="N238" s="13"/>
      <c r="O238" s="13"/>
      <c r="P238" s="31"/>
      <c r="Q238" s="30"/>
      <c r="R238" s="30"/>
      <c r="S238" s="27"/>
      <c r="T238" s="27"/>
    </row>
    <row r="239" spans="1:20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5"/>
      <c r="K239" s="15"/>
      <c r="L239" s="13"/>
      <c r="M239" s="13"/>
      <c r="N239" s="13"/>
      <c r="O239" s="13"/>
      <c r="P239" s="13"/>
      <c r="Q239" s="30"/>
      <c r="R239" s="30"/>
      <c r="S239" s="27"/>
      <c r="T239" s="27"/>
    </row>
    <row r="240" spans="1:20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5"/>
      <c r="K240" s="15"/>
      <c r="L240" s="13"/>
      <c r="M240" s="13"/>
      <c r="N240" s="13"/>
      <c r="O240" s="13"/>
      <c r="P240" s="31"/>
      <c r="Q240" s="30"/>
      <c r="R240" s="30"/>
      <c r="S240" s="27"/>
      <c r="T240" s="27"/>
    </row>
    <row r="241" spans="1:20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5"/>
      <c r="K241" s="15"/>
      <c r="L241" s="13"/>
      <c r="M241" s="13"/>
      <c r="N241" s="13"/>
      <c r="O241" s="13"/>
      <c r="P241" s="31"/>
      <c r="Q241" s="30"/>
      <c r="R241" s="30"/>
      <c r="S241" s="27"/>
      <c r="T241" s="27"/>
    </row>
    <row r="242" spans="1:20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5"/>
      <c r="K242" s="15"/>
      <c r="L242" s="13"/>
      <c r="M242" s="13"/>
      <c r="N242" s="13"/>
      <c r="O242" s="13"/>
      <c r="P242" s="13"/>
      <c r="Q242" s="30"/>
      <c r="R242" s="30"/>
      <c r="S242" s="27"/>
      <c r="T242" s="27"/>
    </row>
    <row r="243" spans="1:20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5"/>
      <c r="K243" s="15"/>
      <c r="L243" s="13"/>
      <c r="M243" s="13"/>
      <c r="N243" s="13"/>
      <c r="O243" s="13"/>
      <c r="P243" s="31"/>
      <c r="Q243" s="30"/>
      <c r="R243" s="30"/>
      <c r="S243" s="27"/>
      <c r="T243" s="27"/>
    </row>
    <row r="244" spans="1:20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5"/>
      <c r="K244" s="15"/>
      <c r="L244" s="13"/>
      <c r="M244" s="13"/>
      <c r="N244" s="13"/>
      <c r="O244" s="13"/>
      <c r="P244" s="31"/>
      <c r="Q244" s="30"/>
      <c r="R244" s="30"/>
      <c r="S244" s="27"/>
      <c r="T244" s="27"/>
    </row>
    <row r="245" spans="1:20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5"/>
      <c r="K245" s="15"/>
      <c r="L245" s="13"/>
      <c r="M245" s="13"/>
      <c r="N245" s="13"/>
      <c r="O245" s="13"/>
      <c r="P245" s="31"/>
      <c r="Q245" s="30"/>
      <c r="R245" s="30"/>
      <c r="S245" s="27"/>
      <c r="T245" s="27"/>
    </row>
    <row r="246" spans="1:20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5"/>
      <c r="K246" s="15"/>
      <c r="L246" s="13"/>
      <c r="M246" s="13"/>
      <c r="N246" s="13"/>
      <c r="O246" s="13"/>
      <c r="P246" s="31"/>
      <c r="Q246" s="30"/>
      <c r="R246" s="30"/>
      <c r="S246" s="27"/>
      <c r="T246" s="27"/>
    </row>
    <row r="247" spans="1:20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5"/>
      <c r="K247" s="15"/>
      <c r="L247" s="13"/>
      <c r="M247" s="13"/>
      <c r="N247" s="13"/>
      <c r="O247" s="13"/>
      <c r="P247" s="31"/>
      <c r="Q247" s="30"/>
      <c r="R247" s="30"/>
      <c r="S247" s="27"/>
      <c r="T247" s="27"/>
    </row>
    <row r="248" spans="1:20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5"/>
      <c r="K248" s="15"/>
      <c r="L248" s="13"/>
      <c r="M248" s="13"/>
      <c r="N248" s="13"/>
      <c r="O248" s="13"/>
      <c r="P248" s="13"/>
      <c r="Q248" s="30"/>
      <c r="R248" s="30"/>
      <c r="S248" s="27"/>
      <c r="T248" s="27"/>
    </row>
    <row r="249" spans="1:20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5"/>
      <c r="K249" s="15"/>
      <c r="L249" s="13"/>
      <c r="M249" s="13"/>
      <c r="N249" s="13"/>
      <c r="O249" s="13"/>
      <c r="P249" s="31"/>
      <c r="Q249" s="30"/>
      <c r="R249" s="30"/>
      <c r="S249" s="27"/>
      <c r="T249" s="27"/>
    </row>
    <row r="250" spans="1:20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5"/>
      <c r="K250" s="15"/>
      <c r="L250" s="13"/>
      <c r="M250" s="13"/>
      <c r="N250" s="13"/>
      <c r="O250" s="13"/>
      <c r="P250" s="31"/>
      <c r="Q250" s="30"/>
      <c r="R250" s="30"/>
      <c r="S250" s="27"/>
      <c r="T250" s="27"/>
    </row>
    <row r="251" spans="1:20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5"/>
      <c r="K251" s="15"/>
      <c r="L251" s="13"/>
      <c r="M251" s="13"/>
      <c r="N251" s="13"/>
      <c r="O251" s="13"/>
      <c r="P251" s="31"/>
      <c r="Q251" s="30"/>
      <c r="R251" s="30"/>
      <c r="S251" s="27"/>
      <c r="T251" s="27"/>
    </row>
    <row r="252" spans="1:20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5"/>
      <c r="K252" s="15"/>
      <c r="L252" s="13"/>
      <c r="M252" s="13"/>
      <c r="N252" s="13"/>
      <c r="O252" s="13"/>
      <c r="P252" s="31"/>
      <c r="Q252" s="30"/>
      <c r="R252" s="30"/>
      <c r="S252" s="27"/>
      <c r="T252" s="27"/>
    </row>
    <row r="253" spans="1:20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5"/>
      <c r="K253" s="15"/>
      <c r="L253" s="13"/>
      <c r="M253" s="13"/>
      <c r="N253" s="13"/>
      <c r="O253" s="13"/>
      <c r="P253" s="13"/>
      <c r="Q253" s="30"/>
      <c r="R253" s="30"/>
      <c r="S253" s="27"/>
      <c r="T253" s="27"/>
    </row>
    <row r="254" spans="1:20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5"/>
      <c r="K254" s="15"/>
      <c r="L254" s="13"/>
      <c r="M254" s="13"/>
      <c r="N254" s="13"/>
      <c r="O254" s="13"/>
      <c r="P254" s="31"/>
      <c r="Q254" s="30"/>
      <c r="R254" s="30"/>
      <c r="S254" s="27"/>
      <c r="T254" s="27"/>
    </row>
    <row r="255" spans="1:20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5"/>
      <c r="K255" s="15"/>
      <c r="L255" s="13"/>
      <c r="M255" s="13"/>
      <c r="N255" s="13"/>
      <c r="O255" s="13"/>
      <c r="P255" s="31"/>
      <c r="Q255" s="30"/>
      <c r="R255" s="30"/>
      <c r="S255" s="27"/>
      <c r="T255" s="27"/>
    </row>
    <row r="256" spans="1:20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5"/>
      <c r="K256" s="15"/>
      <c r="L256" s="13"/>
      <c r="M256" s="13"/>
      <c r="N256" s="13"/>
      <c r="O256" s="13"/>
      <c r="P256" s="31"/>
      <c r="Q256" s="30"/>
      <c r="R256" s="30"/>
      <c r="S256" s="27"/>
      <c r="T256" s="27"/>
    </row>
    <row r="257" spans="1:20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5"/>
      <c r="K257" s="15"/>
      <c r="L257" s="13"/>
      <c r="M257" s="13"/>
      <c r="N257" s="13"/>
      <c r="O257" s="13"/>
      <c r="P257" s="31"/>
      <c r="Q257" s="30"/>
      <c r="R257" s="30"/>
      <c r="S257" s="27"/>
      <c r="T257" s="27"/>
    </row>
    <row r="258" spans="1:20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5"/>
      <c r="K258" s="15"/>
      <c r="L258" s="13"/>
      <c r="M258" s="13"/>
      <c r="N258" s="13"/>
      <c r="O258" s="13"/>
      <c r="P258" s="13"/>
      <c r="Q258" s="30"/>
      <c r="R258" s="30"/>
      <c r="S258" s="27"/>
      <c r="T258" s="27"/>
    </row>
    <row r="259" spans="1:20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5"/>
      <c r="K259" s="15"/>
      <c r="L259" s="13"/>
      <c r="M259" s="13"/>
      <c r="N259" s="13"/>
      <c r="O259" s="13"/>
      <c r="P259" s="31"/>
      <c r="Q259" s="30"/>
      <c r="R259" s="30"/>
      <c r="S259" s="27"/>
      <c r="T259" s="27"/>
    </row>
    <row r="260" spans="1:20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5"/>
      <c r="K260" s="15"/>
      <c r="L260" s="13"/>
      <c r="M260" s="13"/>
      <c r="N260" s="13"/>
      <c r="O260" s="13"/>
      <c r="P260" s="31"/>
      <c r="Q260" s="30"/>
      <c r="R260" s="30"/>
      <c r="S260" s="27"/>
      <c r="T260" s="27"/>
    </row>
    <row r="261" spans="1:20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5"/>
      <c r="K261" s="15"/>
      <c r="L261" s="13"/>
      <c r="M261" s="13"/>
      <c r="N261" s="13"/>
      <c r="O261" s="13"/>
      <c r="P261" s="31"/>
      <c r="Q261" s="30"/>
      <c r="R261" s="30"/>
      <c r="S261" s="27"/>
      <c r="T261" s="27"/>
    </row>
    <row r="262" spans="1:20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5"/>
      <c r="K262" s="15"/>
      <c r="L262" s="13"/>
      <c r="M262" s="13"/>
      <c r="N262" s="13"/>
      <c r="O262" s="13"/>
      <c r="P262" s="31"/>
      <c r="Q262" s="30"/>
      <c r="R262" s="30"/>
      <c r="S262" s="27"/>
      <c r="T262" s="27"/>
    </row>
    <row r="263" spans="1:20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5"/>
      <c r="K263" s="15"/>
      <c r="L263" s="13"/>
      <c r="M263" s="13"/>
      <c r="N263" s="13"/>
      <c r="O263" s="13"/>
      <c r="P263" s="31"/>
      <c r="Q263" s="30"/>
      <c r="R263" s="30"/>
      <c r="S263" s="27"/>
      <c r="T263" s="27"/>
    </row>
    <row r="264" spans="1:20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5"/>
      <c r="K264" s="15"/>
      <c r="L264" s="13"/>
      <c r="M264" s="13"/>
      <c r="N264" s="13"/>
      <c r="O264" s="13"/>
      <c r="P264" s="13"/>
      <c r="Q264" s="30"/>
      <c r="R264" s="30"/>
      <c r="S264" s="27"/>
      <c r="T264" s="27"/>
    </row>
    <row r="265" spans="1:20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5"/>
      <c r="K265" s="15"/>
      <c r="L265" s="13"/>
      <c r="M265" s="13"/>
      <c r="N265" s="13"/>
      <c r="O265" s="13"/>
      <c r="P265" s="31"/>
      <c r="Q265" s="30"/>
      <c r="R265" s="30"/>
      <c r="S265" s="27"/>
      <c r="T265" s="27"/>
    </row>
    <row r="266" spans="1:20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5"/>
      <c r="K266" s="15"/>
      <c r="L266" s="13"/>
      <c r="M266" s="13"/>
      <c r="N266" s="13"/>
      <c r="O266" s="13"/>
      <c r="P266" s="31"/>
      <c r="Q266" s="30"/>
      <c r="R266" s="30"/>
      <c r="S266" s="27"/>
      <c r="T266" s="27"/>
    </row>
    <row r="267" spans="1:20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5"/>
      <c r="K267" s="15"/>
      <c r="L267" s="13"/>
      <c r="M267" s="13"/>
      <c r="N267" s="13"/>
      <c r="O267" s="13"/>
      <c r="P267" s="31"/>
      <c r="Q267" s="30"/>
      <c r="R267" s="30"/>
      <c r="S267" s="27"/>
      <c r="T267" s="27"/>
    </row>
    <row r="268" spans="1:20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5"/>
      <c r="K268" s="15"/>
      <c r="L268" s="13"/>
      <c r="M268" s="13"/>
      <c r="N268" s="13"/>
      <c r="O268" s="13"/>
      <c r="P268" s="31"/>
      <c r="Q268" s="30"/>
      <c r="R268" s="30"/>
      <c r="S268" s="27"/>
      <c r="T268" s="27"/>
    </row>
    <row r="269" spans="1:20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5"/>
      <c r="K269" s="15"/>
      <c r="L269" s="13"/>
      <c r="M269" s="13"/>
      <c r="N269" s="13"/>
      <c r="O269" s="13"/>
      <c r="P269" s="31"/>
      <c r="Q269" s="30"/>
      <c r="R269" s="30"/>
      <c r="S269" s="27"/>
      <c r="T269" s="27"/>
    </row>
    <row r="270" spans="1:20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5"/>
      <c r="K270" s="15"/>
      <c r="L270" s="13"/>
      <c r="M270" s="13"/>
      <c r="N270" s="13"/>
      <c r="O270" s="13"/>
      <c r="P270" s="13"/>
      <c r="Q270" s="30"/>
      <c r="R270" s="30"/>
      <c r="S270" s="27"/>
      <c r="T270" s="27"/>
    </row>
    <row r="271" spans="1:20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5"/>
      <c r="K271" s="15"/>
      <c r="L271" s="13"/>
      <c r="M271" s="13"/>
      <c r="N271" s="13"/>
      <c r="O271" s="13"/>
      <c r="P271" s="31"/>
      <c r="Q271" s="30"/>
      <c r="R271" s="30"/>
      <c r="S271" s="27"/>
      <c r="T271" s="27"/>
    </row>
    <row r="272" spans="1:20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5"/>
      <c r="K272" s="15"/>
      <c r="L272" s="13"/>
      <c r="M272" s="13"/>
      <c r="N272" s="13"/>
      <c r="O272" s="13"/>
      <c r="P272" s="31"/>
      <c r="Q272" s="30"/>
      <c r="R272" s="30"/>
      <c r="S272" s="27"/>
      <c r="T272" s="27"/>
    </row>
    <row r="273" spans="1:20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5"/>
      <c r="K273" s="15"/>
      <c r="L273" s="13"/>
      <c r="M273" s="13"/>
      <c r="N273" s="13"/>
      <c r="O273" s="13"/>
      <c r="P273" s="31"/>
      <c r="Q273" s="30"/>
      <c r="R273" s="30"/>
      <c r="S273" s="27"/>
      <c r="T273" s="27"/>
    </row>
    <row r="274" spans="1:20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5"/>
      <c r="K274" s="15"/>
      <c r="L274" s="13"/>
      <c r="M274" s="13"/>
      <c r="N274" s="13"/>
      <c r="O274" s="13"/>
      <c r="P274" s="31"/>
      <c r="Q274" s="30"/>
      <c r="R274" s="30"/>
      <c r="S274" s="27"/>
      <c r="T274" s="27"/>
    </row>
    <row r="275" spans="1:20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5"/>
      <c r="K275" s="15"/>
      <c r="L275" s="13"/>
      <c r="M275" s="13"/>
      <c r="N275" s="13"/>
      <c r="O275" s="13"/>
      <c r="P275" s="13"/>
      <c r="Q275" s="30"/>
      <c r="R275" s="30"/>
      <c r="S275" s="27"/>
      <c r="T275" s="27"/>
    </row>
    <row r="276" spans="1:20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5"/>
      <c r="K276" s="15"/>
      <c r="L276" s="13"/>
      <c r="M276" s="13"/>
      <c r="N276" s="13"/>
      <c r="O276" s="13"/>
      <c r="P276" s="31"/>
      <c r="Q276" s="30"/>
      <c r="R276" s="30"/>
      <c r="S276" s="27"/>
      <c r="T276" s="27"/>
    </row>
    <row r="277" spans="1:20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5"/>
      <c r="K277" s="15"/>
      <c r="L277" s="13"/>
      <c r="M277" s="13"/>
      <c r="N277" s="13"/>
      <c r="O277" s="13"/>
      <c r="P277" s="31"/>
      <c r="Q277" s="30"/>
      <c r="R277" s="30"/>
      <c r="S277" s="27"/>
      <c r="T277" s="27"/>
    </row>
    <row r="278" spans="1:20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5"/>
      <c r="K278" s="15"/>
      <c r="L278" s="13"/>
      <c r="M278" s="13"/>
      <c r="N278" s="13"/>
      <c r="O278" s="13"/>
      <c r="P278" s="13"/>
      <c r="Q278" s="30"/>
      <c r="R278" s="30"/>
      <c r="S278" s="27"/>
      <c r="T278" s="27"/>
    </row>
    <row r="279" spans="1:20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5"/>
      <c r="K279" s="15"/>
      <c r="L279" s="13"/>
      <c r="M279" s="13"/>
      <c r="N279" s="13"/>
      <c r="O279" s="13"/>
      <c r="P279" s="31"/>
      <c r="Q279" s="30"/>
      <c r="R279" s="30"/>
      <c r="S279" s="27"/>
      <c r="T279" s="27"/>
    </row>
    <row r="280" spans="1:20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5"/>
      <c r="K280" s="15"/>
      <c r="L280" s="13"/>
      <c r="M280" s="13"/>
      <c r="N280" s="13"/>
      <c r="O280" s="13"/>
      <c r="P280" s="31"/>
      <c r="Q280" s="30"/>
      <c r="R280" s="30"/>
      <c r="S280" s="27"/>
      <c r="T280" s="27"/>
    </row>
    <row r="281" spans="1:20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5"/>
      <c r="K281" s="15"/>
      <c r="L281" s="13"/>
      <c r="M281" s="13"/>
      <c r="N281" s="13"/>
      <c r="O281" s="13"/>
      <c r="P281" s="13"/>
      <c r="Q281" s="30"/>
      <c r="R281" s="30"/>
      <c r="S281" s="27"/>
      <c r="T281" s="27"/>
    </row>
    <row r="282" spans="1:20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5"/>
      <c r="K282" s="15"/>
      <c r="L282" s="13"/>
      <c r="M282" s="13"/>
      <c r="N282" s="13"/>
      <c r="O282" s="13"/>
      <c r="P282" s="31"/>
      <c r="Q282" s="30"/>
      <c r="R282" s="30"/>
      <c r="S282" s="27"/>
      <c r="T282" s="27"/>
    </row>
    <row r="283" spans="1:20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5"/>
      <c r="K283" s="15"/>
      <c r="L283" s="13"/>
      <c r="M283" s="13"/>
      <c r="N283" s="13"/>
      <c r="O283" s="13"/>
      <c r="P283" s="31"/>
      <c r="Q283" s="30"/>
      <c r="R283" s="30"/>
      <c r="S283" s="27"/>
      <c r="T283" s="27"/>
    </row>
    <row r="284" spans="1:20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5"/>
      <c r="K284" s="15"/>
      <c r="L284" s="13"/>
      <c r="M284" s="13"/>
      <c r="N284" s="13"/>
      <c r="O284" s="13"/>
      <c r="P284" s="31"/>
      <c r="Q284" s="30"/>
      <c r="R284" s="30"/>
      <c r="S284" s="27"/>
      <c r="T284" s="27"/>
    </row>
    <row r="285" spans="1:20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5"/>
      <c r="K285" s="15"/>
      <c r="L285" s="13"/>
      <c r="M285" s="13"/>
      <c r="N285" s="13"/>
      <c r="O285" s="13"/>
      <c r="P285" s="13"/>
      <c r="Q285" s="30"/>
      <c r="R285" s="30"/>
      <c r="S285" s="27"/>
      <c r="T285" s="27"/>
    </row>
    <row r="286" spans="1:20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5"/>
      <c r="K286" s="15"/>
      <c r="L286" s="13"/>
      <c r="M286" s="13"/>
      <c r="N286" s="13"/>
      <c r="O286" s="13"/>
      <c r="P286" s="31"/>
      <c r="Q286" s="30"/>
      <c r="R286" s="30"/>
      <c r="S286" s="27"/>
      <c r="T286" s="27"/>
    </row>
    <row r="287" spans="1:20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5"/>
      <c r="K287" s="15"/>
      <c r="L287" s="13"/>
      <c r="M287" s="13"/>
      <c r="N287" s="13"/>
      <c r="O287" s="13"/>
      <c r="P287" s="31"/>
      <c r="Q287" s="30"/>
      <c r="R287" s="30"/>
      <c r="S287" s="27"/>
      <c r="T287" s="27"/>
    </row>
    <row r="288" spans="1:20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5"/>
      <c r="K288" s="15"/>
      <c r="L288" s="13"/>
      <c r="M288" s="13"/>
      <c r="N288" s="13"/>
      <c r="O288" s="13"/>
      <c r="P288" s="31"/>
      <c r="Q288" s="30"/>
      <c r="R288" s="30"/>
      <c r="S288" s="27"/>
      <c r="T288" s="27"/>
    </row>
    <row r="289" spans="1:20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5"/>
      <c r="K289" s="15"/>
      <c r="L289" s="13"/>
      <c r="M289" s="13"/>
      <c r="N289" s="13"/>
      <c r="O289" s="13"/>
      <c r="P289" s="31"/>
      <c r="Q289" s="30"/>
      <c r="R289" s="30"/>
      <c r="S289" s="27"/>
      <c r="T289" s="27"/>
    </row>
    <row r="290" spans="1:20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5"/>
      <c r="K290" s="15"/>
      <c r="L290" s="13"/>
      <c r="M290" s="13"/>
      <c r="N290" s="13"/>
      <c r="O290" s="13"/>
      <c r="P290" s="13"/>
      <c r="Q290" s="30"/>
      <c r="R290" s="30"/>
      <c r="S290" s="27"/>
      <c r="T290" s="27"/>
    </row>
    <row r="291" spans="1:20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5"/>
      <c r="K291" s="15"/>
      <c r="L291" s="13"/>
      <c r="M291" s="13"/>
      <c r="N291" s="13"/>
      <c r="O291" s="13"/>
      <c r="P291" s="31"/>
      <c r="Q291" s="30"/>
      <c r="R291" s="30"/>
      <c r="S291" s="27"/>
      <c r="T291" s="27"/>
    </row>
    <row r="292" spans="1:20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5"/>
      <c r="K292" s="15"/>
      <c r="L292" s="13"/>
      <c r="M292" s="13"/>
      <c r="N292" s="13"/>
      <c r="O292" s="13"/>
      <c r="P292" s="31"/>
      <c r="Q292" s="30"/>
      <c r="R292" s="30"/>
      <c r="S292" s="27"/>
      <c r="T292" s="27"/>
    </row>
    <row r="293" spans="1:20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5"/>
      <c r="K293" s="15"/>
      <c r="L293" s="13"/>
      <c r="M293" s="13"/>
      <c r="N293" s="13"/>
      <c r="O293" s="13"/>
      <c r="P293" s="31"/>
      <c r="Q293" s="30"/>
      <c r="R293" s="30"/>
      <c r="S293" s="27"/>
      <c r="T293" s="27"/>
    </row>
    <row r="294" spans="1:20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5"/>
      <c r="K294" s="15"/>
      <c r="L294" s="13"/>
      <c r="M294" s="13"/>
      <c r="N294" s="13"/>
      <c r="O294" s="13"/>
      <c r="P294" s="13"/>
      <c r="Q294" s="30"/>
      <c r="R294" s="30"/>
      <c r="S294" s="27"/>
      <c r="T294" s="27"/>
    </row>
    <row r="295" spans="1:20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5"/>
      <c r="K295" s="15"/>
      <c r="L295" s="13"/>
      <c r="M295" s="13"/>
      <c r="N295" s="13"/>
      <c r="O295" s="13"/>
      <c r="P295" s="31"/>
      <c r="Q295" s="30"/>
      <c r="R295" s="30"/>
      <c r="S295" s="27"/>
      <c r="T295" s="27"/>
    </row>
    <row r="296" spans="1:20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5"/>
      <c r="K296" s="15"/>
      <c r="L296" s="13"/>
      <c r="M296" s="13"/>
      <c r="N296" s="13"/>
      <c r="O296" s="13"/>
      <c r="P296" s="31"/>
      <c r="Q296" s="30"/>
      <c r="R296" s="30"/>
      <c r="S296" s="27"/>
      <c r="T296" s="27"/>
    </row>
    <row r="297" spans="1:20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5"/>
      <c r="K297" s="15"/>
      <c r="L297" s="13"/>
      <c r="M297" s="13"/>
      <c r="N297" s="13"/>
      <c r="O297" s="13"/>
      <c r="P297" s="31"/>
      <c r="Q297" s="30"/>
      <c r="R297" s="30"/>
      <c r="S297" s="27"/>
      <c r="T297" s="27"/>
    </row>
    <row r="298" spans="1:20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5"/>
      <c r="K298" s="15"/>
      <c r="L298" s="13"/>
      <c r="M298" s="13"/>
      <c r="N298" s="13"/>
      <c r="O298" s="13"/>
      <c r="P298" s="31"/>
      <c r="Q298" s="30"/>
      <c r="R298" s="30"/>
      <c r="S298" s="27"/>
      <c r="T298" s="27"/>
    </row>
    <row r="299" spans="1:20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5"/>
      <c r="K299" s="15"/>
      <c r="L299" s="13"/>
      <c r="M299" s="13"/>
      <c r="N299" s="13"/>
      <c r="O299" s="13"/>
      <c r="P299" s="13"/>
      <c r="Q299" s="30"/>
      <c r="R299" s="30"/>
      <c r="S299" s="27"/>
      <c r="T299" s="27"/>
    </row>
    <row r="300" spans="1:20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5"/>
      <c r="K300" s="15"/>
      <c r="L300" s="13"/>
      <c r="M300" s="13"/>
      <c r="N300" s="13"/>
      <c r="O300" s="13"/>
      <c r="P300" s="31"/>
      <c r="Q300" s="30"/>
      <c r="R300" s="30"/>
      <c r="S300" s="27"/>
      <c r="T300" s="27"/>
    </row>
    <row r="301" spans="1:20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5"/>
      <c r="K301" s="15"/>
      <c r="L301" s="13"/>
      <c r="M301" s="13"/>
      <c r="N301" s="13"/>
      <c r="O301" s="13"/>
      <c r="P301" s="13"/>
      <c r="Q301" s="30"/>
      <c r="R301" s="30"/>
      <c r="S301" s="27"/>
      <c r="T301" s="27"/>
    </row>
    <row r="302" spans="1:20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5"/>
      <c r="K302" s="15"/>
      <c r="L302" s="13"/>
      <c r="M302" s="13"/>
      <c r="N302" s="13"/>
      <c r="O302" s="13"/>
      <c r="P302" s="31"/>
      <c r="Q302" s="30"/>
      <c r="R302" s="30"/>
      <c r="S302" s="27"/>
      <c r="T302" s="27"/>
    </row>
    <row r="303" spans="1:20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5"/>
      <c r="K303" s="15"/>
      <c r="L303" s="13"/>
      <c r="M303" s="13"/>
      <c r="N303" s="13"/>
      <c r="O303" s="13"/>
      <c r="P303" s="31"/>
      <c r="Q303" s="30"/>
      <c r="R303" s="30"/>
      <c r="S303" s="27"/>
      <c r="T303" s="27"/>
    </row>
    <row r="304" spans="1:20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5"/>
      <c r="K304" s="15"/>
      <c r="L304" s="13"/>
      <c r="M304" s="13"/>
      <c r="N304" s="13"/>
      <c r="O304" s="13"/>
      <c r="P304" s="13"/>
      <c r="Q304" s="30"/>
      <c r="R304" s="30"/>
      <c r="S304" s="27"/>
      <c r="T304" s="27"/>
    </row>
    <row r="305" spans="1:20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5"/>
      <c r="K305" s="15"/>
      <c r="L305" s="13"/>
      <c r="M305" s="13"/>
      <c r="N305" s="13"/>
      <c r="O305" s="13"/>
      <c r="P305" s="31"/>
      <c r="Q305" s="30"/>
      <c r="R305" s="30"/>
      <c r="S305" s="27"/>
      <c r="T305" s="27"/>
    </row>
    <row r="306" spans="1:20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5"/>
      <c r="K306" s="15"/>
      <c r="L306" s="13"/>
      <c r="M306" s="13"/>
      <c r="N306" s="13"/>
      <c r="O306" s="13"/>
      <c r="P306" s="31"/>
      <c r="Q306" s="30"/>
      <c r="R306" s="30"/>
      <c r="S306" s="27"/>
      <c r="T306" s="27"/>
    </row>
    <row r="307" spans="1:20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5"/>
      <c r="K307" s="15"/>
      <c r="L307" s="13"/>
      <c r="M307" s="13"/>
      <c r="N307" s="13"/>
      <c r="O307" s="13"/>
      <c r="P307" s="31"/>
      <c r="Q307" s="30"/>
      <c r="R307" s="30"/>
      <c r="S307" s="27"/>
      <c r="T307" s="27"/>
    </row>
    <row r="308" spans="1:20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5"/>
      <c r="K308" s="15"/>
      <c r="L308" s="13"/>
      <c r="M308" s="13"/>
      <c r="N308" s="13"/>
      <c r="O308" s="13"/>
      <c r="P308" s="31"/>
      <c r="Q308" s="30"/>
      <c r="R308" s="30"/>
      <c r="S308" s="27"/>
      <c r="T308" s="27"/>
    </row>
    <row r="309" spans="1:20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5"/>
      <c r="K309" s="15"/>
      <c r="L309" s="13"/>
      <c r="M309" s="13"/>
      <c r="N309" s="13"/>
      <c r="O309" s="13"/>
      <c r="P309" s="13"/>
      <c r="Q309" s="13"/>
      <c r="R309" s="13"/>
      <c r="S309" s="27"/>
      <c r="T309" s="27"/>
    </row>
    <row r="310" spans="1:20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5"/>
      <c r="K310" s="15"/>
      <c r="L310" s="13"/>
      <c r="M310" s="13"/>
      <c r="N310" s="13"/>
      <c r="O310" s="13"/>
      <c r="P310" s="31"/>
      <c r="Q310" s="30"/>
      <c r="R310" s="30"/>
      <c r="S310" s="27"/>
      <c r="T310" s="27"/>
    </row>
    <row r="311" spans="1:20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5"/>
      <c r="K311" s="15"/>
      <c r="L311" s="13"/>
      <c r="M311" s="13"/>
      <c r="N311" s="13"/>
      <c r="O311" s="13"/>
      <c r="P311" s="31"/>
      <c r="Q311" s="30"/>
      <c r="R311" s="30"/>
      <c r="S311" s="27"/>
      <c r="T311" s="27"/>
    </row>
    <row r="312" spans="1:20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5"/>
      <c r="K312" s="15"/>
      <c r="L312" s="13"/>
      <c r="M312" s="13"/>
      <c r="N312" s="13"/>
      <c r="O312" s="13"/>
      <c r="P312" s="31"/>
      <c r="Q312" s="30"/>
      <c r="R312" s="30"/>
      <c r="S312" s="27"/>
      <c r="T312" s="27"/>
    </row>
    <row r="313" spans="1:20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5"/>
      <c r="K313" s="15"/>
      <c r="L313" s="13"/>
      <c r="M313" s="13"/>
      <c r="N313" s="13"/>
      <c r="O313" s="13"/>
      <c r="P313" s="31"/>
      <c r="Q313" s="30"/>
      <c r="R313" s="30"/>
      <c r="S313" s="27"/>
      <c r="T313" s="27"/>
    </row>
    <row r="314" spans="1:20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5"/>
      <c r="K314" s="15"/>
      <c r="L314" s="13"/>
      <c r="M314" s="13"/>
      <c r="N314" s="13"/>
      <c r="O314" s="13"/>
      <c r="P314" s="31"/>
      <c r="Q314" s="30"/>
      <c r="R314" s="30"/>
      <c r="S314" s="27"/>
      <c r="T314" s="27"/>
    </row>
    <row r="315" spans="1:20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5"/>
      <c r="K315" s="15"/>
      <c r="L315" s="13"/>
      <c r="M315" s="13"/>
      <c r="N315" s="13"/>
      <c r="O315" s="13"/>
      <c r="P315" s="13"/>
      <c r="Q315" s="30"/>
      <c r="R315" s="30"/>
      <c r="S315" s="27"/>
      <c r="T315" s="27"/>
    </row>
    <row r="316" spans="1:20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5"/>
      <c r="K316" s="15"/>
      <c r="L316" s="13"/>
      <c r="M316" s="13"/>
      <c r="N316" s="13"/>
      <c r="O316" s="13"/>
      <c r="P316" s="31"/>
      <c r="Q316" s="30"/>
      <c r="R316" s="30"/>
      <c r="S316" s="27"/>
      <c r="T316" s="27"/>
    </row>
    <row r="317" spans="1:20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5"/>
      <c r="K317" s="15"/>
      <c r="L317" s="13"/>
      <c r="M317" s="13"/>
      <c r="N317" s="13"/>
      <c r="O317" s="13"/>
      <c r="P317" s="31"/>
      <c r="Q317" s="30"/>
      <c r="R317" s="30"/>
      <c r="S317" s="27"/>
      <c r="T317" s="27"/>
    </row>
    <row r="318" spans="1:20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5"/>
      <c r="K318" s="15"/>
      <c r="L318" s="13"/>
      <c r="M318" s="13"/>
      <c r="N318" s="13"/>
      <c r="O318" s="13"/>
      <c r="P318" s="31"/>
      <c r="Q318" s="30"/>
      <c r="R318" s="30"/>
      <c r="S318" s="27"/>
      <c r="T318" s="27"/>
    </row>
    <row r="319" spans="1:20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5"/>
      <c r="K319" s="15"/>
      <c r="L319" s="13"/>
      <c r="M319" s="13"/>
      <c r="N319" s="13"/>
      <c r="O319" s="13"/>
      <c r="P319" s="31"/>
      <c r="Q319" s="30"/>
      <c r="R319" s="30"/>
      <c r="S319" s="27"/>
      <c r="T319" s="27"/>
    </row>
    <row r="320" spans="1:20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5"/>
      <c r="K320" s="15"/>
      <c r="L320" s="13"/>
      <c r="M320" s="13"/>
      <c r="N320" s="13"/>
      <c r="O320" s="13"/>
      <c r="P320" s="31"/>
      <c r="Q320" s="30"/>
      <c r="R320" s="30"/>
      <c r="S320" s="27"/>
      <c r="T320" s="27"/>
    </row>
    <row r="321" spans="1:20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5"/>
      <c r="K321" s="15"/>
      <c r="L321" s="13"/>
      <c r="M321" s="13"/>
      <c r="N321" s="13"/>
      <c r="O321" s="13"/>
      <c r="P321" s="13"/>
      <c r="Q321" s="30"/>
      <c r="R321" s="30"/>
      <c r="S321" s="27"/>
      <c r="T321" s="27"/>
    </row>
    <row r="322" spans="1:20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5"/>
      <c r="K322" s="15"/>
      <c r="L322" s="13"/>
      <c r="M322" s="13"/>
      <c r="N322" s="13"/>
      <c r="O322" s="13"/>
      <c r="P322" s="31"/>
      <c r="Q322" s="30"/>
      <c r="R322" s="30"/>
      <c r="S322" s="27"/>
      <c r="T322" s="27"/>
    </row>
    <row r="323" spans="1:20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5"/>
      <c r="K323" s="15"/>
      <c r="L323" s="13"/>
      <c r="M323" s="13"/>
      <c r="N323" s="13"/>
      <c r="O323" s="13"/>
      <c r="P323" s="31"/>
      <c r="Q323" s="30"/>
      <c r="R323" s="30"/>
      <c r="S323" s="27"/>
      <c r="T323" s="27"/>
    </row>
    <row r="324" spans="1:20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5"/>
      <c r="K324" s="15"/>
      <c r="L324" s="13"/>
      <c r="M324" s="13"/>
      <c r="N324" s="13"/>
      <c r="O324" s="13"/>
      <c r="P324" s="31"/>
      <c r="Q324" s="30"/>
      <c r="R324" s="30"/>
      <c r="S324" s="27"/>
      <c r="T324" s="27"/>
    </row>
    <row r="325" spans="1:20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5"/>
      <c r="K325" s="15"/>
      <c r="L325" s="13"/>
      <c r="M325" s="13"/>
      <c r="N325" s="13"/>
      <c r="O325" s="13"/>
      <c r="P325" s="31"/>
      <c r="Q325" s="30"/>
      <c r="R325" s="30"/>
      <c r="S325" s="27"/>
      <c r="T325" s="27"/>
    </row>
    <row r="326" spans="1:20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5"/>
      <c r="K326" s="15"/>
      <c r="L326" s="13"/>
      <c r="M326" s="13"/>
      <c r="N326" s="13"/>
      <c r="O326" s="13"/>
      <c r="P326" s="31"/>
      <c r="Q326" s="30"/>
      <c r="R326" s="30"/>
      <c r="S326" s="27"/>
      <c r="T326" s="27"/>
    </row>
    <row r="327" spans="1:20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5"/>
      <c r="K327" s="15"/>
      <c r="L327" s="13"/>
      <c r="M327" s="13"/>
      <c r="N327" s="13"/>
      <c r="O327" s="13"/>
      <c r="P327" s="13"/>
      <c r="Q327" s="30"/>
      <c r="R327" s="30"/>
      <c r="S327" s="27"/>
      <c r="T327" s="27"/>
    </row>
    <row r="328" spans="1:20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5"/>
      <c r="K328" s="15"/>
      <c r="L328" s="13"/>
      <c r="M328" s="13"/>
      <c r="N328" s="13"/>
      <c r="O328" s="13"/>
      <c r="P328" s="31"/>
      <c r="Q328" s="30"/>
      <c r="R328" s="30"/>
      <c r="S328" s="27"/>
      <c r="T328" s="27"/>
    </row>
    <row r="329" spans="1:20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5"/>
      <c r="K329" s="15"/>
      <c r="L329" s="13"/>
      <c r="M329" s="13"/>
      <c r="N329" s="13"/>
      <c r="O329" s="13"/>
      <c r="P329" s="31"/>
      <c r="Q329" s="30"/>
      <c r="R329" s="30"/>
      <c r="S329" s="27"/>
      <c r="T329" s="27"/>
    </row>
    <row r="330" spans="1:20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5"/>
      <c r="K330" s="15"/>
      <c r="L330" s="13"/>
      <c r="M330" s="13"/>
      <c r="N330" s="13"/>
      <c r="O330" s="13"/>
      <c r="P330" s="31"/>
      <c r="Q330" s="30"/>
      <c r="R330" s="30"/>
      <c r="S330" s="27"/>
      <c r="T330" s="27"/>
    </row>
    <row r="331" spans="1:20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5"/>
      <c r="K331" s="15"/>
      <c r="L331" s="13"/>
      <c r="M331" s="13"/>
      <c r="N331" s="13"/>
      <c r="O331" s="13"/>
      <c r="P331" s="31"/>
      <c r="Q331" s="30"/>
      <c r="R331" s="30"/>
      <c r="S331" s="27"/>
      <c r="T331" s="27"/>
    </row>
    <row r="332" spans="1:20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5"/>
      <c r="K332" s="15"/>
      <c r="L332" s="13"/>
      <c r="M332" s="13"/>
      <c r="N332" s="13"/>
      <c r="O332" s="13"/>
      <c r="P332" s="31"/>
      <c r="Q332" s="30"/>
      <c r="R332" s="30"/>
      <c r="S332" s="27"/>
      <c r="T332" s="27"/>
    </row>
    <row r="333" spans="1:20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5"/>
      <c r="K333" s="15"/>
      <c r="L333" s="13"/>
      <c r="M333" s="13"/>
      <c r="N333" s="13"/>
      <c r="O333" s="13"/>
      <c r="P333" s="13"/>
      <c r="Q333" s="30"/>
      <c r="R333" s="30"/>
      <c r="S333" s="27"/>
      <c r="T333" s="27"/>
    </row>
    <row r="334" spans="1:20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5"/>
      <c r="K334" s="15"/>
      <c r="L334" s="13"/>
      <c r="M334" s="13"/>
      <c r="N334" s="13"/>
      <c r="O334" s="13"/>
      <c r="P334" s="31"/>
      <c r="Q334" s="30"/>
      <c r="R334" s="30"/>
      <c r="S334" s="27"/>
      <c r="T334" s="27"/>
    </row>
    <row r="335" spans="1:20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5"/>
      <c r="K335" s="15"/>
      <c r="L335" s="13"/>
      <c r="M335" s="13"/>
      <c r="N335" s="13"/>
      <c r="O335" s="13"/>
      <c r="P335" s="31"/>
      <c r="Q335" s="30"/>
      <c r="R335" s="30"/>
      <c r="S335" s="27"/>
      <c r="T335" s="27"/>
    </row>
    <row r="336" spans="1:20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5"/>
      <c r="K336" s="15"/>
      <c r="L336" s="13"/>
      <c r="M336" s="13"/>
      <c r="N336" s="13"/>
      <c r="O336" s="13"/>
      <c r="P336" s="31"/>
      <c r="Q336" s="30"/>
      <c r="R336" s="30"/>
      <c r="S336" s="27"/>
      <c r="T336" s="27"/>
    </row>
    <row r="337" spans="1:20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5"/>
      <c r="K337" s="15"/>
      <c r="L337" s="13"/>
      <c r="M337" s="13"/>
      <c r="N337" s="13"/>
      <c r="O337" s="13"/>
      <c r="P337" s="31"/>
      <c r="Q337" s="30"/>
      <c r="R337" s="30"/>
      <c r="S337" s="27"/>
      <c r="T337" s="27"/>
    </row>
    <row r="338" spans="1:20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5"/>
      <c r="K338" s="15"/>
      <c r="L338" s="13"/>
      <c r="M338" s="13"/>
      <c r="N338" s="13"/>
      <c r="O338" s="13"/>
      <c r="P338" s="13"/>
      <c r="Q338" s="30"/>
      <c r="R338" s="30"/>
      <c r="S338" s="27"/>
      <c r="T338" s="27"/>
    </row>
    <row r="339" spans="1:20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5"/>
      <c r="K339" s="15"/>
      <c r="L339" s="13"/>
      <c r="M339" s="13"/>
      <c r="N339" s="13"/>
      <c r="O339" s="13"/>
      <c r="P339" s="31"/>
      <c r="Q339" s="30"/>
      <c r="R339" s="30"/>
      <c r="S339" s="27"/>
      <c r="T339" s="27"/>
    </row>
    <row r="340" spans="1:20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5"/>
      <c r="K340" s="15"/>
      <c r="L340" s="13"/>
      <c r="M340" s="13"/>
      <c r="N340" s="13"/>
      <c r="O340" s="13"/>
      <c r="P340" s="31"/>
      <c r="Q340" s="30"/>
      <c r="R340" s="30"/>
      <c r="S340" s="27"/>
      <c r="T340" s="27"/>
    </row>
    <row r="341" spans="1:20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5"/>
      <c r="K341" s="15"/>
      <c r="L341" s="13"/>
      <c r="M341" s="13"/>
      <c r="N341" s="13"/>
      <c r="O341" s="13"/>
      <c r="P341" s="31"/>
      <c r="Q341" s="30"/>
      <c r="R341" s="30"/>
      <c r="S341" s="27"/>
      <c r="T341" s="27"/>
    </row>
    <row r="342" spans="1:20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5"/>
      <c r="K342" s="15"/>
      <c r="L342" s="13"/>
      <c r="M342" s="13"/>
      <c r="N342" s="13"/>
      <c r="O342" s="13"/>
      <c r="P342" s="31"/>
      <c r="Q342" s="30"/>
      <c r="R342" s="30"/>
      <c r="S342" s="27"/>
      <c r="T342" s="27"/>
    </row>
    <row r="343" spans="1:20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5"/>
      <c r="K343" s="15"/>
      <c r="L343" s="13"/>
      <c r="M343" s="13"/>
      <c r="N343" s="13"/>
      <c r="O343" s="13"/>
      <c r="P343" s="31"/>
      <c r="Q343" s="30"/>
      <c r="R343" s="30"/>
      <c r="S343" s="27"/>
      <c r="T343" s="27"/>
    </row>
    <row r="344" spans="1:20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5"/>
      <c r="K344" s="15"/>
      <c r="L344" s="13"/>
      <c r="M344" s="13"/>
      <c r="N344" s="13"/>
      <c r="O344" s="13"/>
      <c r="P344" s="13"/>
      <c r="Q344" s="30"/>
      <c r="R344" s="30"/>
      <c r="S344" s="27"/>
      <c r="T344" s="27"/>
    </row>
    <row r="345" spans="1:20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5"/>
      <c r="K345" s="15"/>
      <c r="L345" s="13"/>
      <c r="M345" s="13"/>
      <c r="N345" s="13"/>
      <c r="O345" s="13"/>
      <c r="P345" s="31"/>
      <c r="Q345" s="30"/>
      <c r="R345" s="30"/>
      <c r="S345" s="27"/>
      <c r="T345" s="27"/>
    </row>
    <row r="346" spans="1:20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5"/>
      <c r="K346" s="15"/>
      <c r="L346" s="13"/>
      <c r="M346" s="13"/>
      <c r="N346" s="13"/>
      <c r="O346" s="13"/>
      <c r="P346" s="31"/>
      <c r="Q346" s="30"/>
      <c r="R346" s="30"/>
      <c r="S346" s="27"/>
      <c r="T346" s="27"/>
    </row>
    <row r="347" spans="1:20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5"/>
      <c r="K347" s="15"/>
      <c r="L347" s="13"/>
      <c r="M347" s="13"/>
      <c r="N347" s="13"/>
      <c r="O347" s="13"/>
      <c r="P347" s="31"/>
      <c r="Q347" s="30"/>
      <c r="R347" s="30"/>
      <c r="S347" s="27"/>
      <c r="T347" s="27"/>
    </row>
    <row r="348" spans="1:20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5"/>
      <c r="K348" s="15"/>
      <c r="L348" s="13"/>
      <c r="M348" s="13"/>
      <c r="N348" s="13"/>
      <c r="O348" s="13"/>
      <c r="P348" s="31"/>
      <c r="Q348" s="30"/>
      <c r="R348" s="30"/>
      <c r="S348" s="27"/>
      <c r="T348" s="27"/>
    </row>
    <row r="349" spans="1:20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5"/>
      <c r="K349" s="15"/>
      <c r="L349" s="13"/>
      <c r="M349" s="13"/>
      <c r="N349" s="13"/>
      <c r="O349" s="13"/>
      <c r="P349" s="13"/>
      <c r="Q349" s="30"/>
      <c r="R349" s="30"/>
      <c r="S349" s="27"/>
      <c r="T349" s="27"/>
    </row>
    <row r="350" spans="1:20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5"/>
      <c r="K350" s="15"/>
      <c r="L350" s="13"/>
      <c r="M350" s="13"/>
      <c r="N350" s="13"/>
      <c r="O350" s="13"/>
      <c r="P350" s="31"/>
      <c r="Q350" s="30"/>
      <c r="R350" s="30"/>
      <c r="S350" s="27"/>
      <c r="T350" s="27"/>
    </row>
    <row r="351" spans="1:20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5"/>
      <c r="K351" s="15"/>
      <c r="L351" s="13"/>
      <c r="M351" s="13"/>
      <c r="N351" s="13"/>
      <c r="O351" s="13"/>
      <c r="P351" s="31"/>
      <c r="Q351" s="30"/>
      <c r="R351" s="30"/>
      <c r="S351" s="27"/>
      <c r="T351" s="27"/>
    </row>
    <row r="352" spans="1:20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5"/>
      <c r="K352" s="15"/>
      <c r="L352" s="13"/>
      <c r="M352" s="13"/>
      <c r="N352" s="13"/>
      <c r="O352" s="13"/>
      <c r="P352" s="31"/>
      <c r="Q352" s="30"/>
      <c r="R352" s="30"/>
      <c r="S352" s="27"/>
      <c r="T352" s="27"/>
    </row>
    <row r="353" spans="1:20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5"/>
      <c r="K353" s="15"/>
      <c r="L353" s="13"/>
      <c r="M353" s="13"/>
      <c r="N353" s="13"/>
      <c r="O353" s="13"/>
      <c r="P353" s="31"/>
      <c r="Q353" s="30"/>
      <c r="R353" s="30"/>
      <c r="S353" s="27"/>
      <c r="T353" s="27"/>
    </row>
    <row r="354" spans="1:20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5"/>
      <c r="K354" s="15"/>
      <c r="L354" s="13"/>
      <c r="M354" s="13"/>
      <c r="N354" s="13"/>
      <c r="O354" s="13"/>
      <c r="P354" s="31"/>
      <c r="Q354" s="30"/>
      <c r="R354" s="30"/>
      <c r="S354" s="27"/>
      <c r="T354" s="27"/>
    </row>
    <row r="355" spans="1:20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5"/>
      <c r="K355" s="15"/>
      <c r="L355" s="13"/>
      <c r="M355" s="13"/>
      <c r="N355" s="13"/>
      <c r="O355" s="13"/>
      <c r="P355" s="13"/>
      <c r="Q355" s="30"/>
      <c r="R355" s="30"/>
      <c r="S355" s="27"/>
      <c r="T355" s="27"/>
    </row>
    <row r="356" spans="1:20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5"/>
      <c r="K356" s="15"/>
      <c r="L356" s="13"/>
      <c r="M356" s="13"/>
      <c r="N356" s="13"/>
      <c r="O356" s="13"/>
      <c r="P356" s="31"/>
      <c r="Q356" s="30"/>
      <c r="R356" s="30"/>
      <c r="S356" s="27"/>
      <c r="T356" s="27"/>
    </row>
    <row r="357" spans="1:20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5"/>
      <c r="K357" s="15"/>
      <c r="L357" s="13"/>
      <c r="M357" s="13"/>
      <c r="N357" s="13"/>
      <c r="O357" s="13"/>
      <c r="P357" s="31"/>
      <c r="Q357" s="30"/>
      <c r="R357" s="30"/>
      <c r="S357" s="27"/>
      <c r="T357" s="27"/>
    </row>
    <row r="358" spans="1:20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5"/>
      <c r="K358" s="15"/>
      <c r="L358" s="13"/>
      <c r="M358" s="13"/>
      <c r="N358" s="13"/>
      <c r="O358" s="13"/>
      <c r="P358" s="13"/>
      <c r="Q358" s="30"/>
      <c r="R358" s="30"/>
      <c r="S358" s="27"/>
      <c r="T358" s="27"/>
    </row>
    <row r="359" spans="1:20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5"/>
      <c r="K359" s="15"/>
      <c r="L359" s="13"/>
      <c r="M359" s="13"/>
      <c r="N359" s="13"/>
      <c r="O359" s="13"/>
      <c r="P359" s="31"/>
      <c r="Q359" s="30"/>
      <c r="R359" s="30"/>
      <c r="S359" s="27"/>
      <c r="T359" s="27"/>
    </row>
    <row r="360" spans="1:20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5"/>
      <c r="K360" s="15"/>
      <c r="L360" s="13"/>
      <c r="M360" s="13"/>
      <c r="N360" s="13"/>
      <c r="O360" s="13"/>
      <c r="P360" s="31"/>
      <c r="Q360" s="30"/>
      <c r="R360" s="30"/>
      <c r="S360" s="27"/>
      <c r="T360" s="27"/>
    </row>
    <row r="361" spans="1:20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5"/>
      <c r="K361" s="15"/>
      <c r="L361" s="13"/>
      <c r="M361" s="13"/>
      <c r="N361" s="13"/>
      <c r="O361" s="13"/>
      <c r="P361" s="31"/>
      <c r="Q361" s="30"/>
      <c r="R361" s="30"/>
      <c r="S361" s="27"/>
      <c r="T361" s="27"/>
    </row>
    <row r="362" spans="1:20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5"/>
      <c r="K362" s="15"/>
      <c r="L362" s="13"/>
      <c r="M362" s="13"/>
      <c r="N362" s="13"/>
      <c r="O362" s="13"/>
      <c r="P362" s="31"/>
      <c r="Q362" s="30"/>
      <c r="R362" s="30"/>
      <c r="S362" s="27"/>
      <c r="T362" s="27"/>
    </row>
    <row r="363" spans="1:20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5"/>
      <c r="K363" s="15"/>
      <c r="L363" s="13"/>
      <c r="M363" s="13"/>
      <c r="N363" s="13"/>
      <c r="O363" s="13"/>
      <c r="P363" s="31"/>
      <c r="Q363" s="30"/>
      <c r="R363" s="30"/>
      <c r="S363" s="27"/>
      <c r="T363" s="27"/>
    </row>
    <row r="364" spans="1:20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5"/>
      <c r="K364" s="15"/>
      <c r="L364" s="13"/>
      <c r="M364" s="13"/>
      <c r="N364" s="13"/>
      <c r="O364" s="13"/>
      <c r="P364" s="31"/>
      <c r="Q364" s="30"/>
      <c r="R364" s="30"/>
      <c r="S364" s="27"/>
      <c r="T364" s="27"/>
    </row>
  </sheetData>
  <sortState ref="A27:A38">
    <sortCondition ref="A27"/>
  </sortState>
  <mergeCells count="5">
    <mergeCell ref="C2:F2"/>
    <mergeCell ref="G2:K2"/>
    <mergeCell ref="C3:F3"/>
    <mergeCell ref="G3:K3"/>
    <mergeCell ref="A56:R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LANL DCS-CSD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Musa, Dea</dc:creator>
  <cp:lastModifiedBy>Perkins, George B</cp:lastModifiedBy>
  <dcterms:created xsi:type="dcterms:W3CDTF">2020-09-03T19:24:16Z</dcterms:created>
  <dcterms:modified xsi:type="dcterms:W3CDTF">2022-03-21T22:59:18Z</dcterms:modified>
</cp:coreProperties>
</file>