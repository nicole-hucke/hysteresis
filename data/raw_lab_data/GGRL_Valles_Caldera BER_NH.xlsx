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col\Documents\hysteresis\data\raw_lab_data\"/>
    </mc:Choice>
  </mc:AlternateContent>
  <xr:revisionPtr revIDLastSave="0" documentId="13_ncr:1_{675B7C11-A873-4CE2-99EC-CF7C1152AA09}" xr6:coauthVersionLast="47" xr6:coauthVersionMax="47" xr10:uidLastSave="{00000000-0000-0000-0000-000000000000}"/>
  <bookViews>
    <workbookView xWindow="-108" yWindow="-108" windowWidth="23256" windowHeight="12456" tabRatio="599" xr2:uid="{00000000-000D-0000-FFFF-FFFF00000000}"/>
  </bookViews>
  <sheets>
    <sheet name="Sheet1" sheetId="1" r:id="rId1"/>
  </sheets>
  <definedNames>
    <definedName name="_xlnm.Print_Area" localSheetId="0">Sheet1!$B$1:$Q$288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333" i="1" l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226" i="1"/>
  <c r="Z225" i="1"/>
  <c r="X225" i="1"/>
  <c r="Z218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228" i="1"/>
  <c r="X229" i="1"/>
  <c r="X23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9" i="1"/>
  <c r="Z220" i="1"/>
  <c r="Z221" i="1"/>
  <c r="Z222" i="1"/>
  <c r="Z223" i="1"/>
  <c r="Z224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5" i="1"/>
  <c r="A167" i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</calcChain>
</file>

<file path=xl/sharedStrings.xml><?xml version="1.0" encoding="utf-8"?>
<sst xmlns="http://schemas.openxmlformats.org/spreadsheetml/2006/main" count="2324" uniqueCount="537">
  <si>
    <t>GGRL Sample Chain of Custody</t>
  </si>
  <si>
    <t>Date</t>
  </si>
  <si>
    <t>Project</t>
  </si>
  <si>
    <t>Cost Code</t>
  </si>
  <si>
    <t>Field Prep (Filt/Acid)</t>
  </si>
  <si>
    <t>Needs filter in lab?</t>
  </si>
  <si>
    <t>Needs acidify in lab?</t>
  </si>
  <si>
    <t>Anions</t>
  </si>
  <si>
    <t>Major Cation</t>
  </si>
  <si>
    <t>Alk/pH</t>
  </si>
  <si>
    <t xml:space="preserve"> TOC/DOC</t>
  </si>
  <si>
    <t>Storage containers</t>
  </si>
  <si>
    <t>Disposal &amp; storage instruction</t>
  </si>
  <si>
    <t>Date Analyzed</t>
  </si>
  <si>
    <t>Sample ID</t>
  </si>
  <si>
    <t>C isotopes</t>
  </si>
  <si>
    <t>Valles Caldera- BER</t>
  </si>
  <si>
    <t>Other</t>
  </si>
  <si>
    <t>Lab ID</t>
  </si>
  <si>
    <t>POC prefilter weight (g)</t>
  </si>
  <si>
    <t>POC postfilter weight (g)</t>
  </si>
  <si>
    <t>sediment collected on filter (g)</t>
  </si>
  <si>
    <t>Volume water filtered (ml)</t>
  </si>
  <si>
    <t>DOC (mg/L)</t>
  </si>
  <si>
    <t>DOC MDL</t>
  </si>
  <si>
    <t>POC</t>
  </si>
  <si>
    <t>yes</t>
  </si>
  <si>
    <t>uf/ua</t>
  </si>
  <si>
    <t>POC postfilter post acidification weight (g)</t>
  </si>
  <si>
    <t>mg C</t>
  </si>
  <si>
    <t>POC mgC/L</t>
  </si>
  <si>
    <t>DOC</t>
  </si>
  <si>
    <t>Exp 2 C B#1</t>
  </si>
  <si>
    <t>Exp 2 C B#2</t>
  </si>
  <si>
    <t>Exp 2 C B#3</t>
  </si>
  <si>
    <t>Exp 2 C B#4</t>
  </si>
  <si>
    <t>Exp 2 C B#5</t>
  </si>
  <si>
    <t>Exp 2 C B#6</t>
  </si>
  <si>
    <t>Exp 2 C B#7</t>
  </si>
  <si>
    <t>Exp 2 C B#8</t>
  </si>
  <si>
    <t>Exp 2 C B#9</t>
  </si>
  <si>
    <t>Exp 2 C B#10</t>
  </si>
  <si>
    <t>Exp 2 C B#11</t>
  </si>
  <si>
    <t>Exp 2 C B#12</t>
  </si>
  <si>
    <t>Exp 2 C B#13</t>
  </si>
  <si>
    <t>Exp 2 C B#14</t>
  </si>
  <si>
    <t>Exp 2 C B#15</t>
  </si>
  <si>
    <t>Exp 2 C B#16</t>
  </si>
  <si>
    <t>Exp 3 C B#1</t>
  </si>
  <si>
    <t>Exp 3 C B#2</t>
  </si>
  <si>
    <t>Exp 3 C B#3</t>
  </si>
  <si>
    <t>Exp 3 C B#4</t>
  </si>
  <si>
    <t>Exp 3 C B#5</t>
  </si>
  <si>
    <t>Exp 3 C B#6</t>
  </si>
  <si>
    <t>Exp 3 C B#7</t>
  </si>
  <si>
    <t>Exp 3 C B#8</t>
  </si>
  <si>
    <t>Exp 3 C B#9</t>
  </si>
  <si>
    <t>Exp 3 C B#10</t>
  </si>
  <si>
    <t>Exp 3 C B#11</t>
  </si>
  <si>
    <t>Exp 3 C B#12</t>
  </si>
  <si>
    <t>Exp 3 C B#13</t>
  </si>
  <si>
    <t>Exp 5 C B#1</t>
  </si>
  <si>
    <t>Exp 5 C B#2</t>
  </si>
  <si>
    <t>Exp 5 C B#3</t>
  </si>
  <si>
    <t>Exp 5 C B#4</t>
  </si>
  <si>
    <t>Exp 5 C B#5</t>
  </si>
  <si>
    <t>Exp 5 C B#6</t>
  </si>
  <si>
    <t>Exp 5 C B#7</t>
  </si>
  <si>
    <t>Exp 5 C B#8</t>
  </si>
  <si>
    <t>Exp 5 C B#9</t>
  </si>
  <si>
    <t>Exp 5 C B#10</t>
  </si>
  <si>
    <t>Exp 5 C B#11</t>
  </si>
  <si>
    <t>Exp 5 C B#12</t>
  </si>
  <si>
    <t>Exp 5 C B#13</t>
  </si>
  <si>
    <t>Exp 6 C B#5</t>
  </si>
  <si>
    <t>Exp 6 C B#8</t>
  </si>
  <si>
    <t>Exp 6 C B#11</t>
  </si>
  <si>
    <t>Exp 7 C B#1</t>
  </si>
  <si>
    <t>Exp 7 C B#2</t>
  </si>
  <si>
    <t>Exp 7 C B#3</t>
  </si>
  <si>
    <t>Exp 7 C B#4</t>
  </si>
  <si>
    <t>Exp 7 C B#5</t>
  </si>
  <si>
    <t>Exp 8 C B#1</t>
  </si>
  <si>
    <t>Exp 8 C B#2</t>
  </si>
  <si>
    <t>Exp 8 C B#5</t>
  </si>
  <si>
    <t>Exp 8 C B#6</t>
  </si>
  <si>
    <t>Exp 8 C B#7</t>
  </si>
  <si>
    <t>Exp 8 C B#10</t>
  </si>
  <si>
    <t>GSUB Carbon 3/18/22</t>
  </si>
  <si>
    <t>Piez L 8/11/22</t>
  </si>
  <si>
    <t>GW #8 7/19/22</t>
  </si>
  <si>
    <t xml:space="preserve">I1-6 C 3/27/22 </t>
  </si>
  <si>
    <t>S-1 B#6</t>
  </si>
  <si>
    <t>Carbon GS1 Downstream /B 3/12/22</t>
  </si>
  <si>
    <t>Carbon GS1 Upstream Bottom 3/12/22</t>
  </si>
  <si>
    <t>S-1 B#17</t>
  </si>
  <si>
    <t>GSLB Carbon 3/18/22</t>
  </si>
  <si>
    <t>PZ-A 8/23/22</t>
  </si>
  <si>
    <t>GW #9 7/19/22</t>
  </si>
  <si>
    <t>GW #4 7/19/22</t>
  </si>
  <si>
    <t>GW #3 8/23/22</t>
  </si>
  <si>
    <t>GW #7 7/19/22</t>
  </si>
  <si>
    <t>I1-13 C 3/27/22</t>
  </si>
  <si>
    <t>GW #1 7/19/22</t>
  </si>
  <si>
    <t>I1-19 C 3/28/22</t>
  </si>
  <si>
    <t>Piez U 8/11/22</t>
  </si>
  <si>
    <t>PS-A 8/23/22</t>
  </si>
  <si>
    <t>Exp 4 C B#12</t>
  </si>
  <si>
    <t>Exp 4 C B#11</t>
  </si>
  <si>
    <t>Exp 4 C B#10</t>
  </si>
  <si>
    <t>Exp 4 C B#9</t>
  </si>
  <si>
    <t>Exp 4 C B#7</t>
  </si>
  <si>
    <t>Exp 4 C B#6</t>
  </si>
  <si>
    <t>Exp 4 C B#5</t>
  </si>
  <si>
    <t>Exp 4 C B#8</t>
  </si>
  <si>
    <t>Exp 4 C B#4</t>
  </si>
  <si>
    <t>Exp 4 C B#3</t>
  </si>
  <si>
    <t>Exp 4 C B#2</t>
  </si>
  <si>
    <t>Exp 1 C B#11</t>
  </si>
  <si>
    <t>Exp 1 C B#12</t>
  </si>
  <si>
    <t>Exp 1 C B#14</t>
  </si>
  <si>
    <t>Exp 1 C B#13</t>
  </si>
  <si>
    <t>Exp 1 C B#10</t>
  </si>
  <si>
    <t>Exp 1 C B#9</t>
  </si>
  <si>
    <t>Exp 1 C B#8</t>
  </si>
  <si>
    <t>Exp 1 C B#7</t>
  </si>
  <si>
    <t>Exp 1 C B#6</t>
  </si>
  <si>
    <t>Exp 4 C B#1</t>
  </si>
  <si>
    <t>Exp 1 C B#5</t>
  </si>
  <si>
    <t>Exp 1 C B#4</t>
  </si>
  <si>
    <t>Exp 1 C B#3</t>
  </si>
  <si>
    <t>Exp 1 C B#2</t>
  </si>
  <si>
    <t>Exp 1 C B#1</t>
  </si>
  <si>
    <t>S-2 B#14</t>
  </si>
  <si>
    <t>S-2 B#7</t>
  </si>
  <si>
    <t>GSUB 8/24/22</t>
  </si>
  <si>
    <t>GWW5 8/11/22</t>
  </si>
  <si>
    <t>GWW 3 8/11/22</t>
  </si>
  <si>
    <t>S-3 B#1</t>
  </si>
  <si>
    <t>GWW6 8/11/22</t>
  </si>
  <si>
    <t>S-3 B#5</t>
  </si>
  <si>
    <t>Grab SL 8/11/22</t>
  </si>
  <si>
    <t>GWW 1 8/11/22</t>
  </si>
  <si>
    <t>S-2 B#5</t>
  </si>
  <si>
    <t>S-2 B#19</t>
  </si>
  <si>
    <t>S-2 B#1</t>
  </si>
  <si>
    <t>GSL Carbon 7/12/22</t>
  </si>
  <si>
    <t>GSU 8/11/22</t>
  </si>
  <si>
    <t>GWW 2 8/11/22</t>
  </si>
  <si>
    <t>S-3 B #24</t>
  </si>
  <si>
    <t>GSU 7/12/22</t>
  </si>
  <si>
    <t>S-2 B#22</t>
  </si>
  <si>
    <t>S-2 B#17</t>
  </si>
  <si>
    <t>S-2 B#16</t>
  </si>
  <si>
    <t>S-2 B#13</t>
  </si>
  <si>
    <t>S-3 B#19</t>
  </si>
  <si>
    <t>S-2 B#3</t>
  </si>
  <si>
    <t>S-2 B#11</t>
  </si>
  <si>
    <t>S-2 B#10</t>
  </si>
  <si>
    <t>S-2 B#4</t>
  </si>
  <si>
    <t>GSLB DOC 8/24/22</t>
  </si>
  <si>
    <t>Blank</t>
  </si>
  <si>
    <t>S-1 B#2</t>
  </si>
  <si>
    <t>S-1 B#14</t>
  </si>
  <si>
    <t>S-1 B#13</t>
  </si>
  <si>
    <t>S-1 B#4</t>
  </si>
  <si>
    <t>Exp 6 C B#1</t>
  </si>
  <si>
    <t>Exp 6 C B#2</t>
  </si>
  <si>
    <t>Exp 6 C B#3</t>
  </si>
  <si>
    <t>Exp 6 C B#4</t>
  </si>
  <si>
    <t>Exp 6 C B#6</t>
  </si>
  <si>
    <t>Exp 6 C B#7</t>
  </si>
  <si>
    <t>Exp 6 C B#9</t>
  </si>
  <si>
    <t>Exp 6 C B#10</t>
  </si>
  <si>
    <t>Exp 8 C B#3</t>
  </si>
  <si>
    <t>Exp 8 C B#4</t>
  </si>
  <si>
    <t>Exp 8 C B#8</t>
  </si>
  <si>
    <t>Exp 8 C B#11</t>
  </si>
  <si>
    <t>S-1 B#1</t>
  </si>
  <si>
    <t>S-2 B#2</t>
  </si>
  <si>
    <t xml:space="preserve">GW #1 8/23/22 </t>
  </si>
  <si>
    <t xml:space="preserve">GW #2 7/19/22 </t>
  </si>
  <si>
    <t>GW #2 8/23/22</t>
  </si>
  <si>
    <t>GW #3 7/19/22</t>
  </si>
  <si>
    <t>GW #4 8/11/22</t>
  </si>
  <si>
    <t xml:space="preserve">GW #4 8/23/22 </t>
  </si>
  <si>
    <t>GW #5 7/19/22</t>
  </si>
  <si>
    <t>GW #6 7/19/22</t>
  </si>
  <si>
    <t>GW #6 8/23/22</t>
  </si>
  <si>
    <t>GW #7 8/11/22</t>
  </si>
  <si>
    <t>GW #7 8/23/22</t>
  </si>
  <si>
    <t>GW #8 8/11/22</t>
  </si>
  <si>
    <t xml:space="preserve">GW #8 8/23/22 </t>
  </si>
  <si>
    <t>GW #9 8/11/22</t>
  </si>
  <si>
    <t>Date Analyzed (rerun)</t>
  </si>
  <si>
    <t>DOC (mg/L) (rerun)</t>
  </si>
  <si>
    <t>DOC MDL (rerun)</t>
  </si>
  <si>
    <t>-</t>
  </si>
  <si>
    <t>GSLB 4/13/23</t>
  </si>
  <si>
    <t>GSLT 4/13/23</t>
  </si>
  <si>
    <t>GSUB 4/13/23</t>
  </si>
  <si>
    <t>GSUT 4/13/23</t>
  </si>
  <si>
    <t>GSLB 3/18/23</t>
  </si>
  <si>
    <t>GSLT 3/18/23</t>
  </si>
  <si>
    <t>GSUB 3/18/23</t>
  </si>
  <si>
    <t>GSUT 3/18/23</t>
  </si>
  <si>
    <t>GSLB 3/19/23</t>
  </si>
  <si>
    <t>GSLT 3/19/23</t>
  </si>
  <si>
    <t>GSUB 3/19/23</t>
  </si>
  <si>
    <t>GSUT 3/19/23</t>
  </si>
  <si>
    <t>GSLB 3/22/23</t>
  </si>
  <si>
    <t>GSLT 3/22/23</t>
  </si>
  <si>
    <t>GSUB 3/22/23</t>
  </si>
  <si>
    <t>GSUT 3/22/23</t>
  </si>
  <si>
    <t>UP#1 4/15/23</t>
  </si>
  <si>
    <t>UP#2 4/15/23</t>
  </si>
  <si>
    <t>UP#3 4/15/23</t>
  </si>
  <si>
    <t>UP#4 4/16/23</t>
  </si>
  <si>
    <t>UP#7 4/16/23</t>
  </si>
  <si>
    <t>UP#8 4/16/23</t>
  </si>
  <si>
    <t>UP#9 4/16/23</t>
  </si>
  <si>
    <t>UP#10 4/17/23</t>
  </si>
  <si>
    <t>UP#11  4/17/23</t>
  </si>
  <si>
    <t>UP#12  4/17/23</t>
  </si>
  <si>
    <t>UP#13  4/17/23</t>
  </si>
  <si>
    <t>UP#14 4/17/23</t>
  </si>
  <si>
    <t>UP#15 4/17/23</t>
  </si>
  <si>
    <t>UP#16 4/17/23</t>
  </si>
  <si>
    <t>UP#17 4/18/23</t>
  </si>
  <si>
    <t>DOWN#1 4/15/23</t>
  </si>
  <si>
    <t>DOWN#2 4/15/23</t>
  </si>
  <si>
    <t>DOWN#3 4/15/23</t>
  </si>
  <si>
    <t>DOWN#4 4/16/23</t>
  </si>
  <si>
    <t>DOWN#7 4/16/23</t>
  </si>
  <si>
    <t>DOWN#8 4/16/23</t>
  </si>
  <si>
    <t>DOWN#10 4/17/23</t>
  </si>
  <si>
    <t>DOWN#11 4/17/23</t>
  </si>
  <si>
    <t>DOWN#12 4/17/23</t>
  </si>
  <si>
    <t>DOWN#13 4/17/23</t>
  </si>
  <si>
    <t>DOWN#14 4/17/23</t>
  </si>
  <si>
    <t>DOWN#15 4/17/23</t>
  </si>
  <si>
    <t>DOWN#17 4/18/23</t>
  </si>
  <si>
    <t>OF-LB 4/17/23</t>
  </si>
  <si>
    <t>OF-RB 4/17/23</t>
  </si>
  <si>
    <t>SC-UP 4/17/23</t>
  </si>
  <si>
    <t>UP#18 4/18/23</t>
  </si>
  <si>
    <t>UP#19 4/18/23</t>
  </si>
  <si>
    <t>UP#1 4/18/23</t>
  </si>
  <si>
    <t>UP#2 4/18/23</t>
  </si>
  <si>
    <t>UP#3 4/19/23</t>
  </si>
  <si>
    <t>UP#4 4/19/23</t>
  </si>
  <si>
    <t>UP#5 4/19/23</t>
  </si>
  <si>
    <t>UP#6 4/19/23</t>
  </si>
  <si>
    <t>UP#7 4/19/23</t>
  </si>
  <si>
    <t>UP#8 4/20/23</t>
  </si>
  <si>
    <t>UP#9 4/20/23</t>
  </si>
  <si>
    <t>DOWN#16 4/18/23</t>
  </si>
  <si>
    <t>DOWN#18 4/18/23</t>
  </si>
  <si>
    <t>DOWN#19 4/18/23</t>
  </si>
  <si>
    <t>DOWN#1 4/18/23</t>
  </si>
  <si>
    <t>DOWN#2 4/18/23</t>
  </si>
  <si>
    <t>DOWN#3 4/19/23</t>
  </si>
  <si>
    <t>DOWN#4 4/19/23</t>
  </si>
  <si>
    <t>DOWN#5 4/19/23</t>
  </si>
  <si>
    <t>DOWN#9 4/20/23</t>
  </si>
  <si>
    <t>DOWN#10 4/20/23</t>
  </si>
  <si>
    <t>DOWN#11 4/20/23</t>
  </si>
  <si>
    <t>DOWN#12 4/21/23</t>
  </si>
  <si>
    <t>DOWN#13 4/21/23</t>
  </si>
  <si>
    <t>DOWN#14 4/21/23</t>
  </si>
  <si>
    <t>UP#11  4/20/23</t>
  </si>
  <si>
    <t>UP#12  4/20/23</t>
  </si>
  <si>
    <t>UP#14 4/21/23</t>
  </si>
  <si>
    <t>UP#15 4/21/23</t>
  </si>
  <si>
    <t>UP#16 4/21/23</t>
  </si>
  <si>
    <t>UP#17 4/22/23</t>
  </si>
  <si>
    <t>UP#18 4/22/23</t>
  </si>
  <si>
    <t>UP#19 4/22/23</t>
  </si>
  <si>
    <t>UP#20 4/22/23</t>
  </si>
  <si>
    <t>UP#21 4/23/23</t>
  </si>
  <si>
    <t>UP#22 4/23/23</t>
  </si>
  <si>
    <t>UP#23 4/23/23</t>
  </si>
  <si>
    <t>UP#1 4/23/23</t>
  </si>
  <si>
    <t>UP#2 4/23/23</t>
  </si>
  <si>
    <t>UP#3 4/24/23</t>
  </si>
  <si>
    <t>UP#4 4/24/23</t>
  </si>
  <si>
    <t>UP#5 4/24/23</t>
  </si>
  <si>
    <t>UP#6 4/24/23</t>
  </si>
  <si>
    <t>DOWN#1 4/23/23</t>
  </si>
  <si>
    <t>DOWN#2 4/23/23</t>
  </si>
  <si>
    <t>DOWN#3 4/24/23</t>
  </si>
  <si>
    <t>DOWN#4 4/24/23</t>
  </si>
  <si>
    <t>DOWN#5 4/24/23</t>
  </si>
  <si>
    <t>DOWN#6 4/24/23</t>
  </si>
  <si>
    <t>DOWN#7 4/24/23</t>
  </si>
  <si>
    <t>DOWN#8 4/25/23</t>
  </si>
  <si>
    <t>DOWN#9 4/25/23</t>
  </si>
  <si>
    <t>DOWN#10 4/25/23</t>
  </si>
  <si>
    <t>DOWN#11 4/25/23</t>
  </si>
  <si>
    <t>DOWN#12 4/25/23</t>
  </si>
  <si>
    <t>DOWN#13 4/26/23</t>
  </si>
  <si>
    <t>DOWN#15 4/26/23</t>
  </si>
  <si>
    <t>DOWN#16 4/26/23</t>
  </si>
  <si>
    <t>UP#7 4/24/23</t>
  </si>
  <si>
    <t>UP#8 4/25/23</t>
  </si>
  <si>
    <t>UP#10 4/25/23</t>
  </si>
  <si>
    <t>UP#11 4/25/23</t>
  </si>
  <si>
    <t>UP#15 4/26/23</t>
  </si>
  <si>
    <t>UP#16 4/26/23</t>
  </si>
  <si>
    <t>GW1 4/25/23</t>
  </si>
  <si>
    <t>GW2 4/25/23</t>
  </si>
  <si>
    <t>GW3 4/25/23</t>
  </si>
  <si>
    <t>GW5 4/25/23</t>
  </si>
  <si>
    <t>GW6 4/25/23</t>
  </si>
  <si>
    <t>GW7 4/25/23</t>
  </si>
  <si>
    <t>GW8 4/25/23</t>
  </si>
  <si>
    <t>GW9 4/25/23</t>
  </si>
  <si>
    <t>UP#20 4/27/23</t>
  </si>
  <si>
    <t>UP#17 4/27/23</t>
  </si>
  <si>
    <t>UP#18 4/27/23</t>
  </si>
  <si>
    <t>UP#19 4/27/23</t>
  </si>
  <si>
    <t>UP#21 4/27/23</t>
  </si>
  <si>
    <t>UP#22 4/28/23</t>
  </si>
  <si>
    <t>UP#23 4/28/23</t>
  </si>
  <si>
    <t>UP#24 4/28/23</t>
  </si>
  <si>
    <t>UP#1 4/28/23</t>
  </si>
  <si>
    <t>DOWN#17 4/27/23</t>
  </si>
  <si>
    <t>DOWN#18 4/27/23</t>
  </si>
  <si>
    <t>DOWN#19 4/27/23</t>
  </si>
  <si>
    <t>DOWN#20 4/27/23</t>
  </si>
  <si>
    <t>DOWN#21 4/28/23</t>
  </si>
  <si>
    <t>DOWN#22 4/28/23</t>
  </si>
  <si>
    <t>DOWN#23 4/28/23</t>
  </si>
  <si>
    <t>DOWN#24 4/28/23</t>
  </si>
  <si>
    <t>DOWN#1 4/28/23</t>
  </si>
  <si>
    <t>DOWN#2 4/28/23</t>
  </si>
  <si>
    <t>UP#10</t>
  </si>
  <si>
    <t>UP#2 4/29/23</t>
  </si>
  <si>
    <t>UP#3 4/29/23</t>
  </si>
  <si>
    <t>UP#5 4/29/23</t>
  </si>
  <si>
    <t>UP#6 4/29/23</t>
  </si>
  <si>
    <t>UP#7 4/29/23</t>
  </si>
  <si>
    <t>UP#8 4/30/23</t>
  </si>
  <si>
    <t>UP#9 4/30/23</t>
  </si>
  <si>
    <t>UP#10 4/30/23</t>
  </si>
  <si>
    <t>UP#11 4/30/23</t>
  </si>
  <si>
    <t>UP#12 4/30/23</t>
  </si>
  <si>
    <t>UP#13 5/01/23</t>
  </si>
  <si>
    <t>UP#14 5/01/23</t>
  </si>
  <si>
    <t>UP#15 5/01/23</t>
  </si>
  <si>
    <t>DOWN#3 4/29/23</t>
  </si>
  <si>
    <t>DOWN#4 4/29/23</t>
  </si>
  <si>
    <t>DOWN#5 4/29/23</t>
  </si>
  <si>
    <t>DOWN#6 4/29/23</t>
  </si>
  <si>
    <t>DOWN#7 4/29/23</t>
  </si>
  <si>
    <t>DOWN#8 4/30/23</t>
  </si>
  <si>
    <t>DOWN#9 4/30/23</t>
  </si>
  <si>
    <t>DOWN#10 4/30/23</t>
  </si>
  <si>
    <t>DOWN#11 4/30/23</t>
  </si>
  <si>
    <t>DOWN#12 4/30/23</t>
  </si>
  <si>
    <t>DOWN#13 5/1/23</t>
  </si>
  <si>
    <t>DOWN#14 5/1/23</t>
  </si>
  <si>
    <t>DOWN#15 5/1/23</t>
  </si>
  <si>
    <t>UP#22  5/3/23</t>
  </si>
  <si>
    <t>UP#1 5/3/23</t>
  </si>
  <si>
    <t>UP#4 5/4/23</t>
  </si>
  <si>
    <t>UP#7 5/4/23</t>
  </si>
  <si>
    <t>UP#9 5/4/23</t>
  </si>
  <si>
    <t>UP#12 5/5/23</t>
  </si>
  <si>
    <t>UP#14 5/5/23</t>
  </si>
  <si>
    <t>UP#16 5/5/23</t>
  </si>
  <si>
    <t>DOWN#16 5/2/23</t>
  </si>
  <si>
    <t>DOWN#17 5/2/23</t>
  </si>
  <si>
    <t>DOWN#18 5/2/23</t>
  </si>
  <si>
    <t>DOWN#19 5/2/23</t>
  </si>
  <si>
    <t>DOWN#20 5/3/23</t>
  </si>
  <si>
    <t>DOWN#21 5/3/23</t>
  </si>
  <si>
    <t>DOWN#22 5/3/23</t>
  </si>
  <si>
    <t>DOWN#1 5/3/23</t>
  </si>
  <si>
    <t>DOWN#3 5/4/23</t>
  </si>
  <si>
    <t>DOWN#5 5/4/23</t>
  </si>
  <si>
    <t>DOWN#7 5/4/23</t>
  </si>
  <si>
    <t>DOWN#8 5/4/23</t>
  </si>
  <si>
    <t>DOWN#9 5/4/23</t>
  </si>
  <si>
    <t>DOWN#10 5/4/23</t>
  </si>
  <si>
    <t>UP#16 5/2/23</t>
  </si>
  <si>
    <t>UP#17 5/2/23</t>
  </si>
  <si>
    <t>UP#18 5/2/23</t>
  </si>
  <si>
    <t>UP#19 5/2/23</t>
  </si>
  <si>
    <t>UP#20 5/3/23</t>
  </si>
  <si>
    <t>UP#21 5/3/23</t>
  </si>
  <si>
    <t>I#2-6 3/27/22</t>
  </si>
  <si>
    <t>I#2-13 3/27/22</t>
  </si>
  <si>
    <t>I#2-2 3/28/22</t>
  </si>
  <si>
    <t>I#2-10 3/29/22</t>
  </si>
  <si>
    <t>I#1-1 3/30/22</t>
  </si>
  <si>
    <t>I#2-1 4/1/22</t>
  </si>
  <si>
    <t>I#1-2 4/1/22</t>
  </si>
  <si>
    <t>I#2-2 4/1/22</t>
  </si>
  <si>
    <t>I#1-12 4/1/22</t>
  </si>
  <si>
    <t>I#2-8 4/2/22</t>
  </si>
  <si>
    <t>I#2-12 4/3/22</t>
  </si>
  <si>
    <t>I#2-6 4/4/22</t>
  </si>
  <si>
    <t>I#2-9 4/5/22</t>
  </si>
  <si>
    <t>I#2-11 4/5/22</t>
  </si>
  <si>
    <t>I#1-5 4/6/22</t>
  </si>
  <si>
    <t>I#1-8 4/6/22</t>
  </si>
  <si>
    <t>I#2-6 4/8/22</t>
  </si>
  <si>
    <t>I#2-9 4/9/22</t>
  </si>
  <si>
    <t>I#2-13 4/9/22</t>
  </si>
  <si>
    <t>I#2-3 4/10/22</t>
  </si>
  <si>
    <t>I#2-7 4/10/22</t>
  </si>
  <si>
    <t>I#2-12 4/11/22</t>
  </si>
  <si>
    <t>I#2-2 4/11/22</t>
  </si>
  <si>
    <t>I#2-1 4/13/22</t>
  </si>
  <si>
    <t>I#1-12 4/13/22</t>
  </si>
  <si>
    <t>I#2-5 4/14/22</t>
  </si>
  <si>
    <t>I#2-7 4/14/22</t>
  </si>
  <si>
    <t>I#2-10 4/15/22</t>
  </si>
  <si>
    <t>I#1-1 4/5/22</t>
  </si>
  <si>
    <t>I#1-14 3/30/22</t>
  </si>
  <si>
    <t>GSUB 4/1/22</t>
  </si>
  <si>
    <t>GSLB 4/1/22</t>
  </si>
  <si>
    <t>I#4-3 3/26/22</t>
  </si>
  <si>
    <t>I#4-19 3/26/22</t>
  </si>
  <si>
    <t>I#4-6 3/27/22</t>
  </si>
  <si>
    <t>I#4-13 3/27/22</t>
  </si>
  <si>
    <t>I#4-2 3/28/22</t>
  </si>
  <si>
    <t>I#4-10 3/30/22</t>
  </si>
  <si>
    <t>I#4-2 3/30/22</t>
  </si>
  <si>
    <t>I#4-18 3/30/22</t>
  </si>
  <si>
    <t>I#4-5 3/31/22</t>
  </si>
  <si>
    <t>I#4-8 3/31/22</t>
  </si>
  <si>
    <t>I#4-2 4/1/22</t>
  </si>
  <si>
    <t>I#4-12 4/1/22</t>
  </si>
  <si>
    <t>I#4-5 4/2/22</t>
  </si>
  <si>
    <t>I#4-8 4/2/22</t>
  </si>
  <si>
    <t>I#4-12 4/2/22</t>
  </si>
  <si>
    <t>I#4-12 4/3/22</t>
  </si>
  <si>
    <t>I#4-3 4/4/22</t>
  </si>
  <si>
    <t>I#4-6 4/4/22</t>
  </si>
  <si>
    <t>I#4-8 4/4/22</t>
  </si>
  <si>
    <t>I#4-2 4/9/22</t>
  </si>
  <si>
    <t>I#4-3 4/10/22</t>
  </si>
  <si>
    <t>I#4-2 4/11/22</t>
  </si>
  <si>
    <t>I#4-3 4/12/22</t>
  </si>
  <si>
    <t>I#4-11 4/11/22</t>
  </si>
  <si>
    <t>I#4-6 4/12/22</t>
  </si>
  <si>
    <t>I#4-12 4/13/22</t>
  </si>
  <si>
    <t>I#4-1 4/13/22</t>
  </si>
  <si>
    <t>I#4-5 4/14/22</t>
  </si>
  <si>
    <t>I#4-7 4/14/22</t>
  </si>
  <si>
    <t>GW#1 6/28/23</t>
  </si>
  <si>
    <t>GW#2 6/28/23</t>
  </si>
  <si>
    <t>GW#3 6/28/23</t>
  </si>
  <si>
    <t>GW#5 6/28/23</t>
  </si>
  <si>
    <t>GW#6 6/28/23</t>
  </si>
  <si>
    <t>GW#7 6/28/23</t>
  </si>
  <si>
    <t>GW#8 6/28/23</t>
  </si>
  <si>
    <t>GW#9 6/28/23</t>
  </si>
  <si>
    <t>GS DOWN 6/23/23</t>
  </si>
  <si>
    <t>GS UP 6/23/23</t>
  </si>
  <si>
    <t>GS DOWN 7/13/23</t>
  </si>
  <si>
    <t>GS UP 7/13/23</t>
  </si>
  <si>
    <t>GS DOWN 7/20/23</t>
  </si>
  <si>
    <t>GS UP 7/20/23</t>
  </si>
  <si>
    <t>GS DOWN 7/28/23</t>
  </si>
  <si>
    <t>GS UP 7/28/23</t>
  </si>
  <si>
    <t>NO VOL</t>
  </si>
  <si>
    <t>GS DOWN 8/15/23</t>
  </si>
  <si>
    <t>GS UP 8/15/23</t>
  </si>
  <si>
    <t>DOWN #1 7/29/23</t>
  </si>
  <si>
    <t>DOWN #2 7/29/23</t>
  </si>
  <si>
    <t>DOWN #3 7/29/23</t>
  </si>
  <si>
    <t>DOWN #4 7/29/23</t>
  </si>
  <si>
    <t>DOWN #5 7/29/23</t>
  </si>
  <si>
    <t>DOWN #6 7/29/23</t>
  </si>
  <si>
    <t>DOWN #7 7/29/23</t>
  </si>
  <si>
    <t>UP #1 7/29/23</t>
  </si>
  <si>
    <t>UP #2 7/29/23</t>
  </si>
  <si>
    <t>UP #3 7/29/23</t>
  </si>
  <si>
    <t>UP #4 7/29/23</t>
  </si>
  <si>
    <t>UP #5 7/29/23</t>
  </si>
  <si>
    <t>UP #6 7/29/23</t>
  </si>
  <si>
    <t>UP #7 7/29/23</t>
  </si>
  <si>
    <t>UP #9 7/29/23</t>
  </si>
  <si>
    <t>UP #11 7/29/23</t>
  </si>
  <si>
    <t>UP #14 7/29/23</t>
  </si>
  <si>
    <t>DOWN #2 08/13/23</t>
  </si>
  <si>
    <t>DOWN #3 08/13/23</t>
  </si>
  <si>
    <t>DOWN #4 08/13/23</t>
  </si>
  <si>
    <t>DOWN #5 08/13/23</t>
  </si>
  <si>
    <t>DOWN #6 08/13/23</t>
  </si>
  <si>
    <t>UP #1 08/13/23</t>
  </si>
  <si>
    <t>UP #2 08/13/23</t>
  </si>
  <si>
    <t>UP #3 08/13/23</t>
  </si>
  <si>
    <t>UP #4 08/13/23</t>
  </si>
  <si>
    <t>UP #5 08/13/23</t>
  </si>
  <si>
    <t>UP #6 08/13/23</t>
  </si>
  <si>
    <t>UP #7 08/13/23</t>
  </si>
  <si>
    <t>UP #8 08/13/23</t>
  </si>
  <si>
    <t>UP #9 08/13/23</t>
  </si>
  <si>
    <t>UP #10 08/13/23</t>
  </si>
  <si>
    <t>UP #11 08/13/23</t>
  </si>
  <si>
    <t>UP #12 08/13/23</t>
  </si>
  <si>
    <t>UP #13 08/13/23</t>
  </si>
  <si>
    <t>UP #1 8/28/23</t>
  </si>
  <si>
    <t>UP #2 8/28/23</t>
  </si>
  <si>
    <t>UP #3 8/28/23</t>
  </si>
  <si>
    <t>UP #4 8/28/23</t>
  </si>
  <si>
    <t>UP #5 8/28/23</t>
  </si>
  <si>
    <t>UP #8 8/28/23</t>
  </si>
  <si>
    <t>UP #10 8/28/23</t>
  </si>
  <si>
    <t>UP #13 8/28/23</t>
  </si>
  <si>
    <t>I#1-4 4/12/22</t>
  </si>
  <si>
    <t>DOWN #1 9/15/23</t>
  </si>
  <si>
    <t>DOWN #2 9/15/23</t>
  </si>
  <si>
    <t>DOWN #3 9/15/23</t>
  </si>
  <si>
    <t>DOWN #5 9/15/23</t>
  </si>
  <si>
    <t>DOWN #6 9/15/23</t>
  </si>
  <si>
    <t>DOWN #7 (I2) 9/15/23</t>
  </si>
  <si>
    <t>UP #1 9/15/23</t>
  </si>
  <si>
    <t>UP #2 9/15/23</t>
  </si>
  <si>
    <t>UP #3 9/15/23</t>
  </si>
  <si>
    <t>UP #5 9/15/23</t>
  </si>
  <si>
    <t>UP #7 9/15/23</t>
  </si>
  <si>
    <t>UP #10 9/15/23</t>
  </si>
  <si>
    <t>UP #14 9/15/23</t>
  </si>
  <si>
    <t>UP #18 9/15/23</t>
  </si>
  <si>
    <t>UP #22 9/15/23</t>
  </si>
  <si>
    <t>F#6</t>
  </si>
  <si>
    <t>F#14</t>
  </si>
  <si>
    <t>F#27</t>
  </si>
  <si>
    <t>F#37</t>
  </si>
  <si>
    <t>F#51</t>
  </si>
  <si>
    <t>F#61</t>
  </si>
  <si>
    <t>F#78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</si>
</sst>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1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  <xf numFmtId="0" fontId="2" fillId="0" borderId="8" xfId="0" applyFont="1" applyBorder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textRotation="90"/>
    </xf>
    <xf numFmtId="0" fontId="2" fillId="2" borderId="9" xfId="0" applyFont="1" applyFill="1" applyBorder="1" applyAlignment="1">
      <alignment textRotation="90" wrapText="1"/>
    </xf>
    <xf numFmtId="0" fontId="0" fillId="0" borderId="9" xfId="0" applyBorder="1"/>
    <xf numFmtId="164" fontId="0" fillId="0" borderId="9" xfId="0" applyNumberFormat="1" applyBorder="1" applyAlignment="1">
      <alignment horizontal="right"/>
    </xf>
    <xf numFmtId="0" fontId="2" fillId="0" borderId="7" xfId="0" applyFont="1" applyBorder="1"/>
    <xf numFmtId="0" fontId="0" fillId="0" borderId="0" xfId="0" applyAlignment="1">
      <alignment vertical="center"/>
    </xf>
    <xf numFmtId="0" fontId="2" fillId="2" borderId="0" xfId="0" applyFont="1" applyFill="1"/>
    <xf numFmtId="0" fontId="2" fillId="0" borderId="0" xfId="0" applyFont="1"/>
    <xf numFmtId="2" fontId="0" fillId="0" borderId="9" xfId="0" applyNumberFormat="1" applyBorder="1"/>
    <xf numFmtId="0" fontId="0" fillId="0" borderId="10" xfId="0" applyBorder="1"/>
    <xf numFmtId="164" fontId="0" fillId="0" borderId="10" xfId="0" applyNumberFormat="1" applyBorder="1" applyAlignment="1">
      <alignment horizontal="right"/>
    </xf>
    <xf numFmtId="0" fontId="0" fillId="0" borderId="11" xfId="0" applyBorder="1"/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9" xfId="0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4" fillId="3" borderId="9" xfId="0" applyNumberFormat="1" applyFont="1" applyFill="1" applyBorder="1" applyAlignment="1">
      <alignment horizontal="center"/>
    </xf>
    <xf numFmtId="165" fontId="4" fillId="3" borderId="9" xfId="0" applyNumberFormat="1" applyFont="1" applyFill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2" fontId="0" fillId="0" borderId="13" xfId="0" applyNumberFormat="1" applyBorder="1"/>
    <xf numFmtId="0" fontId="0" fillId="0" borderId="13" xfId="0" applyBorder="1"/>
    <xf numFmtId="0" fontId="7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4" fillId="3" borderId="14" xfId="0" applyFont="1" applyFill="1" applyBorder="1" applyAlignment="1">
      <alignment horizontal="left"/>
    </xf>
    <xf numFmtId="0" fontId="0" fillId="4" borderId="14" xfId="0" applyFill="1" applyBorder="1"/>
    <xf numFmtId="0" fontId="0" fillId="0" borderId="16" xfId="0" applyBorder="1"/>
    <xf numFmtId="0" fontId="5" fillId="0" borderId="14" xfId="0" applyFont="1" applyBorder="1"/>
    <xf numFmtId="0" fontId="0" fillId="5" borderId="14" xfId="0" applyFill="1" applyBorder="1"/>
    <xf numFmtId="0" fontId="7" fillId="5" borderId="9" xfId="0" applyFont="1" applyFill="1" applyBorder="1" applyAlignment="1">
      <alignment horizontal="center"/>
    </xf>
    <xf numFmtId="0" fontId="0" fillId="6" borderId="14" xfId="0" applyFill="1" applyBorder="1"/>
    <xf numFmtId="0" fontId="7" fillId="6" borderId="9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left"/>
    </xf>
    <xf numFmtId="0" fontId="4" fillId="5" borderId="14" xfId="0" applyFont="1" applyFill="1" applyBorder="1" applyAlignment="1">
      <alignment horizontal="left"/>
    </xf>
    <xf numFmtId="166" fontId="5" fillId="0" borderId="9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9" xfId="0" applyFont="1" applyFill="1" applyBorder="1" applyAlignment="1">
      <alignment horizontal="center" wrapText="1"/>
    </xf>
    <xf numFmtId="165" fontId="10" fillId="3" borderId="9" xfId="0" applyNumberFormat="1" applyFont="1" applyFill="1" applyBorder="1" applyAlignment="1">
      <alignment horizontal="center"/>
    </xf>
    <xf numFmtId="165" fontId="10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0" fillId="7" borderId="0" xfId="0" applyFill="1"/>
    <xf numFmtId="0" fontId="0" fillId="7" borderId="9" xfId="0" applyFill="1" applyBorder="1"/>
    <xf numFmtId="2" fontId="5" fillId="7" borderId="9" xfId="0" applyNumberFormat="1" applyFont="1" applyFill="1" applyBorder="1" applyAlignment="1">
      <alignment horizontal="center"/>
    </xf>
    <xf numFmtId="0" fontId="0" fillId="8" borderId="0" xfId="0" applyFill="1"/>
    <xf numFmtId="0" fontId="0" fillId="8" borderId="9" xfId="0" applyFill="1" applyBorder="1" applyAlignment="1">
      <alignment horizontal="center"/>
    </xf>
    <xf numFmtId="0" fontId="0" fillId="8" borderId="13" xfId="0" applyFill="1" applyBorder="1"/>
    <xf numFmtId="0" fontId="0" fillId="8" borderId="9" xfId="0" applyFill="1" applyBorder="1"/>
    <xf numFmtId="0" fontId="0" fillId="8" borderId="9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0" fillId="7" borderId="9" xfId="0" applyFill="1" applyBorder="1" applyAlignment="1">
      <alignment horizontal="center"/>
    </xf>
    <xf numFmtId="0" fontId="0" fillId="9" borderId="14" xfId="0" applyFill="1" applyBorder="1"/>
    <xf numFmtId="0" fontId="0" fillId="9" borderId="17" xfId="0" applyFill="1" applyBorder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0" fillId="10" borderId="14" xfId="0" applyFill="1" applyBorder="1"/>
    <xf numFmtId="164" fontId="0" fillId="10" borderId="10" xfId="0" applyNumberFormat="1" applyFill="1" applyBorder="1" applyAlignment="1">
      <alignment horizontal="right"/>
    </xf>
    <xf numFmtId="0" fontId="0" fillId="10" borderId="10" xfId="0" applyFill="1" applyBorder="1"/>
    <xf numFmtId="0" fontId="0" fillId="10" borderId="9" xfId="0" applyFill="1" applyBorder="1"/>
    <xf numFmtId="0" fontId="0" fillId="10" borderId="9" xfId="0" applyFill="1" applyBorder="1" applyAlignment="1">
      <alignment horizontal="center"/>
    </xf>
    <xf numFmtId="14" fontId="4" fillId="10" borderId="9" xfId="0" applyNumberFormat="1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/>
    </xf>
    <xf numFmtId="2" fontId="0" fillId="10" borderId="9" xfId="0" applyNumberFormat="1" applyFill="1" applyBorder="1" applyAlignment="1">
      <alignment horizontal="center"/>
    </xf>
    <xf numFmtId="2" fontId="5" fillId="10" borderId="9" xfId="0" applyNumberFormat="1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164" fontId="0" fillId="9" borderId="10" xfId="0" applyNumberFormat="1" applyFill="1" applyBorder="1" applyAlignment="1">
      <alignment horizontal="right"/>
    </xf>
    <xf numFmtId="0" fontId="0" fillId="9" borderId="10" xfId="0" applyFill="1" applyBorder="1"/>
    <xf numFmtId="0" fontId="0" fillId="9" borderId="9" xfId="0" applyFill="1" applyBorder="1"/>
    <xf numFmtId="0" fontId="0" fillId="9" borderId="9" xfId="0" applyFill="1" applyBorder="1" applyAlignment="1">
      <alignment horizontal="center"/>
    </xf>
    <xf numFmtId="14" fontId="4" fillId="9" borderId="9" xfId="0" applyNumberFormat="1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2" fontId="0" fillId="9" borderId="9" xfId="0" applyNumberFormat="1" applyFill="1" applyBorder="1" applyAlignment="1">
      <alignment horizontal="center"/>
    </xf>
    <xf numFmtId="2" fontId="5" fillId="9" borderId="9" xfId="0" applyNumberFormat="1" applyFont="1" applyFill="1" applyBorder="1" applyAlignment="1">
      <alignment horizontal="center"/>
    </xf>
    <xf numFmtId="0" fontId="0" fillId="11" borderId="14" xfId="0" applyFill="1" applyBorder="1"/>
    <xf numFmtId="164" fontId="0" fillId="11" borderId="10" xfId="0" applyNumberFormat="1" applyFill="1" applyBorder="1" applyAlignment="1">
      <alignment horizontal="right"/>
    </xf>
    <xf numFmtId="0" fontId="0" fillId="11" borderId="10" xfId="0" applyFill="1" applyBorder="1"/>
    <xf numFmtId="0" fontId="0" fillId="11" borderId="9" xfId="0" applyFill="1" applyBorder="1"/>
    <xf numFmtId="0" fontId="0" fillId="11" borderId="9" xfId="0" applyFill="1" applyBorder="1" applyAlignment="1">
      <alignment horizontal="center"/>
    </xf>
    <xf numFmtId="14" fontId="4" fillId="11" borderId="9" xfId="0" applyNumberFormat="1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/>
    </xf>
    <xf numFmtId="2" fontId="0" fillId="11" borderId="9" xfId="0" applyNumberFormat="1" applyFill="1" applyBorder="1" applyAlignment="1">
      <alignment horizontal="center"/>
    </xf>
    <xf numFmtId="2" fontId="5" fillId="11" borderId="9" xfId="0" applyNumberFormat="1" applyFont="1" applyFill="1" applyBorder="1" applyAlignment="1">
      <alignment horizontal="center"/>
    </xf>
    <xf numFmtId="166" fontId="5" fillId="11" borderId="9" xfId="0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2"/>
  <sheetViews>
    <sheetView tabSelected="1" topLeftCell="A489" zoomScale="80" zoomScaleNormal="80" zoomScaleSheetLayoutView="110" workbookViewId="0">
      <pane xSplit="2" topLeftCell="C1" activePane="topRight" state="frozen"/>
      <selection pane="topRight" activeCell="AC342" sqref="AC342"/>
    </sheetView>
  </sheetViews>
  <sheetFormatPr defaultColWidth="8.88671875" defaultRowHeight="15.6" x14ac:dyDescent="0.3"/>
  <cols>
    <col min="1" max="1" width="6.5546875" style="32" bestFit="1" customWidth="1"/>
    <col min="2" max="2" width="46" customWidth="1"/>
    <col min="3" max="3" width="5.6640625" customWidth="1"/>
    <col min="4" max="8" width="3.6640625" customWidth="1"/>
    <col min="9" max="10" width="10.88671875" bestFit="1" customWidth="1"/>
    <col min="11" max="11" width="9.109375" customWidth="1"/>
    <col min="12" max="12" width="14.44140625" customWidth="1"/>
    <col min="13" max="13" width="11.6640625" customWidth="1"/>
    <col min="14" max="14" width="12.6640625" customWidth="1"/>
    <col min="15" max="15" width="10.33203125" bestFit="1" customWidth="1"/>
    <col min="16" max="16" width="9.109375" style="49" customWidth="1"/>
    <col min="17" max="17" width="9.109375" customWidth="1"/>
    <col min="18" max="18" width="11.44140625" customWidth="1"/>
    <col min="19" max="20" width="9.109375" customWidth="1"/>
    <col min="21" max="21" width="11.5546875" customWidth="1"/>
    <col min="22" max="22" width="11.6640625" customWidth="1"/>
    <col min="23" max="23" width="14.6640625" customWidth="1"/>
    <col min="24" max="24" width="19.44140625" style="61" customWidth="1"/>
    <col min="25" max="25" width="8.88671875" style="23"/>
    <col min="26" max="26" width="15.33203125" style="58" customWidth="1"/>
  </cols>
  <sheetData>
    <row r="1" spans="1:27" ht="24" thickBot="1" x14ac:dyDescent="0.5">
      <c r="C1" s="1" t="s">
        <v>0</v>
      </c>
    </row>
    <row r="2" spans="1:27" x14ac:dyDescent="0.3">
      <c r="A2" s="31"/>
      <c r="B2" s="2"/>
      <c r="C2" s="72" t="s">
        <v>1</v>
      </c>
      <c r="D2" s="73"/>
      <c r="E2" s="73"/>
      <c r="F2" s="73"/>
      <c r="G2" s="72" t="s">
        <v>2</v>
      </c>
      <c r="H2" s="73"/>
      <c r="I2" s="73"/>
      <c r="J2" s="73"/>
      <c r="K2" s="74"/>
      <c r="L2" s="3" t="s">
        <v>3</v>
      </c>
      <c r="M2" s="4"/>
      <c r="N2" s="5"/>
      <c r="O2" s="15"/>
      <c r="P2" s="50"/>
      <c r="Q2" s="15"/>
      <c r="R2" s="15"/>
      <c r="S2" s="15"/>
      <c r="T2" s="15"/>
    </row>
    <row r="3" spans="1:27" x14ac:dyDescent="0.3">
      <c r="B3" s="6"/>
      <c r="C3" s="75">
        <v>44816</v>
      </c>
      <c r="D3" s="76"/>
      <c r="E3" s="76"/>
      <c r="F3" s="76"/>
      <c r="G3" s="77" t="s">
        <v>16</v>
      </c>
      <c r="H3" s="78"/>
      <c r="I3" s="78"/>
      <c r="J3" s="78"/>
      <c r="K3" s="79"/>
      <c r="L3" s="14"/>
      <c r="M3" s="7"/>
      <c r="N3" s="13"/>
      <c r="O3" s="16"/>
      <c r="P3" s="51"/>
      <c r="Q3" s="16"/>
      <c r="R3" s="16"/>
      <c r="S3" s="16"/>
      <c r="T3" s="16"/>
    </row>
    <row r="4" spans="1:27" s="11" customFormat="1" ht="111.75" customHeight="1" x14ac:dyDescent="0.3">
      <c r="A4" s="33" t="s">
        <v>18</v>
      </c>
      <c r="B4" s="8" t="s">
        <v>14</v>
      </c>
      <c r="C4" s="9" t="s">
        <v>4</v>
      </c>
      <c r="D4" s="9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17</v>
      </c>
      <c r="K4" s="10" t="s">
        <v>15</v>
      </c>
      <c r="L4" s="66" t="s">
        <v>22</v>
      </c>
      <c r="M4" s="67" t="s">
        <v>11</v>
      </c>
      <c r="N4" s="67" t="s">
        <v>12</v>
      </c>
      <c r="O4" s="68" t="s">
        <v>13</v>
      </c>
      <c r="P4" s="52" t="s">
        <v>23</v>
      </c>
      <c r="Q4" s="68" t="s">
        <v>24</v>
      </c>
      <c r="R4" s="68" t="s">
        <v>194</v>
      </c>
      <c r="S4" s="68" t="s">
        <v>195</v>
      </c>
      <c r="T4" s="68" t="s">
        <v>196</v>
      </c>
      <c r="U4" s="66" t="s">
        <v>19</v>
      </c>
      <c r="V4" s="66" t="s">
        <v>20</v>
      </c>
      <c r="W4" s="66" t="s">
        <v>28</v>
      </c>
      <c r="X4" s="65" t="s">
        <v>21</v>
      </c>
      <c r="Y4" s="22" t="s">
        <v>29</v>
      </c>
      <c r="Z4" s="69" t="s">
        <v>30</v>
      </c>
    </row>
    <row r="5" spans="1:27" s="11" customFormat="1" x14ac:dyDescent="0.3">
      <c r="A5" s="45">
        <v>1</v>
      </c>
      <c r="B5" s="44" t="s">
        <v>132</v>
      </c>
      <c r="C5" s="12" t="s">
        <v>27</v>
      </c>
      <c r="D5" s="11" t="s">
        <v>26</v>
      </c>
      <c r="E5" s="11" t="s">
        <v>26</v>
      </c>
      <c r="I5" s="11" t="s">
        <v>31</v>
      </c>
      <c r="J5" s="11" t="s">
        <v>25</v>
      </c>
      <c r="L5" s="22">
        <v>105.96</v>
      </c>
      <c r="O5" s="26">
        <v>44858</v>
      </c>
      <c r="P5" s="53">
        <v>2.64</v>
      </c>
      <c r="Q5" s="25">
        <v>0.2</v>
      </c>
      <c r="R5" s="25"/>
      <c r="S5" s="25"/>
      <c r="T5" s="25"/>
      <c r="U5" s="22">
        <v>0.23849999999999999</v>
      </c>
      <c r="V5" s="22">
        <v>0.25619999999999998</v>
      </c>
      <c r="W5" s="22"/>
      <c r="X5" s="62">
        <f>V5-U5</f>
        <v>1.7699999999999994E-2</v>
      </c>
      <c r="Y5" s="24"/>
      <c r="Z5" s="60">
        <f>Y5/(L5/1000)</f>
        <v>0</v>
      </c>
    </row>
    <row r="6" spans="1:27" s="11" customFormat="1" x14ac:dyDescent="0.3">
      <c r="A6" s="45">
        <v>2</v>
      </c>
      <c r="B6" s="44" t="s">
        <v>131</v>
      </c>
      <c r="C6" s="12" t="s">
        <v>27</v>
      </c>
      <c r="D6" s="11" t="s">
        <v>26</v>
      </c>
      <c r="E6" s="11" t="s">
        <v>26</v>
      </c>
      <c r="I6" s="11" t="s">
        <v>31</v>
      </c>
      <c r="J6" s="11" t="s">
        <v>25</v>
      </c>
      <c r="L6" s="22">
        <v>115.11</v>
      </c>
      <c r="O6" s="26">
        <v>44858</v>
      </c>
      <c r="P6" s="53">
        <v>2.3839999999999999</v>
      </c>
      <c r="Q6" s="25">
        <v>0.2</v>
      </c>
      <c r="R6" s="25"/>
      <c r="S6" s="25"/>
      <c r="T6" s="25"/>
      <c r="U6" s="22">
        <v>0.2422</v>
      </c>
      <c r="V6" s="22">
        <v>0.25890000000000002</v>
      </c>
      <c r="W6" s="22"/>
      <c r="X6" s="62">
        <f t="shared" ref="X6:X69" si="0">V6-U6</f>
        <v>1.670000000000002E-2</v>
      </c>
      <c r="Y6" s="24"/>
      <c r="Z6" s="60">
        <f t="shared" ref="Z6:Z69" si="1">Y6/(L6/1000)</f>
        <v>0</v>
      </c>
      <c r="AA6" s="20"/>
    </row>
    <row r="7" spans="1:27" s="11" customFormat="1" x14ac:dyDescent="0.3">
      <c r="A7" s="34">
        <v>3</v>
      </c>
      <c r="B7" s="36" t="s">
        <v>130</v>
      </c>
      <c r="C7" s="12" t="s">
        <v>27</v>
      </c>
      <c r="D7" s="11" t="s">
        <v>26</v>
      </c>
      <c r="E7" s="11" t="s">
        <v>26</v>
      </c>
      <c r="I7" s="11" t="s">
        <v>31</v>
      </c>
      <c r="J7" s="11" t="s">
        <v>25</v>
      </c>
      <c r="L7" s="22">
        <v>119.52</v>
      </c>
      <c r="O7" s="26">
        <v>44858</v>
      </c>
      <c r="P7" s="53">
        <v>2.2839999999999998</v>
      </c>
      <c r="Q7" s="25">
        <v>0.2</v>
      </c>
      <c r="R7" s="25"/>
      <c r="S7" s="25"/>
      <c r="T7" s="25"/>
      <c r="U7" s="22">
        <v>0.24060000000000001</v>
      </c>
      <c r="V7" s="22">
        <v>0.24970000000000001</v>
      </c>
      <c r="W7" s="22"/>
      <c r="X7" s="62">
        <f t="shared" si="0"/>
        <v>9.099999999999997E-3</v>
      </c>
      <c r="Y7" s="22"/>
      <c r="Z7" s="60">
        <f t="shared" si="1"/>
        <v>0</v>
      </c>
      <c r="AA7" s="20"/>
    </row>
    <row r="8" spans="1:27" s="11" customFormat="1" x14ac:dyDescent="0.3">
      <c r="A8" s="45">
        <v>4</v>
      </c>
      <c r="B8" s="44" t="s">
        <v>129</v>
      </c>
      <c r="C8" s="12" t="s">
        <v>27</v>
      </c>
      <c r="D8" s="11" t="s">
        <v>26</v>
      </c>
      <c r="E8" s="11" t="s">
        <v>26</v>
      </c>
      <c r="I8" s="11" t="s">
        <v>31</v>
      </c>
      <c r="J8" s="11" t="s">
        <v>25</v>
      </c>
      <c r="L8" s="22">
        <v>118.83</v>
      </c>
      <c r="O8" s="26">
        <v>44858</v>
      </c>
      <c r="P8" s="53">
        <v>2.423</v>
      </c>
      <c r="Q8" s="25">
        <v>0.2</v>
      </c>
      <c r="R8" s="25"/>
      <c r="S8" s="25"/>
      <c r="T8" s="25"/>
      <c r="U8" s="22">
        <v>0.24049999999999999</v>
      </c>
      <c r="V8" s="22">
        <v>0.2462</v>
      </c>
      <c r="W8" s="22"/>
      <c r="X8" s="62">
        <f t="shared" si="0"/>
        <v>5.7000000000000106E-3</v>
      </c>
      <c r="Y8" s="22"/>
      <c r="Z8" s="60">
        <f t="shared" si="1"/>
        <v>0</v>
      </c>
      <c r="AA8" s="20"/>
    </row>
    <row r="9" spans="1:27" s="11" customFormat="1" x14ac:dyDescent="0.3">
      <c r="A9" s="45">
        <v>5</v>
      </c>
      <c r="B9" s="44" t="s">
        <v>128</v>
      </c>
      <c r="C9" s="12" t="s">
        <v>27</v>
      </c>
      <c r="D9" s="11" t="s">
        <v>26</v>
      </c>
      <c r="E9" s="11" t="s">
        <v>26</v>
      </c>
      <c r="I9" s="11" t="s">
        <v>31</v>
      </c>
      <c r="J9" s="11" t="s">
        <v>25</v>
      </c>
      <c r="L9" s="22">
        <v>120.31</v>
      </c>
      <c r="O9" s="26">
        <v>44858</v>
      </c>
      <c r="P9" s="53">
        <v>2.488</v>
      </c>
      <c r="Q9" s="25">
        <v>0.2</v>
      </c>
      <c r="R9" s="25"/>
      <c r="S9" s="25"/>
      <c r="T9" s="25"/>
      <c r="U9" s="22">
        <v>0.23930000000000001</v>
      </c>
      <c r="V9" s="22">
        <v>0.24740000000000001</v>
      </c>
      <c r="W9" s="22"/>
      <c r="X9" s="62">
        <f t="shared" si="0"/>
        <v>8.0999999999999961E-3</v>
      </c>
      <c r="Y9" s="22"/>
      <c r="Z9" s="60">
        <f t="shared" si="1"/>
        <v>0</v>
      </c>
      <c r="AA9" s="20"/>
    </row>
    <row r="10" spans="1:27" s="11" customFormat="1" x14ac:dyDescent="0.3">
      <c r="A10" s="34">
        <v>6</v>
      </c>
      <c r="B10" s="36" t="s">
        <v>126</v>
      </c>
      <c r="C10" s="12" t="s">
        <v>27</v>
      </c>
      <c r="D10" s="11" t="s">
        <v>26</v>
      </c>
      <c r="E10" s="11" t="s">
        <v>26</v>
      </c>
      <c r="I10" s="11" t="s">
        <v>31</v>
      </c>
      <c r="J10" s="11" t="s">
        <v>25</v>
      </c>
      <c r="L10" s="22">
        <v>120.78</v>
      </c>
      <c r="O10" s="26">
        <v>44858</v>
      </c>
      <c r="P10" s="53">
        <v>2.4729999999999999</v>
      </c>
      <c r="Q10" s="25">
        <v>0.2</v>
      </c>
      <c r="R10" s="25"/>
      <c r="S10" s="25"/>
      <c r="T10" s="25"/>
      <c r="U10" s="22">
        <v>0.2394</v>
      </c>
      <c r="V10" s="22">
        <v>0.24679999999999999</v>
      </c>
      <c r="W10" s="22"/>
      <c r="X10" s="62">
        <f t="shared" si="0"/>
        <v>7.3999999999999899E-3</v>
      </c>
      <c r="Y10" s="22"/>
      <c r="Z10" s="60">
        <f t="shared" si="1"/>
        <v>0</v>
      </c>
      <c r="AA10" s="20"/>
    </row>
    <row r="11" spans="1:27" s="11" customFormat="1" x14ac:dyDescent="0.3">
      <c r="A11" s="34">
        <v>7</v>
      </c>
      <c r="B11" s="36" t="s">
        <v>125</v>
      </c>
      <c r="C11" s="12" t="s">
        <v>27</v>
      </c>
      <c r="D11" s="11" t="s">
        <v>26</v>
      </c>
      <c r="E11" s="11" t="s">
        <v>26</v>
      </c>
      <c r="I11" s="11" t="s">
        <v>31</v>
      </c>
      <c r="J11" s="11" t="s">
        <v>25</v>
      </c>
      <c r="L11" s="22">
        <v>120.15</v>
      </c>
      <c r="O11" s="26">
        <v>44858</v>
      </c>
      <c r="P11" s="53">
        <v>2.3140000000000001</v>
      </c>
      <c r="Q11" s="25">
        <v>0.2</v>
      </c>
      <c r="R11" s="25"/>
      <c r="S11" s="25"/>
      <c r="T11" s="25"/>
      <c r="U11" s="22">
        <v>0.24160000000000001</v>
      </c>
      <c r="V11" s="22">
        <v>0.2465</v>
      </c>
      <c r="W11" s="22"/>
      <c r="X11" s="62">
        <f t="shared" si="0"/>
        <v>4.8999999999999877E-3</v>
      </c>
      <c r="Y11" s="22"/>
      <c r="Z11" s="60">
        <f t="shared" si="1"/>
        <v>0</v>
      </c>
      <c r="AA11" s="20"/>
    </row>
    <row r="12" spans="1:27" s="11" customFormat="1" x14ac:dyDescent="0.3">
      <c r="A12" s="34">
        <v>8</v>
      </c>
      <c r="B12" s="36" t="s">
        <v>124</v>
      </c>
      <c r="C12" s="12" t="s">
        <v>27</v>
      </c>
      <c r="D12" s="11" t="s">
        <v>26</v>
      </c>
      <c r="E12" s="11" t="s">
        <v>26</v>
      </c>
      <c r="I12" s="11" t="s">
        <v>31</v>
      </c>
      <c r="J12" s="11" t="s">
        <v>25</v>
      </c>
      <c r="L12" s="22">
        <v>122.26</v>
      </c>
      <c r="O12" s="26">
        <v>44858</v>
      </c>
      <c r="P12" s="53">
        <v>2.4020000000000001</v>
      </c>
      <c r="Q12" s="25">
        <v>0.2</v>
      </c>
      <c r="R12" s="25"/>
      <c r="S12" s="25"/>
      <c r="T12" s="25"/>
      <c r="U12" s="22">
        <v>0.24149999999999999</v>
      </c>
      <c r="V12" s="22">
        <v>0.24679999999999999</v>
      </c>
      <c r="W12" s="22"/>
      <c r="X12" s="62">
        <f t="shared" si="0"/>
        <v>5.2999999999999992E-3</v>
      </c>
      <c r="Y12" s="22"/>
      <c r="Z12" s="60">
        <f t="shared" si="1"/>
        <v>0</v>
      </c>
      <c r="AA12" s="20"/>
    </row>
    <row r="13" spans="1:27" s="11" customFormat="1" x14ac:dyDescent="0.3">
      <c r="A13" s="34">
        <v>9</v>
      </c>
      <c r="B13" s="37" t="s">
        <v>123</v>
      </c>
      <c r="C13" s="12" t="s">
        <v>27</v>
      </c>
      <c r="D13" s="11" t="s">
        <v>26</v>
      </c>
      <c r="E13" s="11" t="s">
        <v>26</v>
      </c>
      <c r="I13" s="11" t="s">
        <v>31</v>
      </c>
      <c r="J13" s="11" t="s">
        <v>25</v>
      </c>
      <c r="L13" s="22">
        <v>120.51</v>
      </c>
      <c r="O13" s="26">
        <v>44858</v>
      </c>
      <c r="P13" s="53">
        <v>2.278</v>
      </c>
      <c r="Q13" s="25">
        <v>0.2</v>
      </c>
      <c r="R13" s="25"/>
      <c r="S13" s="25"/>
      <c r="T13" s="25"/>
      <c r="U13" s="22">
        <v>0.2387</v>
      </c>
      <c r="V13" s="22">
        <v>0.2432</v>
      </c>
      <c r="W13" s="22"/>
      <c r="X13" s="62">
        <f t="shared" si="0"/>
        <v>4.500000000000004E-3</v>
      </c>
      <c r="Y13" s="22"/>
      <c r="Z13" s="60">
        <f t="shared" si="1"/>
        <v>0</v>
      </c>
      <c r="AA13" s="20"/>
    </row>
    <row r="14" spans="1:27" s="11" customFormat="1" x14ac:dyDescent="0.3">
      <c r="A14" s="34">
        <v>10</v>
      </c>
      <c r="B14" s="36" t="s">
        <v>122</v>
      </c>
      <c r="C14" s="12" t="s">
        <v>27</v>
      </c>
      <c r="D14" s="11" t="s">
        <v>26</v>
      </c>
      <c r="E14" s="11" t="s">
        <v>26</v>
      </c>
      <c r="I14" s="11" t="s">
        <v>31</v>
      </c>
      <c r="J14" s="11" t="s">
        <v>25</v>
      </c>
      <c r="L14" s="22">
        <v>121.55</v>
      </c>
      <c r="O14" s="26">
        <v>44858</v>
      </c>
      <c r="P14" s="53">
        <v>2.2730000000000001</v>
      </c>
      <c r="Q14" s="25">
        <v>0.2</v>
      </c>
      <c r="R14" s="25"/>
      <c r="S14" s="25"/>
      <c r="T14" s="25"/>
      <c r="U14" s="22">
        <v>0.2397</v>
      </c>
      <c r="V14" s="22">
        <v>0.2424</v>
      </c>
      <c r="W14" s="22"/>
      <c r="X14" s="62">
        <f t="shared" si="0"/>
        <v>2.7000000000000079E-3</v>
      </c>
      <c r="Y14" s="22"/>
      <c r="Z14" s="60">
        <f t="shared" si="1"/>
        <v>0</v>
      </c>
      <c r="AA14" s="20"/>
    </row>
    <row r="15" spans="1:27" s="11" customFormat="1" x14ac:dyDescent="0.3">
      <c r="A15" s="34">
        <v>11</v>
      </c>
      <c r="B15" s="36" t="s">
        <v>118</v>
      </c>
      <c r="C15" s="12" t="s">
        <v>27</v>
      </c>
      <c r="D15" s="11" t="s">
        <v>26</v>
      </c>
      <c r="E15" s="11" t="s">
        <v>26</v>
      </c>
      <c r="I15" s="11" t="s">
        <v>31</v>
      </c>
      <c r="J15" s="11" t="s">
        <v>25</v>
      </c>
      <c r="L15" s="22">
        <v>120.93</v>
      </c>
      <c r="O15" s="26">
        <v>44858</v>
      </c>
      <c r="P15" s="53">
        <v>2.3010000000000002</v>
      </c>
      <c r="Q15" s="25">
        <v>0.2</v>
      </c>
      <c r="R15" s="25"/>
      <c r="S15" s="25"/>
      <c r="T15" s="25"/>
      <c r="U15" s="22">
        <v>0.24179999999999999</v>
      </c>
      <c r="V15" s="22">
        <v>0.24429999999999999</v>
      </c>
      <c r="W15" s="22"/>
      <c r="X15" s="62">
        <f t="shared" si="0"/>
        <v>2.5000000000000022E-3</v>
      </c>
      <c r="Y15" s="22"/>
      <c r="Z15" s="60">
        <f t="shared" si="1"/>
        <v>0</v>
      </c>
      <c r="AA15" s="20"/>
    </row>
    <row r="16" spans="1:27" s="11" customFormat="1" x14ac:dyDescent="0.3">
      <c r="A16" s="45">
        <v>12</v>
      </c>
      <c r="B16" s="44" t="s">
        <v>119</v>
      </c>
      <c r="C16" s="12" t="s">
        <v>27</v>
      </c>
      <c r="D16" s="11" t="s">
        <v>26</v>
      </c>
      <c r="E16" s="11" t="s">
        <v>26</v>
      </c>
      <c r="I16" s="11" t="s">
        <v>31</v>
      </c>
      <c r="J16" s="11" t="s">
        <v>25</v>
      </c>
      <c r="L16" s="22">
        <v>119.54</v>
      </c>
      <c r="O16" s="26">
        <v>44858</v>
      </c>
      <c r="P16" s="53">
        <v>2.3130000000000002</v>
      </c>
      <c r="Q16" s="25">
        <v>0.2</v>
      </c>
      <c r="R16" s="25"/>
      <c r="S16" s="25"/>
      <c r="T16" s="25"/>
      <c r="U16" s="22">
        <v>0.23039999999999999</v>
      </c>
      <c r="V16" s="22">
        <v>0.2319</v>
      </c>
      <c r="W16" s="22"/>
      <c r="X16" s="62">
        <f t="shared" si="0"/>
        <v>1.5000000000000013E-3</v>
      </c>
      <c r="Y16" s="22"/>
      <c r="Z16" s="60">
        <f t="shared" si="1"/>
        <v>0</v>
      </c>
      <c r="AA16" s="20"/>
    </row>
    <row r="17" spans="1:27" s="11" customFormat="1" x14ac:dyDescent="0.3">
      <c r="A17" s="34">
        <v>13</v>
      </c>
      <c r="B17" s="36" t="s">
        <v>121</v>
      </c>
      <c r="C17" s="12" t="s">
        <v>27</v>
      </c>
      <c r="D17" s="11" t="s">
        <v>26</v>
      </c>
      <c r="E17" s="11" t="s">
        <v>26</v>
      </c>
      <c r="I17" s="11" t="s">
        <v>31</v>
      </c>
      <c r="J17" s="11" t="s">
        <v>25</v>
      </c>
      <c r="L17" s="22">
        <v>121.19</v>
      </c>
      <c r="O17" s="26">
        <v>44858</v>
      </c>
      <c r="P17" s="53">
        <v>2.3079999999999998</v>
      </c>
      <c r="Q17" s="25">
        <v>0.2</v>
      </c>
      <c r="R17" s="25"/>
      <c r="S17" s="25"/>
      <c r="T17" s="25"/>
      <c r="U17" s="22">
        <v>0.2356</v>
      </c>
      <c r="V17" s="22">
        <v>0.2369</v>
      </c>
      <c r="W17" s="22"/>
      <c r="X17" s="62">
        <f t="shared" si="0"/>
        <v>1.2999999999999956E-3</v>
      </c>
      <c r="Y17" s="22"/>
      <c r="Z17" s="60">
        <f t="shared" si="1"/>
        <v>0</v>
      </c>
      <c r="AA17" s="20"/>
    </row>
    <row r="18" spans="1:27" s="11" customFormat="1" x14ac:dyDescent="0.3">
      <c r="A18" s="34">
        <v>14</v>
      </c>
      <c r="B18" s="36" t="s">
        <v>120</v>
      </c>
      <c r="C18" s="12" t="s">
        <v>27</v>
      </c>
      <c r="D18" s="11" t="s">
        <v>26</v>
      </c>
      <c r="E18" s="11" t="s">
        <v>26</v>
      </c>
      <c r="I18" s="11" t="s">
        <v>31</v>
      </c>
      <c r="J18" s="11" t="s">
        <v>25</v>
      </c>
      <c r="L18" s="22">
        <v>121.5</v>
      </c>
      <c r="O18" s="26">
        <v>44858</v>
      </c>
      <c r="P18" s="53">
        <v>2.214</v>
      </c>
      <c r="Q18" s="25">
        <v>0.2</v>
      </c>
      <c r="R18" s="25"/>
      <c r="S18" s="25"/>
      <c r="T18" s="25"/>
      <c r="U18" s="22">
        <v>0.23749999999999999</v>
      </c>
      <c r="V18" s="22">
        <v>0.23830000000000001</v>
      </c>
      <c r="W18" s="22"/>
      <c r="X18" s="62">
        <f t="shared" si="0"/>
        <v>8.0000000000002292E-4</v>
      </c>
      <c r="Y18" s="22"/>
      <c r="Z18" s="60">
        <f t="shared" si="1"/>
        <v>0</v>
      </c>
      <c r="AA18" s="20"/>
    </row>
    <row r="19" spans="1:27" s="11" customFormat="1" x14ac:dyDescent="0.3">
      <c r="A19" s="45">
        <v>15</v>
      </c>
      <c r="B19" s="44" t="s">
        <v>32</v>
      </c>
      <c r="C19" s="12" t="s">
        <v>27</v>
      </c>
      <c r="D19" s="11" t="s">
        <v>26</v>
      </c>
      <c r="E19" s="11" t="s">
        <v>26</v>
      </c>
      <c r="I19" s="11" t="s">
        <v>31</v>
      </c>
      <c r="J19" s="11" t="s">
        <v>25</v>
      </c>
      <c r="L19" s="22">
        <v>122.7</v>
      </c>
      <c r="O19" s="26">
        <v>44816</v>
      </c>
      <c r="P19" s="53">
        <v>2.718</v>
      </c>
      <c r="Q19" s="25">
        <v>0.2</v>
      </c>
      <c r="R19" s="25"/>
      <c r="S19" s="25"/>
      <c r="T19" s="25"/>
      <c r="U19" s="22">
        <v>0.23180000000000001</v>
      </c>
      <c r="V19" s="22">
        <v>0.2346</v>
      </c>
      <c r="W19" s="22"/>
      <c r="X19" s="62">
        <f t="shared" si="0"/>
        <v>2.7999999999999969E-3</v>
      </c>
      <c r="Y19" s="22"/>
      <c r="Z19" s="60">
        <f t="shared" si="1"/>
        <v>0</v>
      </c>
      <c r="AA19" s="20"/>
    </row>
    <row r="20" spans="1:27" s="11" customFormat="1" x14ac:dyDescent="0.3">
      <c r="A20" s="45">
        <v>16</v>
      </c>
      <c r="B20" s="44" t="s">
        <v>33</v>
      </c>
      <c r="C20" s="12" t="s">
        <v>27</v>
      </c>
      <c r="D20" s="11" t="s">
        <v>26</v>
      </c>
      <c r="E20" s="11" t="s">
        <v>26</v>
      </c>
      <c r="I20" s="11" t="s">
        <v>31</v>
      </c>
      <c r="J20" s="11" t="s">
        <v>25</v>
      </c>
      <c r="L20" s="22">
        <v>121.56</v>
      </c>
      <c r="O20" s="26">
        <v>44816</v>
      </c>
      <c r="P20" s="53">
        <v>2.6819999999999999</v>
      </c>
      <c r="Q20" s="25">
        <v>0.2</v>
      </c>
      <c r="R20" s="25"/>
      <c r="S20" s="25"/>
      <c r="T20" s="25"/>
      <c r="U20" s="22">
        <v>0.2399</v>
      </c>
      <c r="V20" s="22">
        <v>0.248</v>
      </c>
      <c r="W20" s="22"/>
      <c r="X20" s="62">
        <f t="shared" si="0"/>
        <v>8.0999999999999961E-3</v>
      </c>
      <c r="Y20" s="22"/>
      <c r="Z20" s="60">
        <f t="shared" si="1"/>
        <v>0</v>
      </c>
      <c r="AA20" s="20"/>
    </row>
    <row r="21" spans="1:27" s="11" customFormat="1" x14ac:dyDescent="0.3">
      <c r="A21" s="45">
        <v>17</v>
      </c>
      <c r="B21" s="44" t="s">
        <v>34</v>
      </c>
      <c r="C21" s="12" t="s">
        <v>27</v>
      </c>
      <c r="D21" s="11" t="s">
        <v>26</v>
      </c>
      <c r="E21" s="11" t="s">
        <v>26</v>
      </c>
      <c r="I21" s="11" t="s">
        <v>31</v>
      </c>
      <c r="J21" s="11" t="s">
        <v>25</v>
      </c>
      <c r="L21" s="22">
        <v>122.43</v>
      </c>
      <c r="O21" s="26">
        <v>44816</v>
      </c>
      <c r="P21" s="53">
        <v>2.6440000000000001</v>
      </c>
      <c r="Q21" s="25">
        <v>0.2</v>
      </c>
      <c r="R21" s="25"/>
      <c r="S21" s="25"/>
      <c r="T21" s="25"/>
      <c r="U21" s="22">
        <v>0.23810000000000001</v>
      </c>
      <c r="V21" s="22">
        <v>0.25800000000000001</v>
      </c>
      <c r="W21" s="22"/>
      <c r="X21" s="62">
        <f t="shared" si="0"/>
        <v>1.9900000000000001E-2</v>
      </c>
      <c r="Y21" s="22"/>
      <c r="Z21" s="60">
        <f t="shared" si="1"/>
        <v>0</v>
      </c>
      <c r="AA21" s="20"/>
    </row>
    <row r="22" spans="1:27" s="11" customFormat="1" x14ac:dyDescent="0.3">
      <c r="A22" s="34">
        <v>18</v>
      </c>
      <c r="B22" s="36" t="s">
        <v>35</v>
      </c>
      <c r="C22" s="12" t="s">
        <v>27</v>
      </c>
      <c r="D22" s="11" t="s">
        <v>26</v>
      </c>
      <c r="E22" s="11" t="s">
        <v>26</v>
      </c>
      <c r="I22" s="11" t="s">
        <v>31</v>
      </c>
      <c r="J22" s="11" t="s">
        <v>25</v>
      </c>
      <c r="L22" s="22">
        <v>122.82</v>
      </c>
      <c r="O22" s="26">
        <v>44816</v>
      </c>
      <c r="P22" s="53">
        <v>2.7519999999999998</v>
      </c>
      <c r="Q22" s="25">
        <v>0.2</v>
      </c>
      <c r="R22" s="25"/>
      <c r="S22" s="25"/>
      <c r="T22" s="25"/>
      <c r="U22" s="22">
        <v>0.23599999999999999</v>
      </c>
      <c r="V22" s="22">
        <v>0.247</v>
      </c>
      <c r="W22" s="22"/>
      <c r="X22" s="62">
        <f t="shared" si="0"/>
        <v>1.100000000000001E-2</v>
      </c>
      <c r="Y22" s="22"/>
      <c r="Z22" s="60">
        <f t="shared" si="1"/>
        <v>0</v>
      </c>
      <c r="AA22" s="20"/>
    </row>
    <row r="23" spans="1:27" s="11" customFormat="1" x14ac:dyDescent="0.3">
      <c r="A23" s="45">
        <v>19</v>
      </c>
      <c r="B23" s="44" t="s">
        <v>36</v>
      </c>
      <c r="C23" s="12" t="s">
        <v>27</v>
      </c>
      <c r="D23" s="11" t="s">
        <v>26</v>
      </c>
      <c r="E23" s="11" t="s">
        <v>26</v>
      </c>
      <c r="I23" s="11" t="s">
        <v>31</v>
      </c>
      <c r="J23" s="11" t="s">
        <v>25</v>
      </c>
      <c r="L23" s="22">
        <v>121.09</v>
      </c>
      <c r="O23" s="26">
        <v>44816</v>
      </c>
      <c r="P23" s="53">
        <v>2.8079999999999998</v>
      </c>
      <c r="Q23" s="25">
        <v>0.2</v>
      </c>
      <c r="R23" s="25"/>
      <c r="S23" s="25"/>
      <c r="T23" s="25"/>
      <c r="U23" s="22">
        <v>0.2417</v>
      </c>
      <c r="V23" s="22">
        <v>0.25230000000000002</v>
      </c>
      <c r="W23" s="22"/>
      <c r="X23" s="62">
        <f t="shared" si="0"/>
        <v>1.0600000000000026E-2</v>
      </c>
      <c r="Y23" s="22"/>
      <c r="Z23" s="60">
        <f t="shared" si="1"/>
        <v>0</v>
      </c>
      <c r="AA23" s="20"/>
    </row>
    <row r="24" spans="1:27" s="11" customFormat="1" x14ac:dyDescent="0.3">
      <c r="A24" s="34">
        <v>20</v>
      </c>
      <c r="B24" s="36" t="s">
        <v>37</v>
      </c>
      <c r="C24" s="12" t="s">
        <v>27</v>
      </c>
      <c r="D24" s="11" t="s">
        <v>26</v>
      </c>
      <c r="E24" s="11" t="s">
        <v>26</v>
      </c>
      <c r="I24" s="11" t="s">
        <v>31</v>
      </c>
      <c r="J24" s="11" t="s">
        <v>25</v>
      </c>
      <c r="L24" s="22">
        <v>120.25</v>
      </c>
      <c r="O24" s="26">
        <v>44816</v>
      </c>
      <c r="P24" s="53">
        <v>3.0089999999999999</v>
      </c>
      <c r="Q24" s="25">
        <v>0.2</v>
      </c>
      <c r="R24" s="25"/>
      <c r="S24" s="25"/>
      <c r="T24" s="25"/>
      <c r="U24" s="22">
        <v>0.23150000000000001</v>
      </c>
      <c r="V24" s="22">
        <v>0.23960000000000001</v>
      </c>
      <c r="W24" s="22"/>
      <c r="X24" s="62">
        <f t="shared" si="0"/>
        <v>8.0999999999999961E-3</v>
      </c>
      <c r="Y24" s="22"/>
      <c r="Z24" s="60">
        <f t="shared" si="1"/>
        <v>0</v>
      </c>
      <c r="AA24" s="20"/>
    </row>
    <row r="25" spans="1:27" s="11" customFormat="1" x14ac:dyDescent="0.3">
      <c r="A25" s="34">
        <v>21</v>
      </c>
      <c r="B25" s="36" t="s">
        <v>38</v>
      </c>
      <c r="C25" s="12" t="s">
        <v>27</v>
      </c>
      <c r="D25" s="11" t="s">
        <v>26</v>
      </c>
      <c r="E25" s="11" t="s">
        <v>26</v>
      </c>
      <c r="I25" s="11" t="s">
        <v>31</v>
      </c>
      <c r="J25" s="11" t="s">
        <v>25</v>
      </c>
      <c r="L25" s="22">
        <v>121.68</v>
      </c>
      <c r="O25" s="26">
        <v>44816</v>
      </c>
      <c r="P25" s="53">
        <v>2.7839999999999998</v>
      </c>
      <c r="Q25" s="25">
        <v>0.2</v>
      </c>
      <c r="R25" s="25"/>
      <c r="S25" s="25"/>
      <c r="T25" s="25"/>
      <c r="U25" s="22">
        <v>0.2359</v>
      </c>
      <c r="V25" s="22">
        <v>0.24340000000000001</v>
      </c>
      <c r="W25" s="22"/>
      <c r="X25" s="62">
        <f t="shared" si="0"/>
        <v>7.5000000000000067E-3</v>
      </c>
      <c r="Y25" s="22"/>
      <c r="Z25" s="60">
        <f t="shared" si="1"/>
        <v>0</v>
      </c>
      <c r="AA25" s="20"/>
    </row>
    <row r="26" spans="1:27" s="11" customFormat="1" x14ac:dyDescent="0.3">
      <c r="A26" s="45">
        <v>22</v>
      </c>
      <c r="B26" s="44" t="s">
        <v>39</v>
      </c>
      <c r="C26" s="12" t="s">
        <v>27</v>
      </c>
      <c r="D26" s="11" t="s">
        <v>26</v>
      </c>
      <c r="E26" s="11" t="s">
        <v>26</v>
      </c>
      <c r="I26" s="11" t="s">
        <v>31</v>
      </c>
      <c r="J26" s="11" t="s">
        <v>25</v>
      </c>
      <c r="L26" s="22">
        <v>122.23</v>
      </c>
      <c r="O26" s="26">
        <v>44816</v>
      </c>
      <c r="P26" s="53">
        <v>2.7559999999999998</v>
      </c>
      <c r="Q26" s="25">
        <v>0.2</v>
      </c>
      <c r="R26" s="25"/>
      <c r="S26" s="25"/>
      <c r="T26" s="25"/>
      <c r="U26" s="22">
        <v>0.23649999999999999</v>
      </c>
      <c r="V26" s="22">
        <v>0.24110000000000001</v>
      </c>
      <c r="W26" s="22"/>
      <c r="X26" s="62">
        <f t="shared" si="0"/>
        <v>4.6000000000000207E-3</v>
      </c>
      <c r="Y26" s="22"/>
      <c r="Z26" s="60">
        <f t="shared" si="1"/>
        <v>0</v>
      </c>
      <c r="AA26" s="20"/>
    </row>
    <row r="27" spans="1:27" s="11" customFormat="1" x14ac:dyDescent="0.3">
      <c r="A27" s="43">
        <v>23</v>
      </c>
      <c r="B27" s="42" t="s">
        <v>40</v>
      </c>
      <c r="C27" s="12" t="s">
        <v>27</v>
      </c>
      <c r="D27" s="11" t="s">
        <v>26</v>
      </c>
      <c r="E27" s="11" t="s">
        <v>26</v>
      </c>
      <c r="I27" s="11" t="s">
        <v>31</v>
      </c>
      <c r="J27" s="11" t="s">
        <v>25</v>
      </c>
      <c r="L27" s="22">
        <v>120.76</v>
      </c>
      <c r="O27" s="26">
        <v>44816</v>
      </c>
      <c r="P27" s="53">
        <v>2.8039999999999998</v>
      </c>
      <c r="Q27" s="25">
        <v>0.2</v>
      </c>
      <c r="R27" s="25"/>
      <c r="S27" s="25"/>
      <c r="T27" s="25"/>
      <c r="U27" s="22">
        <v>0.2407</v>
      </c>
      <c r="V27" s="22">
        <v>0.2467</v>
      </c>
      <c r="W27" s="22"/>
      <c r="X27" s="62">
        <f t="shared" si="0"/>
        <v>6.0000000000000053E-3</v>
      </c>
      <c r="Y27" s="48">
        <v>1.64795854550625E-2</v>
      </c>
      <c r="Z27" s="60">
        <f t="shared" si="1"/>
        <v>0.13646559667988156</v>
      </c>
      <c r="AA27" s="20"/>
    </row>
    <row r="28" spans="1:27" s="11" customFormat="1" x14ac:dyDescent="0.3">
      <c r="A28" s="34">
        <v>24</v>
      </c>
      <c r="B28" s="36" t="s">
        <v>41</v>
      </c>
      <c r="C28" s="12" t="s">
        <v>27</v>
      </c>
      <c r="D28" s="11" t="s">
        <v>26</v>
      </c>
      <c r="E28" s="11" t="s">
        <v>26</v>
      </c>
      <c r="I28" s="11" t="s">
        <v>31</v>
      </c>
      <c r="J28" s="11" t="s">
        <v>25</v>
      </c>
      <c r="L28" s="22">
        <v>121.31</v>
      </c>
      <c r="O28" s="26">
        <v>44816</v>
      </c>
      <c r="P28" s="53">
        <v>2.8039999999999998</v>
      </c>
      <c r="Q28" s="25">
        <v>0.2</v>
      </c>
      <c r="R28" s="25"/>
      <c r="S28" s="25"/>
      <c r="T28" s="25"/>
      <c r="U28" s="22">
        <v>0.2402</v>
      </c>
      <c r="V28" s="22">
        <v>0.24390000000000001</v>
      </c>
      <c r="W28" s="22"/>
      <c r="X28" s="62">
        <f t="shared" si="0"/>
        <v>3.7000000000000088E-3</v>
      </c>
      <c r="Y28" s="22"/>
      <c r="Z28" s="60">
        <f t="shared" si="1"/>
        <v>0</v>
      </c>
      <c r="AA28" s="20"/>
    </row>
    <row r="29" spans="1:27" s="11" customFormat="1" x14ac:dyDescent="0.3">
      <c r="A29" s="34">
        <v>25</v>
      </c>
      <c r="B29" s="36" t="s">
        <v>42</v>
      </c>
      <c r="C29" s="12" t="s">
        <v>27</v>
      </c>
      <c r="D29" s="11" t="s">
        <v>26</v>
      </c>
      <c r="E29" s="11" t="s">
        <v>26</v>
      </c>
      <c r="I29" s="11" t="s">
        <v>31</v>
      </c>
      <c r="J29" s="11" t="s">
        <v>25</v>
      </c>
      <c r="L29" s="22">
        <v>121.47</v>
      </c>
      <c r="O29" s="26">
        <v>44816</v>
      </c>
      <c r="P29" s="53">
        <v>2.8639999999999999</v>
      </c>
      <c r="Q29" s="25">
        <v>0.2</v>
      </c>
      <c r="R29" s="25"/>
      <c r="S29" s="25"/>
      <c r="T29" s="25"/>
      <c r="U29" s="22">
        <v>0.2334</v>
      </c>
      <c r="V29" s="22">
        <v>0.23680000000000001</v>
      </c>
      <c r="W29" s="22"/>
      <c r="X29" s="62">
        <f t="shared" si="0"/>
        <v>3.4000000000000141E-3</v>
      </c>
      <c r="Y29" s="22"/>
      <c r="Z29" s="60">
        <f t="shared" si="1"/>
        <v>0</v>
      </c>
      <c r="AA29" s="20"/>
    </row>
    <row r="30" spans="1:27" s="11" customFormat="1" x14ac:dyDescent="0.3">
      <c r="A30" s="43">
        <v>26</v>
      </c>
      <c r="B30" s="42" t="s">
        <v>43</v>
      </c>
      <c r="C30" s="12" t="s">
        <v>27</v>
      </c>
      <c r="D30" s="11" t="s">
        <v>26</v>
      </c>
      <c r="E30" s="11" t="s">
        <v>26</v>
      </c>
      <c r="I30" s="11" t="s">
        <v>31</v>
      </c>
      <c r="J30" s="11" t="s">
        <v>25</v>
      </c>
      <c r="L30" s="22">
        <v>120.68</v>
      </c>
      <c r="O30" s="26">
        <v>44816</v>
      </c>
      <c r="P30" s="53">
        <v>2.76</v>
      </c>
      <c r="Q30" s="25">
        <v>0.2</v>
      </c>
      <c r="R30" s="25"/>
      <c r="S30" s="25"/>
      <c r="T30" s="25"/>
      <c r="U30" s="22">
        <v>0.2374</v>
      </c>
      <c r="V30" s="22">
        <v>0.2394</v>
      </c>
      <c r="W30" s="22"/>
      <c r="X30" s="62">
        <f t="shared" si="0"/>
        <v>2.0000000000000018E-3</v>
      </c>
      <c r="Y30" s="48">
        <v>1.2215408905359375E-2</v>
      </c>
      <c r="Z30" s="60">
        <f t="shared" si="1"/>
        <v>0.10122148579184101</v>
      </c>
      <c r="AA30" s="20"/>
    </row>
    <row r="31" spans="1:27" s="11" customFormat="1" x14ac:dyDescent="0.3">
      <c r="A31" s="34">
        <v>27</v>
      </c>
      <c r="B31" s="36" t="s">
        <v>44</v>
      </c>
      <c r="C31" s="12" t="s">
        <v>27</v>
      </c>
      <c r="D31" s="11" t="s">
        <v>26</v>
      </c>
      <c r="E31" s="11" t="s">
        <v>26</v>
      </c>
      <c r="I31" s="11" t="s">
        <v>31</v>
      </c>
      <c r="J31" s="11" t="s">
        <v>25</v>
      </c>
      <c r="L31" s="22">
        <v>119.77</v>
      </c>
      <c r="O31" s="26">
        <v>44816</v>
      </c>
      <c r="P31" s="53">
        <v>2.7690000000000001</v>
      </c>
      <c r="Q31" s="25">
        <v>0.2</v>
      </c>
      <c r="R31" s="25"/>
      <c r="S31" s="25"/>
      <c r="T31" s="25"/>
      <c r="U31" s="22">
        <v>0.2356</v>
      </c>
      <c r="V31" s="22">
        <v>0.23780000000000001</v>
      </c>
      <c r="W31" s="22"/>
      <c r="X31" s="62">
        <f t="shared" si="0"/>
        <v>2.2000000000000075E-3</v>
      </c>
      <c r="Y31" s="22"/>
      <c r="Z31" s="60">
        <f t="shared" si="1"/>
        <v>0</v>
      </c>
      <c r="AA31" s="20"/>
    </row>
    <row r="32" spans="1:27" s="11" customFormat="1" x14ac:dyDescent="0.3">
      <c r="A32" s="34">
        <v>28</v>
      </c>
      <c r="B32" s="36" t="s">
        <v>45</v>
      </c>
      <c r="C32" s="12" t="s">
        <v>27</v>
      </c>
      <c r="D32" s="11" t="s">
        <v>26</v>
      </c>
      <c r="E32" s="11" t="s">
        <v>26</v>
      </c>
      <c r="I32" s="11" t="s">
        <v>31</v>
      </c>
      <c r="J32" s="11" t="s">
        <v>25</v>
      </c>
      <c r="L32" s="22">
        <v>123.87</v>
      </c>
      <c r="O32" s="26">
        <v>44816</v>
      </c>
      <c r="P32" s="53">
        <v>2.7410000000000001</v>
      </c>
      <c r="Q32" s="25">
        <v>0.2</v>
      </c>
      <c r="R32" s="25"/>
      <c r="S32" s="25"/>
      <c r="T32" s="25"/>
      <c r="U32" s="22">
        <v>0.2414</v>
      </c>
      <c r="V32" s="22">
        <v>0.2422</v>
      </c>
      <c r="W32" s="22"/>
      <c r="X32" s="62">
        <f t="shared" si="0"/>
        <v>7.9999999999999516E-4</v>
      </c>
      <c r="Y32" s="22"/>
      <c r="Z32" s="60">
        <f t="shared" si="1"/>
        <v>0</v>
      </c>
      <c r="AA32" s="20"/>
    </row>
    <row r="33" spans="1:27" s="11" customFormat="1" x14ac:dyDescent="0.3">
      <c r="A33" s="34">
        <v>29</v>
      </c>
      <c r="B33" s="36" t="s">
        <v>46</v>
      </c>
      <c r="C33" s="12" t="s">
        <v>27</v>
      </c>
      <c r="D33" s="11" t="s">
        <v>26</v>
      </c>
      <c r="E33" s="11" t="s">
        <v>26</v>
      </c>
      <c r="I33" s="11" t="s">
        <v>31</v>
      </c>
      <c r="J33" s="11" t="s">
        <v>25</v>
      </c>
      <c r="L33" s="22">
        <v>123.22</v>
      </c>
      <c r="O33" s="26">
        <v>44816</v>
      </c>
      <c r="P33" s="53">
        <v>2.7519999999999998</v>
      </c>
      <c r="Q33" s="25">
        <v>0.2</v>
      </c>
      <c r="R33" s="25"/>
      <c r="S33" s="25"/>
      <c r="T33" s="25"/>
      <c r="U33" s="22">
        <v>0.23619999999999999</v>
      </c>
      <c r="V33" s="22">
        <v>0.23760000000000001</v>
      </c>
      <c r="W33" s="22"/>
      <c r="X33" s="62">
        <f t="shared" si="0"/>
        <v>1.4000000000000123E-3</v>
      </c>
      <c r="Y33" s="22"/>
      <c r="Z33" s="60">
        <f t="shared" si="1"/>
        <v>0</v>
      </c>
      <c r="AA33" s="20"/>
    </row>
    <row r="34" spans="1:27" s="11" customFormat="1" x14ac:dyDescent="0.3">
      <c r="A34" s="34">
        <v>30</v>
      </c>
      <c r="B34" s="36" t="s">
        <v>47</v>
      </c>
      <c r="C34" s="12" t="s">
        <v>27</v>
      </c>
      <c r="D34" s="11" t="s">
        <v>26</v>
      </c>
      <c r="E34" s="11" t="s">
        <v>26</v>
      </c>
      <c r="I34" s="11" t="s">
        <v>31</v>
      </c>
      <c r="J34" s="11" t="s">
        <v>25</v>
      </c>
      <c r="L34" s="22">
        <v>121.72</v>
      </c>
      <c r="O34" s="26">
        <v>44816</v>
      </c>
      <c r="P34" s="53">
        <v>2.7389999999999999</v>
      </c>
      <c r="Q34" s="25">
        <v>0.2</v>
      </c>
      <c r="R34" s="25"/>
      <c r="S34" s="25"/>
      <c r="T34" s="25"/>
      <c r="U34" s="22">
        <v>0.2379</v>
      </c>
      <c r="V34" s="22">
        <v>0.23930000000000001</v>
      </c>
      <c r="W34" s="22"/>
      <c r="X34" s="62">
        <f t="shared" si="0"/>
        <v>1.4000000000000123E-3</v>
      </c>
      <c r="Y34" s="22"/>
      <c r="Z34" s="60">
        <f t="shared" si="1"/>
        <v>0</v>
      </c>
      <c r="AA34" s="20"/>
    </row>
    <row r="35" spans="1:27" s="11" customFormat="1" x14ac:dyDescent="0.3">
      <c r="A35" s="43">
        <v>31</v>
      </c>
      <c r="B35" s="47" t="s">
        <v>48</v>
      </c>
      <c r="C35" s="12" t="s">
        <v>27</v>
      </c>
      <c r="D35" s="11" t="s">
        <v>26</v>
      </c>
      <c r="E35" s="11" t="s">
        <v>26</v>
      </c>
      <c r="I35" s="11" t="s">
        <v>31</v>
      </c>
      <c r="J35" s="11" t="s">
        <v>25</v>
      </c>
      <c r="L35" s="22">
        <v>120.76</v>
      </c>
      <c r="O35" s="26">
        <v>44817</v>
      </c>
      <c r="P35" s="53">
        <v>2.8980000000000001</v>
      </c>
      <c r="Q35" s="25">
        <v>0.2</v>
      </c>
      <c r="R35" s="25"/>
      <c r="S35" s="25"/>
      <c r="T35" s="25"/>
      <c r="U35" s="22">
        <v>0.22750000000000001</v>
      </c>
      <c r="V35" s="22">
        <v>0.23380000000000001</v>
      </c>
      <c r="W35" s="22"/>
      <c r="X35" s="62">
        <f t="shared" si="0"/>
        <v>6.3E-3</v>
      </c>
      <c r="Y35" s="48">
        <v>2.026734097184375E-2</v>
      </c>
      <c r="Z35" s="60">
        <f t="shared" si="1"/>
        <v>0.1678315747916839</v>
      </c>
      <c r="AA35" s="20"/>
    </row>
    <row r="36" spans="1:27" s="11" customFormat="1" x14ac:dyDescent="0.3">
      <c r="A36" s="43">
        <v>32</v>
      </c>
      <c r="B36" s="47" t="s">
        <v>49</v>
      </c>
      <c r="C36" s="12" t="s">
        <v>27</v>
      </c>
      <c r="D36" s="11" t="s">
        <v>26</v>
      </c>
      <c r="E36" s="11" t="s">
        <v>26</v>
      </c>
      <c r="I36" s="11" t="s">
        <v>31</v>
      </c>
      <c r="J36" s="11" t="s">
        <v>25</v>
      </c>
      <c r="L36" s="22">
        <v>119.65</v>
      </c>
      <c r="O36" s="26">
        <v>44817</v>
      </c>
      <c r="P36" s="53">
        <v>2.7160000000000002</v>
      </c>
      <c r="Q36" s="25">
        <v>0.2</v>
      </c>
      <c r="R36" s="25"/>
      <c r="S36" s="25"/>
      <c r="T36" s="25"/>
      <c r="U36" s="22">
        <v>0.2402</v>
      </c>
      <c r="V36" s="22">
        <v>0.2611</v>
      </c>
      <c r="W36" s="22"/>
      <c r="X36" s="62">
        <f t="shared" si="0"/>
        <v>2.0900000000000002E-2</v>
      </c>
      <c r="Y36" s="48">
        <v>4.7764491159562494E-2</v>
      </c>
      <c r="Z36" s="60">
        <f t="shared" si="1"/>
        <v>0.39920176481038439</v>
      </c>
      <c r="AA36" s="20"/>
    </row>
    <row r="37" spans="1:27" s="11" customFormat="1" x14ac:dyDescent="0.3">
      <c r="A37" s="34">
        <v>33</v>
      </c>
      <c r="B37" s="38" t="s">
        <v>50</v>
      </c>
      <c r="C37" s="12" t="s">
        <v>27</v>
      </c>
      <c r="D37" s="11" t="s">
        <v>26</v>
      </c>
      <c r="E37" s="11" t="s">
        <v>26</v>
      </c>
      <c r="I37" s="11" t="s">
        <v>31</v>
      </c>
      <c r="J37" s="11" t="s">
        <v>25</v>
      </c>
      <c r="L37" s="22">
        <v>118.96</v>
      </c>
      <c r="O37" s="26">
        <v>44817</v>
      </c>
      <c r="P37" s="53">
        <v>2.7010000000000001</v>
      </c>
      <c r="Q37" s="25">
        <v>0.2</v>
      </c>
      <c r="R37" s="25"/>
      <c r="S37" s="25"/>
      <c r="T37" s="25"/>
      <c r="U37" s="22">
        <v>0.23899999999999999</v>
      </c>
      <c r="V37" s="22">
        <v>0.24829999999999999</v>
      </c>
      <c r="W37" s="22"/>
      <c r="X37" s="62">
        <f t="shared" si="0"/>
        <v>9.3000000000000027E-3</v>
      </c>
      <c r="Y37" s="22"/>
      <c r="Z37" s="60">
        <f t="shared" si="1"/>
        <v>0</v>
      </c>
      <c r="AA37" s="20"/>
    </row>
    <row r="38" spans="1:27" s="11" customFormat="1" x14ac:dyDescent="0.3">
      <c r="A38" s="45">
        <v>34</v>
      </c>
      <c r="B38" s="46" t="s">
        <v>51</v>
      </c>
      <c r="C38" s="12" t="s">
        <v>27</v>
      </c>
      <c r="D38" s="11" t="s">
        <v>26</v>
      </c>
      <c r="E38" s="11" t="s">
        <v>26</v>
      </c>
      <c r="I38" s="11" t="s">
        <v>31</v>
      </c>
      <c r="J38" s="11" t="s">
        <v>25</v>
      </c>
      <c r="L38" s="22">
        <v>73.569999999999993</v>
      </c>
      <c r="O38" s="26">
        <v>44817</v>
      </c>
      <c r="P38" s="53">
        <v>2.7810000000000001</v>
      </c>
      <c r="Q38" s="25">
        <v>0.2</v>
      </c>
      <c r="R38" s="25"/>
      <c r="S38" s="25"/>
      <c r="T38" s="25"/>
      <c r="U38" s="22">
        <v>0.23480000000000001</v>
      </c>
      <c r="V38" s="22">
        <v>0.24030000000000001</v>
      </c>
      <c r="W38" s="22"/>
      <c r="X38" s="62">
        <f t="shared" si="0"/>
        <v>5.5000000000000049E-3</v>
      </c>
      <c r="Y38" s="22"/>
      <c r="Z38" s="60">
        <f t="shared" si="1"/>
        <v>0</v>
      </c>
      <c r="AA38" s="20"/>
    </row>
    <row r="39" spans="1:27" s="11" customFormat="1" x14ac:dyDescent="0.3">
      <c r="A39" s="34">
        <v>35</v>
      </c>
      <c r="B39" s="38" t="s">
        <v>52</v>
      </c>
      <c r="C39" s="12" t="s">
        <v>27</v>
      </c>
      <c r="D39" s="11" t="s">
        <v>26</v>
      </c>
      <c r="E39" s="11" t="s">
        <v>26</v>
      </c>
      <c r="I39" s="11" t="s">
        <v>31</v>
      </c>
      <c r="J39" s="11" t="s">
        <v>25</v>
      </c>
      <c r="L39" s="22">
        <v>122.7</v>
      </c>
      <c r="O39" s="26">
        <v>44817</v>
      </c>
      <c r="P39" s="53">
        <v>2.831</v>
      </c>
      <c r="Q39" s="25">
        <v>0.2</v>
      </c>
      <c r="R39" s="25"/>
      <c r="S39" s="25"/>
      <c r="T39" s="25"/>
      <c r="U39" s="22">
        <v>0.2379</v>
      </c>
      <c r="V39" s="22">
        <v>0.24440000000000001</v>
      </c>
      <c r="W39" s="22"/>
      <c r="X39" s="62">
        <f t="shared" si="0"/>
        <v>6.5000000000000058E-3</v>
      </c>
      <c r="Y39" s="22"/>
      <c r="Z39" s="60">
        <f t="shared" si="1"/>
        <v>0</v>
      </c>
      <c r="AA39" s="20"/>
    </row>
    <row r="40" spans="1:27" s="11" customFormat="1" x14ac:dyDescent="0.3">
      <c r="A40" s="34">
        <v>36</v>
      </c>
      <c r="B40" s="38" t="s">
        <v>53</v>
      </c>
      <c r="C40" s="12" t="s">
        <v>27</v>
      </c>
      <c r="D40" s="11" t="s">
        <v>26</v>
      </c>
      <c r="E40" s="11" t="s">
        <v>26</v>
      </c>
      <c r="I40" s="11" t="s">
        <v>31</v>
      </c>
      <c r="J40" s="11" t="s">
        <v>25</v>
      </c>
      <c r="L40" s="22">
        <v>121.94</v>
      </c>
      <c r="O40" s="26">
        <v>44817</v>
      </c>
      <c r="P40" s="53">
        <v>2.7629999999999999</v>
      </c>
      <c r="Q40" s="25">
        <v>0.2</v>
      </c>
      <c r="R40" s="25"/>
      <c r="S40" s="25"/>
      <c r="T40" s="25"/>
      <c r="U40" s="22">
        <v>0.24149999999999999</v>
      </c>
      <c r="V40" s="22">
        <v>0.24640000000000001</v>
      </c>
      <c r="W40" s="22"/>
      <c r="X40" s="62">
        <f t="shared" si="0"/>
        <v>4.9000000000000155E-3</v>
      </c>
      <c r="Y40" s="22"/>
      <c r="Z40" s="60">
        <f t="shared" si="1"/>
        <v>0</v>
      </c>
      <c r="AA40" s="20"/>
    </row>
    <row r="41" spans="1:27" s="11" customFormat="1" x14ac:dyDescent="0.3">
      <c r="A41" s="45">
        <v>37</v>
      </c>
      <c r="B41" s="46" t="s">
        <v>54</v>
      </c>
      <c r="C41" s="12" t="s">
        <v>27</v>
      </c>
      <c r="D41" s="11" t="s">
        <v>26</v>
      </c>
      <c r="E41" s="11" t="s">
        <v>26</v>
      </c>
      <c r="I41" s="11" t="s">
        <v>31</v>
      </c>
      <c r="J41" s="11" t="s">
        <v>25</v>
      </c>
      <c r="L41" s="22">
        <v>119.82</v>
      </c>
      <c r="O41" s="26">
        <v>44817</v>
      </c>
      <c r="P41" s="53">
        <v>2.8140000000000001</v>
      </c>
      <c r="Q41" s="25">
        <v>0.2</v>
      </c>
      <c r="R41" s="25"/>
      <c r="S41" s="25"/>
      <c r="T41" s="25"/>
      <c r="U41" s="22">
        <v>0.23580000000000001</v>
      </c>
      <c r="V41" s="22">
        <v>0.24099999999999999</v>
      </c>
      <c r="W41" s="22"/>
      <c r="X41" s="62">
        <f t="shared" si="0"/>
        <v>5.1999999999999824E-3</v>
      </c>
      <c r="Y41" s="22"/>
      <c r="Z41" s="60">
        <f t="shared" si="1"/>
        <v>0</v>
      </c>
      <c r="AA41" s="20"/>
    </row>
    <row r="42" spans="1:27" s="11" customFormat="1" x14ac:dyDescent="0.3">
      <c r="A42" s="34">
        <v>38</v>
      </c>
      <c r="B42" s="38" t="s">
        <v>55</v>
      </c>
      <c r="C42" s="12" t="s">
        <v>27</v>
      </c>
      <c r="D42" s="11" t="s">
        <v>26</v>
      </c>
      <c r="E42" s="11" t="s">
        <v>26</v>
      </c>
      <c r="I42" s="11" t="s">
        <v>31</v>
      </c>
      <c r="J42" s="11" t="s">
        <v>25</v>
      </c>
      <c r="L42" s="22">
        <v>121.55</v>
      </c>
      <c r="O42" s="26">
        <v>44817</v>
      </c>
      <c r="P42" s="53">
        <v>2.7469999999999999</v>
      </c>
      <c r="Q42" s="25">
        <v>0.2</v>
      </c>
      <c r="R42" s="25"/>
      <c r="S42" s="25"/>
      <c r="T42" s="25"/>
      <c r="U42" s="22">
        <v>0.23780000000000001</v>
      </c>
      <c r="V42" s="22">
        <v>0.2472</v>
      </c>
      <c r="W42" s="22"/>
      <c r="X42" s="62">
        <f t="shared" si="0"/>
        <v>9.3999999999999917E-3</v>
      </c>
      <c r="Y42" s="22"/>
      <c r="Z42" s="60">
        <f t="shared" si="1"/>
        <v>0</v>
      </c>
      <c r="AA42" s="20"/>
    </row>
    <row r="43" spans="1:27" s="11" customFormat="1" x14ac:dyDescent="0.3">
      <c r="A43" s="34">
        <v>39</v>
      </c>
      <c r="B43" s="38" t="s">
        <v>56</v>
      </c>
      <c r="C43" s="12" t="s">
        <v>27</v>
      </c>
      <c r="D43" s="11" t="s">
        <v>26</v>
      </c>
      <c r="E43" s="11" t="s">
        <v>26</v>
      </c>
      <c r="I43" s="11" t="s">
        <v>31</v>
      </c>
      <c r="J43" s="11" t="s">
        <v>25</v>
      </c>
      <c r="L43" s="22">
        <v>121.17</v>
      </c>
      <c r="O43" s="26">
        <v>44817</v>
      </c>
      <c r="P43" s="53">
        <v>2.7410000000000001</v>
      </c>
      <c r="Q43" s="25">
        <v>0.2</v>
      </c>
      <c r="R43" s="25"/>
      <c r="S43" s="25"/>
      <c r="T43" s="25"/>
      <c r="U43" s="22">
        <v>0.2399</v>
      </c>
      <c r="V43" s="22">
        <v>0.247</v>
      </c>
      <c r="W43" s="22"/>
      <c r="X43" s="62">
        <f t="shared" si="0"/>
        <v>7.0999999999999952E-3</v>
      </c>
      <c r="Y43" s="22"/>
      <c r="Z43" s="60">
        <f t="shared" si="1"/>
        <v>0</v>
      </c>
      <c r="AA43" s="20"/>
    </row>
    <row r="44" spans="1:27" s="11" customFormat="1" x14ac:dyDescent="0.3">
      <c r="A44" s="34">
        <v>40</v>
      </c>
      <c r="B44" s="38" t="s">
        <v>57</v>
      </c>
      <c r="C44" s="12" t="s">
        <v>27</v>
      </c>
      <c r="D44" s="11" t="s">
        <v>26</v>
      </c>
      <c r="E44" s="11" t="s">
        <v>26</v>
      </c>
      <c r="I44" s="11" t="s">
        <v>31</v>
      </c>
      <c r="J44" s="11" t="s">
        <v>25</v>
      </c>
      <c r="L44" s="22">
        <v>121.7</v>
      </c>
      <c r="O44" s="26">
        <v>44817</v>
      </c>
      <c r="P44" s="53">
        <v>2.7749999999999999</v>
      </c>
      <c r="Q44" s="25">
        <v>0.2</v>
      </c>
      <c r="R44" s="25"/>
      <c r="S44" s="25"/>
      <c r="T44" s="25"/>
      <c r="U44" s="22">
        <v>0.23400000000000001</v>
      </c>
      <c r="V44" s="22">
        <v>0.2369</v>
      </c>
      <c r="W44" s="22"/>
      <c r="X44" s="62">
        <f t="shared" si="0"/>
        <v>2.8999999999999859E-3</v>
      </c>
      <c r="Y44" s="22"/>
      <c r="Z44" s="60">
        <f t="shared" si="1"/>
        <v>0</v>
      </c>
      <c r="AA44" s="20"/>
    </row>
    <row r="45" spans="1:27" s="11" customFormat="1" x14ac:dyDescent="0.3">
      <c r="A45" s="34">
        <v>41</v>
      </c>
      <c r="B45" s="38" t="s">
        <v>58</v>
      </c>
      <c r="C45" s="12" t="s">
        <v>27</v>
      </c>
      <c r="D45" s="11" t="s">
        <v>26</v>
      </c>
      <c r="E45" s="11" t="s">
        <v>26</v>
      </c>
      <c r="I45" s="11" t="s">
        <v>31</v>
      </c>
      <c r="J45" s="11" t="s">
        <v>25</v>
      </c>
      <c r="L45" s="22">
        <v>122.03</v>
      </c>
      <c r="O45" s="26">
        <v>44817</v>
      </c>
      <c r="P45" s="53">
        <v>2.7330000000000001</v>
      </c>
      <c r="Q45" s="25">
        <v>0.2</v>
      </c>
      <c r="R45" s="25"/>
      <c r="S45" s="25"/>
      <c r="T45" s="25"/>
      <c r="U45" s="22">
        <v>0.2407</v>
      </c>
      <c r="V45" s="22">
        <v>0.24390000000000001</v>
      </c>
      <c r="W45" s="22"/>
      <c r="X45" s="62">
        <f t="shared" si="0"/>
        <v>3.2000000000000084E-3</v>
      </c>
      <c r="Y45" s="22"/>
      <c r="Z45" s="60">
        <f t="shared" si="1"/>
        <v>0</v>
      </c>
      <c r="AA45" s="20"/>
    </row>
    <row r="46" spans="1:27" s="11" customFormat="1" x14ac:dyDescent="0.3">
      <c r="A46" s="45">
        <v>42</v>
      </c>
      <c r="B46" s="46" t="s">
        <v>59</v>
      </c>
      <c r="C46" s="12" t="s">
        <v>27</v>
      </c>
      <c r="D46" s="11" t="s">
        <v>26</v>
      </c>
      <c r="E46" s="11" t="s">
        <v>26</v>
      </c>
      <c r="I46" s="11" t="s">
        <v>31</v>
      </c>
      <c r="J46" s="11" t="s">
        <v>25</v>
      </c>
      <c r="L46" s="22">
        <v>118.43</v>
      </c>
      <c r="O46" s="26">
        <v>44817</v>
      </c>
      <c r="P46" s="53">
        <v>2.7559999999999998</v>
      </c>
      <c r="Q46" s="25">
        <v>0.2</v>
      </c>
      <c r="R46" s="25"/>
      <c r="S46" s="25"/>
      <c r="T46" s="25"/>
      <c r="U46" s="22">
        <v>0.2361</v>
      </c>
      <c r="V46" s="22">
        <v>0.2382</v>
      </c>
      <c r="W46" s="22"/>
      <c r="X46" s="62">
        <f t="shared" si="0"/>
        <v>2.0999999999999908E-3</v>
      </c>
      <c r="Y46" s="22"/>
      <c r="Z46" s="60">
        <f t="shared" si="1"/>
        <v>0</v>
      </c>
      <c r="AA46" s="20"/>
    </row>
    <row r="47" spans="1:27" s="11" customFormat="1" x14ac:dyDescent="0.3">
      <c r="A47" s="34">
        <v>43</v>
      </c>
      <c r="B47" s="38" t="s">
        <v>60</v>
      </c>
      <c r="C47" s="12" t="s">
        <v>27</v>
      </c>
      <c r="D47" s="11" t="s">
        <v>26</v>
      </c>
      <c r="E47" s="11" t="s">
        <v>26</v>
      </c>
      <c r="I47" s="11" t="s">
        <v>31</v>
      </c>
      <c r="J47" s="11" t="s">
        <v>25</v>
      </c>
      <c r="L47" s="22">
        <v>121.55</v>
      </c>
      <c r="O47" s="26">
        <v>44817</v>
      </c>
      <c r="P47" s="53">
        <v>2.7850000000000001</v>
      </c>
      <c r="Q47" s="25">
        <v>0.2</v>
      </c>
      <c r="R47" s="25"/>
      <c r="S47" s="25"/>
      <c r="T47" s="25"/>
      <c r="U47" s="22">
        <v>0.2404</v>
      </c>
      <c r="V47" s="22">
        <v>0.2427</v>
      </c>
      <c r="W47" s="22"/>
      <c r="X47" s="62">
        <f t="shared" si="0"/>
        <v>2.2999999999999965E-3</v>
      </c>
      <c r="Y47" s="22"/>
      <c r="Z47" s="60">
        <f t="shared" si="1"/>
        <v>0</v>
      </c>
      <c r="AA47" s="20"/>
    </row>
    <row r="48" spans="1:27" s="11" customFormat="1" x14ac:dyDescent="0.3">
      <c r="A48" s="45">
        <v>44</v>
      </c>
      <c r="B48" s="44" t="s">
        <v>127</v>
      </c>
      <c r="C48" s="12" t="s">
        <v>27</v>
      </c>
      <c r="D48" s="11" t="s">
        <v>26</v>
      </c>
      <c r="E48" s="11" t="s">
        <v>26</v>
      </c>
      <c r="I48" s="11" t="s">
        <v>31</v>
      </c>
      <c r="J48" s="11" t="s">
        <v>25</v>
      </c>
      <c r="L48" s="22">
        <v>123.31</v>
      </c>
      <c r="O48" s="26">
        <v>44858</v>
      </c>
      <c r="P48" s="53">
        <v>2.1829999999999998</v>
      </c>
      <c r="Q48" s="25">
        <v>0.2</v>
      </c>
      <c r="R48" s="25"/>
      <c r="S48" s="25"/>
      <c r="T48" s="25"/>
      <c r="U48" s="22">
        <v>0.2397</v>
      </c>
      <c r="V48" s="22">
        <v>0.24840000000000001</v>
      </c>
      <c r="W48" s="22"/>
      <c r="X48" s="62">
        <f t="shared" si="0"/>
        <v>8.7000000000000133E-3</v>
      </c>
      <c r="Y48" s="22"/>
      <c r="Z48" s="60">
        <f t="shared" si="1"/>
        <v>0</v>
      </c>
      <c r="AA48" s="20"/>
    </row>
    <row r="49" spans="1:27" s="11" customFormat="1" x14ac:dyDescent="0.3">
      <c r="A49" s="45">
        <v>45</v>
      </c>
      <c r="B49" s="44" t="s">
        <v>117</v>
      </c>
      <c r="C49" s="12" t="s">
        <v>27</v>
      </c>
      <c r="D49" s="11" t="s">
        <v>26</v>
      </c>
      <c r="E49" s="11" t="s">
        <v>26</v>
      </c>
      <c r="I49" s="11" t="s">
        <v>31</v>
      </c>
      <c r="J49" s="11" t="s">
        <v>25</v>
      </c>
      <c r="L49" s="22">
        <v>121.6</v>
      </c>
      <c r="O49" s="26">
        <v>44858</v>
      </c>
      <c r="P49" s="53">
        <v>2.1179999999999999</v>
      </c>
      <c r="Q49" s="25">
        <v>0.2</v>
      </c>
      <c r="R49" s="25"/>
      <c r="S49" s="25"/>
      <c r="T49" s="25"/>
      <c r="U49" s="22">
        <v>0.23880000000000001</v>
      </c>
      <c r="V49" s="22">
        <v>0.27379999999999999</v>
      </c>
      <c r="W49" s="22"/>
      <c r="X49" s="62">
        <f t="shared" si="0"/>
        <v>3.4999999999999976E-2</v>
      </c>
      <c r="Y49" s="22"/>
      <c r="Z49" s="60">
        <f t="shared" si="1"/>
        <v>0</v>
      </c>
      <c r="AA49" s="20"/>
    </row>
    <row r="50" spans="1:27" s="11" customFormat="1" x14ac:dyDescent="0.3">
      <c r="A50" s="45">
        <v>46</v>
      </c>
      <c r="B50" s="44" t="s">
        <v>116</v>
      </c>
      <c r="C50" s="12" t="s">
        <v>27</v>
      </c>
      <c r="D50" s="11" t="s">
        <v>26</v>
      </c>
      <c r="E50" s="11" t="s">
        <v>26</v>
      </c>
      <c r="I50" s="11" t="s">
        <v>31</v>
      </c>
      <c r="J50" s="11" t="s">
        <v>25</v>
      </c>
      <c r="L50" s="22">
        <v>120.47</v>
      </c>
      <c r="O50" s="26">
        <v>44858</v>
      </c>
      <c r="P50" s="53">
        <v>2.073</v>
      </c>
      <c r="Q50" s="25">
        <v>0.2</v>
      </c>
      <c r="R50" s="25"/>
      <c r="S50" s="25"/>
      <c r="T50" s="25"/>
      <c r="U50" s="22">
        <v>0.23419999999999999</v>
      </c>
      <c r="V50" s="22">
        <v>0.25829999999999997</v>
      </c>
      <c r="W50" s="22"/>
      <c r="X50" s="62">
        <f t="shared" si="0"/>
        <v>2.4099999999999983E-2</v>
      </c>
      <c r="Y50" s="22"/>
      <c r="Z50" s="60">
        <f t="shared" si="1"/>
        <v>0</v>
      </c>
      <c r="AA50" s="20"/>
    </row>
    <row r="51" spans="1:27" s="11" customFormat="1" x14ac:dyDescent="0.3">
      <c r="A51" s="45">
        <v>47</v>
      </c>
      <c r="B51" s="44" t="s">
        <v>115</v>
      </c>
      <c r="C51" s="12" t="s">
        <v>27</v>
      </c>
      <c r="D51" s="11" t="s">
        <v>26</v>
      </c>
      <c r="E51" s="11" t="s">
        <v>26</v>
      </c>
      <c r="I51" s="11" t="s">
        <v>31</v>
      </c>
      <c r="J51" s="11" t="s">
        <v>25</v>
      </c>
      <c r="L51" s="22">
        <v>122.71</v>
      </c>
      <c r="O51" s="26">
        <v>44858</v>
      </c>
      <c r="P51" s="53">
        <v>2.0289999999999999</v>
      </c>
      <c r="Q51" s="25">
        <v>0.2</v>
      </c>
      <c r="R51" s="25"/>
      <c r="S51" s="25"/>
      <c r="T51" s="25"/>
      <c r="U51" s="22">
        <v>0.2351</v>
      </c>
      <c r="V51" s="22">
        <v>0.24890000000000001</v>
      </c>
      <c r="W51" s="22"/>
      <c r="X51" s="62">
        <f t="shared" si="0"/>
        <v>1.3800000000000007E-2</v>
      </c>
      <c r="Y51" s="22"/>
      <c r="Z51" s="60">
        <f t="shared" si="1"/>
        <v>0</v>
      </c>
      <c r="AA51" s="20"/>
    </row>
    <row r="52" spans="1:27" x14ac:dyDescent="0.3">
      <c r="A52" s="34">
        <v>48</v>
      </c>
      <c r="B52" s="36" t="s">
        <v>113</v>
      </c>
      <c r="C52" s="12" t="s">
        <v>27</v>
      </c>
      <c r="D52" s="11" t="s">
        <v>26</v>
      </c>
      <c r="E52" s="11" t="s">
        <v>26</v>
      </c>
      <c r="F52" s="11"/>
      <c r="G52" s="11"/>
      <c r="H52" s="11"/>
      <c r="I52" s="11" t="s">
        <v>31</v>
      </c>
      <c r="J52" s="11" t="s">
        <v>25</v>
      </c>
      <c r="K52" s="11"/>
      <c r="L52" s="22">
        <v>122.01</v>
      </c>
      <c r="M52" s="11"/>
      <c r="N52" s="11"/>
      <c r="O52" s="26">
        <v>44858</v>
      </c>
      <c r="P52" s="53">
        <v>2.0779999999999998</v>
      </c>
      <c r="Q52" s="25">
        <v>0.2</v>
      </c>
      <c r="R52" s="25"/>
      <c r="S52" s="25"/>
      <c r="T52" s="25"/>
      <c r="U52" s="22">
        <v>0.23569999999999999</v>
      </c>
      <c r="V52" s="22">
        <v>0.24929999999999999</v>
      </c>
      <c r="W52" s="22"/>
      <c r="X52" s="62">
        <f t="shared" si="0"/>
        <v>1.3600000000000001E-2</v>
      </c>
      <c r="Y52" s="22"/>
      <c r="Z52" s="60">
        <f t="shared" si="1"/>
        <v>0</v>
      </c>
    </row>
    <row r="53" spans="1:27" x14ac:dyDescent="0.3">
      <c r="A53" s="45">
        <v>49</v>
      </c>
      <c r="B53" s="44" t="s">
        <v>112</v>
      </c>
      <c r="C53" s="12" t="s">
        <v>27</v>
      </c>
      <c r="D53" s="11" t="s">
        <v>26</v>
      </c>
      <c r="E53" s="11" t="s">
        <v>26</v>
      </c>
      <c r="F53" s="11"/>
      <c r="G53" s="11"/>
      <c r="H53" s="11"/>
      <c r="I53" s="11" t="s">
        <v>31</v>
      </c>
      <c r="J53" s="11" t="s">
        <v>25</v>
      </c>
      <c r="K53" s="11"/>
      <c r="L53" s="22">
        <v>121.54</v>
      </c>
      <c r="M53" s="11"/>
      <c r="N53" s="11"/>
      <c r="O53" s="26">
        <v>44858</v>
      </c>
      <c r="P53" s="53">
        <v>2.1640000000000001</v>
      </c>
      <c r="Q53" s="25">
        <v>0.2</v>
      </c>
      <c r="R53" s="25"/>
      <c r="S53" s="25"/>
      <c r="T53" s="25"/>
      <c r="U53" s="22">
        <v>0.2407</v>
      </c>
      <c r="V53" s="22">
        <v>0.25040000000000001</v>
      </c>
      <c r="W53" s="22"/>
      <c r="X53" s="62">
        <f t="shared" si="0"/>
        <v>9.7000000000000142E-3</v>
      </c>
      <c r="Y53" s="22"/>
      <c r="Z53" s="60">
        <f t="shared" si="1"/>
        <v>0</v>
      </c>
    </row>
    <row r="54" spans="1:27" x14ac:dyDescent="0.3">
      <c r="A54" s="34">
        <v>50</v>
      </c>
      <c r="B54" s="36" t="s">
        <v>111</v>
      </c>
      <c r="C54" s="12" t="s">
        <v>27</v>
      </c>
      <c r="D54" s="11" t="s">
        <v>26</v>
      </c>
      <c r="E54" s="11" t="s">
        <v>26</v>
      </c>
      <c r="F54" s="11"/>
      <c r="G54" s="11"/>
      <c r="H54" s="11"/>
      <c r="I54" s="11" t="s">
        <v>31</v>
      </c>
      <c r="J54" s="11" t="s">
        <v>25</v>
      </c>
      <c r="K54" s="11"/>
      <c r="L54" s="22">
        <v>121.75</v>
      </c>
      <c r="M54" s="11"/>
      <c r="N54" s="11"/>
      <c r="O54" s="26">
        <v>44858</v>
      </c>
      <c r="P54" s="53">
        <v>2.1720000000000002</v>
      </c>
      <c r="Q54" s="25">
        <v>0.2</v>
      </c>
      <c r="R54" s="25"/>
      <c r="S54" s="25"/>
      <c r="T54" s="25"/>
      <c r="U54" s="22">
        <v>0.23380000000000001</v>
      </c>
      <c r="V54" s="22">
        <v>0.24360000000000001</v>
      </c>
      <c r="W54" s="22"/>
      <c r="X54" s="62">
        <f t="shared" si="0"/>
        <v>9.8000000000000032E-3</v>
      </c>
      <c r="Y54" s="22"/>
      <c r="Z54" s="60">
        <f t="shared" si="1"/>
        <v>0</v>
      </c>
    </row>
    <row r="55" spans="1:27" x14ac:dyDescent="0.3">
      <c r="A55" s="34">
        <v>51</v>
      </c>
      <c r="B55" s="36" t="s">
        <v>114</v>
      </c>
      <c r="C55" s="12" t="s">
        <v>27</v>
      </c>
      <c r="D55" s="11" t="s">
        <v>26</v>
      </c>
      <c r="E55" s="11" t="s">
        <v>26</v>
      </c>
      <c r="F55" s="11"/>
      <c r="G55" s="11"/>
      <c r="H55" s="11"/>
      <c r="I55" s="11" t="s">
        <v>31</v>
      </c>
      <c r="J55" s="11" t="s">
        <v>25</v>
      </c>
      <c r="K55" s="11"/>
      <c r="L55" s="22">
        <v>120.91</v>
      </c>
      <c r="M55" s="11"/>
      <c r="N55" s="11"/>
      <c r="O55" s="26">
        <v>44858</v>
      </c>
      <c r="P55" s="53">
        <v>2.3029999999999999</v>
      </c>
      <c r="Q55" s="25">
        <v>0.2</v>
      </c>
      <c r="R55" s="25"/>
      <c r="S55" s="25"/>
      <c r="T55" s="25"/>
      <c r="U55" s="22">
        <v>0.23699999999999999</v>
      </c>
      <c r="V55" s="22">
        <v>0.24540000000000001</v>
      </c>
      <c r="W55" s="22"/>
      <c r="X55" s="62">
        <f t="shared" si="0"/>
        <v>8.4000000000000186E-3</v>
      </c>
      <c r="Y55" s="22"/>
      <c r="Z55" s="60">
        <f t="shared" si="1"/>
        <v>0</v>
      </c>
    </row>
    <row r="56" spans="1:27" x14ac:dyDescent="0.3">
      <c r="A56" s="34">
        <v>52</v>
      </c>
      <c r="B56" s="36" t="s">
        <v>110</v>
      </c>
      <c r="C56" s="12" t="s">
        <v>27</v>
      </c>
      <c r="D56" s="11" t="s">
        <v>26</v>
      </c>
      <c r="E56" s="11" t="s">
        <v>26</v>
      </c>
      <c r="F56" s="11"/>
      <c r="G56" s="11"/>
      <c r="H56" s="11"/>
      <c r="I56" s="11" t="s">
        <v>31</v>
      </c>
      <c r="J56" s="11" t="s">
        <v>25</v>
      </c>
      <c r="K56" s="11"/>
      <c r="L56" s="22">
        <v>122.16</v>
      </c>
      <c r="M56" s="11"/>
      <c r="N56" s="11"/>
      <c r="O56" s="26">
        <v>44858</v>
      </c>
      <c r="P56" s="53">
        <v>2.2890000000000001</v>
      </c>
      <c r="Q56" s="25">
        <v>0.2</v>
      </c>
      <c r="R56" s="25"/>
      <c r="S56" s="25"/>
      <c r="T56" s="25"/>
      <c r="U56" s="22">
        <v>0.24179999999999999</v>
      </c>
      <c r="V56" s="22">
        <v>0.24840000000000001</v>
      </c>
      <c r="W56" s="22"/>
      <c r="X56" s="62">
        <f t="shared" si="0"/>
        <v>6.6000000000000225E-3</v>
      </c>
      <c r="Y56" s="22"/>
      <c r="Z56" s="60">
        <f t="shared" si="1"/>
        <v>0</v>
      </c>
    </row>
    <row r="57" spans="1:27" x14ac:dyDescent="0.3">
      <c r="A57" s="45">
        <v>53</v>
      </c>
      <c r="B57" s="44" t="s">
        <v>109</v>
      </c>
      <c r="C57" s="12" t="s">
        <v>27</v>
      </c>
      <c r="D57" s="11" t="s">
        <v>26</v>
      </c>
      <c r="E57" s="11" t="s">
        <v>26</v>
      </c>
      <c r="F57" s="11"/>
      <c r="G57" s="11"/>
      <c r="H57" s="11"/>
      <c r="I57" s="11" t="s">
        <v>31</v>
      </c>
      <c r="J57" s="11" t="s">
        <v>25</v>
      </c>
      <c r="K57" s="11"/>
      <c r="L57" s="22">
        <v>122.43</v>
      </c>
      <c r="M57" s="11"/>
      <c r="N57" s="11"/>
      <c r="O57" s="26">
        <v>44858</v>
      </c>
      <c r="P57" s="53">
        <v>2.1890000000000001</v>
      </c>
      <c r="Q57" s="25">
        <v>0.2</v>
      </c>
      <c r="R57" s="25"/>
      <c r="S57" s="25"/>
      <c r="T57" s="25"/>
      <c r="U57" s="22">
        <v>0.2361</v>
      </c>
      <c r="V57" s="22">
        <v>0.24149999999999999</v>
      </c>
      <c r="W57" s="22"/>
      <c r="X57" s="62">
        <f t="shared" si="0"/>
        <v>5.3999999999999881E-3</v>
      </c>
      <c r="Y57" s="22"/>
      <c r="Z57" s="60">
        <f t="shared" si="1"/>
        <v>0</v>
      </c>
    </row>
    <row r="58" spans="1:27" x14ac:dyDescent="0.3">
      <c r="A58" s="34">
        <v>54</v>
      </c>
      <c r="B58" s="36" t="s">
        <v>108</v>
      </c>
      <c r="C58" s="12" t="s">
        <v>27</v>
      </c>
      <c r="D58" s="11" t="s">
        <v>26</v>
      </c>
      <c r="E58" s="11" t="s">
        <v>26</v>
      </c>
      <c r="F58" s="11"/>
      <c r="G58" s="11"/>
      <c r="H58" s="11"/>
      <c r="I58" s="11" t="s">
        <v>31</v>
      </c>
      <c r="J58" s="11" t="s">
        <v>25</v>
      </c>
      <c r="K58" s="11"/>
      <c r="L58" s="22">
        <v>122.27</v>
      </c>
      <c r="M58" s="11"/>
      <c r="N58" s="11"/>
      <c r="O58" s="26">
        <v>44858</v>
      </c>
      <c r="P58" s="53">
        <v>2.2829999999999999</v>
      </c>
      <c r="Q58" s="25">
        <v>0.2</v>
      </c>
      <c r="R58" s="25"/>
      <c r="S58" s="25"/>
      <c r="T58" s="25"/>
      <c r="U58" s="22">
        <v>0.2419</v>
      </c>
      <c r="V58" s="22">
        <v>0.246</v>
      </c>
      <c r="W58" s="22"/>
      <c r="X58" s="62">
        <f t="shared" si="0"/>
        <v>4.0999999999999925E-3</v>
      </c>
      <c r="Y58" s="22"/>
      <c r="Z58" s="60">
        <f t="shared" si="1"/>
        <v>0</v>
      </c>
    </row>
    <row r="59" spans="1:27" x14ac:dyDescent="0.3">
      <c r="A59" s="34">
        <v>55</v>
      </c>
      <c r="B59" s="36" t="s">
        <v>107</v>
      </c>
      <c r="C59" s="12" t="s">
        <v>27</v>
      </c>
      <c r="D59" s="11" t="s">
        <v>26</v>
      </c>
      <c r="E59" s="11" t="s">
        <v>26</v>
      </c>
      <c r="F59" s="11"/>
      <c r="G59" s="11"/>
      <c r="H59" s="11"/>
      <c r="I59" s="11" t="s">
        <v>31</v>
      </c>
      <c r="J59" s="11" t="s">
        <v>25</v>
      </c>
      <c r="K59" s="11"/>
      <c r="L59" s="22">
        <v>120.98</v>
      </c>
      <c r="M59" s="11"/>
      <c r="N59" s="11"/>
      <c r="O59" s="26">
        <v>44858</v>
      </c>
      <c r="P59" s="53">
        <v>2.202</v>
      </c>
      <c r="Q59" s="25">
        <v>0.2</v>
      </c>
      <c r="R59" s="25"/>
      <c r="S59" s="25"/>
      <c r="T59" s="25"/>
      <c r="U59" s="22">
        <v>0.2399</v>
      </c>
      <c r="V59" s="22">
        <v>0.2427</v>
      </c>
      <c r="W59" s="22"/>
      <c r="X59" s="62">
        <f t="shared" si="0"/>
        <v>2.7999999999999969E-3</v>
      </c>
      <c r="Y59" s="22"/>
      <c r="Z59" s="60">
        <f t="shared" si="1"/>
        <v>0</v>
      </c>
    </row>
    <row r="60" spans="1:27" x14ac:dyDescent="0.3">
      <c r="A60" s="45">
        <v>56</v>
      </c>
      <c r="B60" s="46" t="s">
        <v>61</v>
      </c>
      <c r="C60" s="12" t="s">
        <v>27</v>
      </c>
      <c r="D60" s="11" t="s">
        <v>26</v>
      </c>
      <c r="E60" s="11" t="s">
        <v>26</v>
      </c>
      <c r="F60" s="11"/>
      <c r="G60" s="11"/>
      <c r="H60" s="11"/>
      <c r="I60" s="11" t="s">
        <v>31</v>
      </c>
      <c r="J60" s="11" t="s">
        <v>25</v>
      </c>
      <c r="K60" s="11"/>
      <c r="L60" s="22">
        <v>111.04</v>
      </c>
      <c r="M60" s="11"/>
      <c r="N60" s="11"/>
      <c r="O60" s="26">
        <v>44817</v>
      </c>
      <c r="P60" s="53">
        <v>2.6309999999999998</v>
      </c>
      <c r="Q60" s="25">
        <v>0.2</v>
      </c>
      <c r="R60" s="25"/>
      <c r="S60" s="25"/>
      <c r="T60" s="25"/>
      <c r="U60" s="22">
        <v>0.2359</v>
      </c>
      <c r="V60" s="22">
        <v>0.24279999999999999</v>
      </c>
      <c r="W60" s="22"/>
      <c r="X60" s="62">
        <f t="shared" si="0"/>
        <v>6.8999999999999895E-3</v>
      </c>
      <c r="Y60" s="22"/>
      <c r="Z60" s="60">
        <f t="shared" si="1"/>
        <v>0</v>
      </c>
    </row>
    <row r="61" spans="1:27" x14ac:dyDescent="0.3">
      <c r="A61" s="45">
        <v>57</v>
      </c>
      <c r="B61" s="46" t="s">
        <v>62</v>
      </c>
      <c r="C61" s="12" t="s">
        <v>27</v>
      </c>
      <c r="D61" s="11" t="s">
        <v>26</v>
      </c>
      <c r="E61" s="11" t="s">
        <v>26</v>
      </c>
      <c r="F61" s="11"/>
      <c r="G61" s="11"/>
      <c r="H61" s="11"/>
      <c r="I61" s="11" t="s">
        <v>31</v>
      </c>
      <c r="J61" s="11" t="s">
        <v>25</v>
      </c>
      <c r="K61" s="11"/>
      <c r="L61" s="22">
        <v>122.87</v>
      </c>
      <c r="M61" s="11"/>
      <c r="N61" s="11"/>
      <c r="O61" s="26">
        <v>44817</v>
      </c>
      <c r="P61" s="53">
        <v>2.581</v>
      </c>
      <c r="Q61" s="25">
        <v>0.2</v>
      </c>
      <c r="R61" s="25"/>
      <c r="S61" s="25"/>
      <c r="T61" s="25"/>
      <c r="U61" s="22">
        <v>0.23130000000000001</v>
      </c>
      <c r="V61" s="22">
        <v>0.26119999999999999</v>
      </c>
      <c r="W61" s="22"/>
      <c r="X61" s="62">
        <f t="shared" si="0"/>
        <v>2.9899999999999982E-2</v>
      </c>
      <c r="Y61" s="22"/>
      <c r="Z61" s="60">
        <f t="shared" si="1"/>
        <v>0</v>
      </c>
    </row>
    <row r="62" spans="1:27" x14ac:dyDescent="0.3">
      <c r="A62" s="34">
        <v>58</v>
      </c>
      <c r="B62" s="38" t="s">
        <v>63</v>
      </c>
      <c r="C62" s="12" t="s">
        <v>27</v>
      </c>
      <c r="D62" s="11" t="s">
        <v>26</v>
      </c>
      <c r="E62" s="11" t="s">
        <v>26</v>
      </c>
      <c r="F62" s="11"/>
      <c r="G62" s="11"/>
      <c r="H62" s="11"/>
      <c r="I62" s="11" t="s">
        <v>31</v>
      </c>
      <c r="J62" s="11" t="s">
        <v>25</v>
      </c>
      <c r="K62" s="11"/>
      <c r="L62" s="22">
        <v>122.65</v>
      </c>
      <c r="M62" s="11"/>
      <c r="N62" s="11"/>
      <c r="O62" s="26">
        <v>44817</v>
      </c>
      <c r="P62" s="53">
        <v>2.5630000000000002</v>
      </c>
      <c r="Q62" s="25">
        <v>0.2</v>
      </c>
      <c r="R62" s="25"/>
      <c r="S62" s="25"/>
      <c r="T62" s="25"/>
      <c r="U62" s="22">
        <v>0.24079999999999999</v>
      </c>
      <c r="V62" s="22">
        <v>0.25729999999999997</v>
      </c>
      <c r="W62" s="22"/>
      <c r="X62" s="62">
        <f t="shared" si="0"/>
        <v>1.6499999999999987E-2</v>
      </c>
      <c r="Y62" s="22"/>
      <c r="Z62" s="60">
        <f t="shared" si="1"/>
        <v>0</v>
      </c>
    </row>
    <row r="63" spans="1:27" x14ac:dyDescent="0.3">
      <c r="A63" s="45">
        <v>59</v>
      </c>
      <c r="B63" s="46" t="s">
        <v>64</v>
      </c>
      <c r="C63" s="12" t="s">
        <v>27</v>
      </c>
      <c r="D63" s="11" t="s">
        <v>26</v>
      </c>
      <c r="E63" s="11" t="s">
        <v>26</v>
      </c>
      <c r="F63" s="11"/>
      <c r="G63" s="11"/>
      <c r="H63" s="11"/>
      <c r="I63" s="11" t="s">
        <v>31</v>
      </c>
      <c r="J63" s="11" t="s">
        <v>25</v>
      </c>
      <c r="K63" s="11"/>
      <c r="L63" s="22">
        <v>121.12</v>
      </c>
      <c r="M63" s="11"/>
      <c r="N63" s="11"/>
      <c r="O63" s="26">
        <v>44817</v>
      </c>
      <c r="P63" s="53">
        <v>2.6619999999999999</v>
      </c>
      <c r="Q63" s="25">
        <v>0.2</v>
      </c>
      <c r="R63" s="25"/>
      <c r="S63" s="25"/>
      <c r="T63" s="25"/>
      <c r="U63" s="22">
        <v>0.24149999999999999</v>
      </c>
      <c r="V63" s="22">
        <v>0.25790000000000002</v>
      </c>
      <c r="W63" s="22"/>
      <c r="X63" s="62">
        <f t="shared" si="0"/>
        <v>1.6400000000000026E-2</v>
      </c>
      <c r="Y63" s="22"/>
      <c r="Z63" s="60">
        <f t="shared" si="1"/>
        <v>0</v>
      </c>
    </row>
    <row r="64" spans="1:27" x14ac:dyDescent="0.3">
      <c r="A64" s="34">
        <v>60</v>
      </c>
      <c r="B64" s="38" t="s">
        <v>65</v>
      </c>
      <c r="C64" s="12" t="s">
        <v>27</v>
      </c>
      <c r="D64" s="11" t="s">
        <v>26</v>
      </c>
      <c r="E64" s="11" t="s">
        <v>26</v>
      </c>
      <c r="F64" s="11"/>
      <c r="G64" s="11"/>
      <c r="H64" s="11"/>
      <c r="I64" s="11" t="s">
        <v>31</v>
      </c>
      <c r="J64" s="11" t="s">
        <v>25</v>
      </c>
      <c r="K64" s="11"/>
      <c r="L64" s="22">
        <v>122.12</v>
      </c>
      <c r="M64" s="11"/>
      <c r="N64" s="11"/>
      <c r="O64" s="26">
        <v>44817</v>
      </c>
      <c r="P64" s="53">
        <v>2.6960000000000002</v>
      </c>
      <c r="Q64" s="25">
        <v>0.2</v>
      </c>
      <c r="R64" s="25"/>
      <c r="S64" s="25"/>
      <c r="T64" s="25"/>
      <c r="U64" s="22">
        <v>0.23799999999999999</v>
      </c>
      <c r="V64" s="22">
        <v>0.25019999999999998</v>
      </c>
      <c r="W64" s="22"/>
      <c r="X64" s="62">
        <f t="shared" si="0"/>
        <v>1.2199999999999989E-2</v>
      </c>
      <c r="Y64" s="22"/>
      <c r="Z64" s="60">
        <f t="shared" si="1"/>
        <v>0</v>
      </c>
    </row>
    <row r="65" spans="1:26" x14ac:dyDescent="0.3">
      <c r="A65" s="45">
        <v>61</v>
      </c>
      <c r="B65" s="46" t="s">
        <v>66</v>
      </c>
      <c r="C65" s="12" t="s">
        <v>27</v>
      </c>
      <c r="D65" s="11" t="s">
        <v>26</v>
      </c>
      <c r="E65" s="11" t="s">
        <v>26</v>
      </c>
      <c r="F65" s="11"/>
      <c r="G65" s="11"/>
      <c r="H65" s="11"/>
      <c r="I65" s="11" t="s">
        <v>31</v>
      </c>
      <c r="J65" s="11" t="s">
        <v>25</v>
      </c>
      <c r="K65" s="11"/>
      <c r="L65" s="22">
        <v>122.71</v>
      </c>
      <c r="M65" s="11"/>
      <c r="N65" s="11"/>
      <c r="O65" s="26">
        <v>44817</v>
      </c>
      <c r="P65" s="53">
        <v>2.6989999999999998</v>
      </c>
      <c r="Q65" s="25">
        <v>0.2</v>
      </c>
      <c r="R65" s="25"/>
      <c r="S65" s="25"/>
      <c r="T65" s="25"/>
      <c r="U65" s="22">
        <v>0.2384</v>
      </c>
      <c r="V65" s="22">
        <v>0.2505</v>
      </c>
      <c r="W65" s="22"/>
      <c r="X65" s="62">
        <f t="shared" si="0"/>
        <v>1.21E-2</v>
      </c>
      <c r="Y65" s="22"/>
      <c r="Z65" s="60">
        <f t="shared" si="1"/>
        <v>0</v>
      </c>
    </row>
    <row r="66" spans="1:26" x14ac:dyDescent="0.3">
      <c r="A66" s="34">
        <v>62</v>
      </c>
      <c r="B66" s="38" t="s">
        <v>67</v>
      </c>
      <c r="C66" s="12" t="s">
        <v>27</v>
      </c>
      <c r="D66" s="11" t="s">
        <v>26</v>
      </c>
      <c r="E66" s="11" t="s">
        <v>26</v>
      </c>
      <c r="F66" s="11"/>
      <c r="G66" s="11"/>
      <c r="H66" s="11"/>
      <c r="I66" s="11" t="s">
        <v>31</v>
      </c>
      <c r="J66" s="11" t="s">
        <v>25</v>
      </c>
      <c r="K66" s="11"/>
      <c r="L66" s="22">
        <v>122.42</v>
      </c>
      <c r="M66" s="11"/>
      <c r="N66" s="11"/>
      <c r="O66" s="26">
        <v>44817</v>
      </c>
      <c r="P66" s="53">
        <v>2.742</v>
      </c>
      <c r="Q66" s="25">
        <v>0.2</v>
      </c>
      <c r="R66" s="25"/>
      <c r="S66" s="25"/>
      <c r="T66" s="25"/>
      <c r="U66" s="22">
        <v>0.2412</v>
      </c>
      <c r="V66" s="22">
        <v>0.25269999999999998</v>
      </c>
      <c r="W66" s="22"/>
      <c r="X66" s="62">
        <f t="shared" si="0"/>
        <v>1.1499999999999982E-2</v>
      </c>
      <c r="Y66" s="22"/>
      <c r="Z66" s="60">
        <f t="shared" si="1"/>
        <v>0</v>
      </c>
    </row>
    <row r="67" spans="1:26" x14ac:dyDescent="0.3">
      <c r="A67" s="34">
        <v>63</v>
      </c>
      <c r="B67" s="38" t="s">
        <v>68</v>
      </c>
      <c r="C67" s="12" t="s">
        <v>27</v>
      </c>
      <c r="D67" s="11" t="s">
        <v>26</v>
      </c>
      <c r="E67" s="11" t="s">
        <v>26</v>
      </c>
      <c r="F67" s="11"/>
      <c r="G67" s="11"/>
      <c r="H67" s="11"/>
      <c r="I67" s="11" t="s">
        <v>31</v>
      </c>
      <c r="J67" s="11" t="s">
        <v>25</v>
      </c>
      <c r="K67" s="11"/>
      <c r="L67" s="22">
        <v>122.74</v>
      </c>
      <c r="M67" s="11"/>
      <c r="N67" s="11"/>
      <c r="O67" s="26">
        <v>44817</v>
      </c>
      <c r="P67" s="53">
        <v>2.7610000000000001</v>
      </c>
      <c r="Q67" s="25">
        <v>0.2</v>
      </c>
      <c r="R67" s="25"/>
      <c r="S67" s="25"/>
      <c r="T67" s="25"/>
      <c r="U67" s="22">
        <v>0.23880000000000001</v>
      </c>
      <c r="V67" s="22">
        <v>0.2457</v>
      </c>
      <c r="W67" s="22"/>
      <c r="X67" s="62">
        <f t="shared" si="0"/>
        <v>6.8999999999999895E-3</v>
      </c>
      <c r="Y67" s="22"/>
      <c r="Z67" s="60">
        <f t="shared" si="1"/>
        <v>0</v>
      </c>
    </row>
    <row r="68" spans="1:26" x14ac:dyDescent="0.3">
      <c r="A68" s="34">
        <v>64</v>
      </c>
      <c r="B68" s="38" t="s">
        <v>69</v>
      </c>
      <c r="C68" s="12" t="s">
        <v>27</v>
      </c>
      <c r="D68" s="11" t="s">
        <v>26</v>
      </c>
      <c r="E68" s="11" t="s">
        <v>26</v>
      </c>
      <c r="F68" s="11"/>
      <c r="G68" s="11"/>
      <c r="H68" s="11"/>
      <c r="I68" s="11" t="s">
        <v>31</v>
      </c>
      <c r="J68" s="11" t="s">
        <v>25</v>
      </c>
      <c r="K68" s="11"/>
      <c r="L68" s="22">
        <v>121.45</v>
      </c>
      <c r="M68" s="11"/>
      <c r="N68" s="11"/>
      <c r="O68" s="26">
        <v>44817</v>
      </c>
      <c r="P68" s="53">
        <v>2.8210000000000002</v>
      </c>
      <c r="Q68" s="25">
        <v>0.2</v>
      </c>
      <c r="R68" s="25"/>
      <c r="S68" s="25"/>
      <c r="T68" s="25"/>
      <c r="U68" s="22">
        <v>0.2336</v>
      </c>
      <c r="V68" s="22">
        <v>0.24049999999999999</v>
      </c>
      <c r="W68" s="22"/>
      <c r="X68" s="62">
        <f t="shared" si="0"/>
        <v>6.8999999999999895E-3</v>
      </c>
      <c r="Y68" s="22"/>
      <c r="Z68" s="60">
        <f t="shared" si="1"/>
        <v>0</v>
      </c>
    </row>
    <row r="69" spans="1:26" x14ac:dyDescent="0.3">
      <c r="A69" s="45">
        <v>65</v>
      </c>
      <c r="B69" s="46" t="s">
        <v>70</v>
      </c>
      <c r="C69" s="12" t="s">
        <v>27</v>
      </c>
      <c r="D69" s="11" t="s">
        <v>26</v>
      </c>
      <c r="E69" s="11" t="s">
        <v>26</v>
      </c>
      <c r="F69" s="11"/>
      <c r="G69" s="11"/>
      <c r="H69" s="11"/>
      <c r="I69" s="11" t="s">
        <v>31</v>
      </c>
      <c r="J69" s="11" t="s">
        <v>25</v>
      </c>
      <c r="K69" s="11"/>
      <c r="L69" s="22">
        <v>121.58</v>
      </c>
      <c r="M69" s="11"/>
      <c r="N69" s="11"/>
      <c r="O69" s="26">
        <v>44817</v>
      </c>
      <c r="P69" s="53">
        <v>2.7829999999999999</v>
      </c>
      <c r="Q69" s="25">
        <v>0.2</v>
      </c>
      <c r="R69" s="25"/>
      <c r="S69" s="25"/>
      <c r="T69" s="25"/>
      <c r="U69" s="22">
        <v>0.2417</v>
      </c>
      <c r="V69" s="22">
        <v>0.24759999999999999</v>
      </c>
      <c r="W69" s="22"/>
      <c r="X69" s="62">
        <f t="shared" si="0"/>
        <v>5.8999999999999886E-3</v>
      </c>
      <c r="Y69" s="22"/>
      <c r="Z69" s="60">
        <f t="shared" si="1"/>
        <v>0</v>
      </c>
    </row>
    <row r="70" spans="1:26" x14ac:dyDescent="0.3">
      <c r="A70" s="34">
        <v>66</v>
      </c>
      <c r="B70" s="38" t="s">
        <v>71</v>
      </c>
      <c r="C70" s="12" t="s">
        <v>27</v>
      </c>
      <c r="D70" s="11" t="s">
        <v>26</v>
      </c>
      <c r="E70" s="11" t="s">
        <v>26</v>
      </c>
      <c r="F70" s="11"/>
      <c r="G70" s="11"/>
      <c r="H70" s="11"/>
      <c r="I70" s="11" t="s">
        <v>31</v>
      </c>
      <c r="J70" s="11" t="s">
        <v>25</v>
      </c>
      <c r="K70" s="11"/>
      <c r="L70" s="22">
        <v>122.57</v>
      </c>
      <c r="M70" s="11"/>
      <c r="N70" s="11"/>
      <c r="O70" s="26">
        <v>44817</v>
      </c>
      <c r="P70" s="53">
        <v>2.7559999999999998</v>
      </c>
      <c r="Q70" s="25">
        <v>0.2</v>
      </c>
      <c r="R70" s="25"/>
      <c r="S70" s="25"/>
      <c r="T70" s="25"/>
      <c r="U70" s="22">
        <v>0.22969999999999999</v>
      </c>
      <c r="V70" s="22">
        <v>0.23480000000000001</v>
      </c>
      <c r="W70" s="22"/>
      <c r="X70" s="62">
        <f t="shared" ref="X70:X133" si="2">V70-U70</f>
        <v>5.1000000000000212E-3</v>
      </c>
      <c r="Y70" s="22"/>
      <c r="Z70" s="60">
        <f t="shared" ref="Z70:Z133" si="3">Y70/(L70/1000)</f>
        <v>0</v>
      </c>
    </row>
    <row r="71" spans="1:26" x14ac:dyDescent="0.3">
      <c r="A71" s="34">
        <v>67</v>
      </c>
      <c r="B71" s="38" t="s">
        <v>72</v>
      </c>
      <c r="C71" s="12" t="s">
        <v>27</v>
      </c>
      <c r="D71" s="11" t="s">
        <v>26</v>
      </c>
      <c r="E71" s="11" t="s">
        <v>26</v>
      </c>
      <c r="F71" s="11"/>
      <c r="G71" s="11"/>
      <c r="H71" s="11"/>
      <c r="I71" s="11" t="s">
        <v>31</v>
      </c>
      <c r="J71" s="11" t="s">
        <v>25</v>
      </c>
      <c r="K71" s="11"/>
      <c r="L71" s="22">
        <v>122.09</v>
      </c>
      <c r="M71" s="11"/>
      <c r="N71" s="11"/>
      <c r="O71" s="26">
        <v>44817</v>
      </c>
      <c r="P71" s="53">
        <v>2.883</v>
      </c>
      <c r="Q71" s="25">
        <v>0.2</v>
      </c>
      <c r="R71" s="25"/>
      <c r="S71" s="25"/>
      <c r="T71" s="25"/>
      <c r="U71" s="22">
        <v>0.24099999999999999</v>
      </c>
      <c r="V71" s="22">
        <v>0.24429999999999999</v>
      </c>
      <c r="W71" s="22"/>
      <c r="X71" s="62">
        <f t="shared" si="2"/>
        <v>3.2999999999999974E-3</v>
      </c>
      <c r="Y71" s="22"/>
      <c r="Z71" s="60">
        <f t="shared" si="3"/>
        <v>0</v>
      </c>
    </row>
    <row r="72" spans="1:26" x14ac:dyDescent="0.3">
      <c r="A72" s="34">
        <v>68</v>
      </c>
      <c r="B72" s="38" t="s">
        <v>73</v>
      </c>
      <c r="C72" s="12" t="s">
        <v>27</v>
      </c>
      <c r="D72" s="11" t="s">
        <v>26</v>
      </c>
      <c r="E72" s="11" t="s">
        <v>26</v>
      </c>
      <c r="F72" s="11"/>
      <c r="G72" s="11"/>
      <c r="H72" s="11"/>
      <c r="I72" s="11" t="s">
        <v>31</v>
      </c>
      <c r="J72" s="11" t="s">
        <v>25</v>
      </c>
      <c r="K72" s="11"/>
      <c r="L72" s="22">
        <v>122.07</v>
      </c>
      <c r="M72" s="11"/>
      <c r="N72" s="11"/>
      <c r="O72" s="26">
        <v>44820</v>
      </c>
      <c r="P72" s="53">
        <v>2.84</v>
      </c>
      <c r="Q72" s="25">
        <v>0.2</v>
      </c>
      <c r="R72" s="25"/>
      <c r="S72" s="25"/>
      <c r="T72" s="25"/>
      <c r="U72" s="22">
        <v>0.2326</v>
      </c>
      <c r="V72" s="22">
        <v>0.23530000000000001</v>
      </c>
      <c r="W72" s="22"/>
      <c r="X72" s="62">
        <f t="shared" si="2"/>
        <v>2.7000000000000079E-3</v>
      </c>
      <c r="Y72" s="22"/>
      <c r="Z72" s="60">
        <f t="shared" si="3"/>
        <v>0</v>
      </c>
    </row>
    <row r="73" spans="1:26" x14ac:dyDescent="0.3">
      <c r="A73" s="45">
        <v>69</v>
      </c>
      <c r="B73" s="44" t="s">
        <v>166</v>
      </c>
      <c r="C73" s="12" t="s">
        <v>27</v>
      </c>
      <c r="D73" s="11" t="s">
        <v>26</v>
      </c>
      <c r="E73" s="11" t="s">
        <v>26</v>
      </c>
      <c r="F73" s="11"/>
      <c r="G73" s="11"/>
      <c r="H73" s="11"/>
      <c r="I73" s="11" t="s">
        <v>31</v>
      </c>
      <c r="J73" s="11" t="s">
        <v>25</v>
      </c>
      <c r="K73" s="11"/>
      <c r="L73" s="22">
        <v>121.95</v>
      </c>
      <c r="M73" s="11"/>
      <c r="N73" s="11"/>
      <c r="O73" s="26">
        <v>44858</v>
      </c>
      <c r="P73" s="53">
        <v>2.9359999999999999</v>
      </c>
      <c r="Q73" s="25">
        <v>0.2</v>
      </c>
      <c r="R73" s="25"/>
      <c r="S73" s="25"/>
      <c r="T73" s="25"/>
      <c r="U73" s="22">
        <v>0.2394</v>
      </c>
      <c r="V73" s="22">
        <v>0.24249999999999999</v>
      </c>
      <c r="W73" s="22"/>
      <c r="X73" s="62">
        <f t="shared" si="2"/>
        <v>3.0999999999999917E-3</v>
      </c>
      <c r="Y73" s="22"/>
      <c r="Z73" s="60">
        <f t="shared" si="3"/>
        <v>0</v>
      </c>
    </row>
    <row r="74" spans="1:26" x14ac:dyDescent="0.3">
      <c r="A74" s="34">
        <v>70</v>
      </c>
      <c r="B74" s="36" t="s">
        <v>167</v>
      </c>
      <c r="C74" s="12" t="s">
        <v>27</v>
      </c>
      <c r="D74" s="11" t="s">
        <v>26</v>
      </c>
      <c r="E74" s="11" t="s">
        <v>26</v>
      </c>
      <c r="F74" s="11"/>
      <c r="G74" s="11"/>
      <c r="H74" s="11"/>
      <c r="I74" s="11" t="s">
        <v>31</v>
      </c>
      <c r="J74" s="11" t="s">
        <v>25</v>
      </c>
      <c r="K74" s="11"/>
      <c r="L74" s="22">
        <v>122.15</v>
      </c>
      <c r="M74" s="11"/>
      <c r="N74" s="11"/>
      <c r="O74" s="26">
        <v>44858</v>
      </c>
      <c r="P74" s="53">
        <v>3.0289999999999999</v>
      </c>
      <c r="Q74" s="25">
        <v>0.2</v>
      </c>
      <c r="R74" s="25"/>
      <c r="S74" s="25"/>
      <c r="T74" s="25"/>
      <c r="U74" s="22">
        <v>0.23749999999999999</v>
      </c>
      <c r="V74" s="22">
        <v>0.23860000000000001</v>
      </c>
      <c r="W74" s="22"/>
      <c r="X74" s="62">
        <f t="shared" si="2"/>
        <v>1.1000000000000176E-3</v>
      </c>
      <c r="Y74" s="22"/>
      <c r="Z74" s="60">
        <f t="shared" si="3"/>
        <v>0</v>
      </c>
    </row>
    <row r="75" spans="1:26" x14ac:dyDescent="0.3">
      <c r="A75" s="45">
        <v>71</v>
      </c>
      <c r="B75" s="44" t="s">
        <v>168</v>
      </c>
      <c r="C75" s="12" t="s">
        <v>27</v>
      </c>
      <c r="D75" s="11" t="s">
        <v>26</v>
      </c>
      <c r="E75" s="11" t="s">
        <v>26</v>
      </c>
      <c r="F75" s="11"/>
      <c r="G75" s="11"/>
      <c r="H75" s="11"/>
      <c r="I75" s="11" t="s">
        <v>31</v>
      </c>
      <c r="J75" s="11" t="s">
        <v>25</v>
      </c>
      <c r="K75" s="11"/>
      <c r="L75" s="22">
        <v>120.21</v>
      </c>
      <c r="M75" s="11"/>
      <c r="N75" s="11"/>
      <c r="O75" s="26">
        <v>44858</v>
      </c>
      <c r="P75" s="53">
        <v>2.923</v>
      </c>
      <c r="Q75" s="25">
        <v>0.2</v>
      </c>
      <c r="R75" s="25"/>
      <c r="S75" s="25"/>
      <c r="T75" s="25"/>
      <c r="U75" s="22">
        <v>0.23960000000000001</v>
      </c>
      <c r="V75" s="22">
        <v>0.24049999999999999</v>
      </c>
      <c r="W75" s="22"/>
      <c r="X75" s="62">
        <f t="shared" si="2"/>
        <v>8.9999999999998415E-4</v>
      </c>
      <c r="Y75" s="22"/>
      <c r="Z75" s="60">
        <f t="shared" si="3"/>
        <v>0</v>
      </c>
    </row>
    <row r="76" spans="1:26" x14ac:dyDescent="0.3">
      <c r="A76" s="34">
        <v>72</v>
      </c>
      <c r="B76" s="36" t="s">
        <v>169</v>
      </c>
      <c r="C76" s="12" t="s">
        <v>27</v>
      </c>
      <c r="D76" s="11" t="s">
        <v>26</v>
      </c>
      <c r="E76" s="11" t="s">
        <v>26</v>
      </c>
      <c r="F76" s="11"/>
      <c r="G76" s="11"/>
      <c r="H76" s="11"/>
      <c r="I76" s="11" t="s">
        <v>31</v>
      </c>
      <c r="J76" s="11" t="s">
        <v>25</v>
      </c>
      <c r="K76" s="11"/>
      <c r="L76" s="22">
        <v>121.09</v>
      </c>
      <c r="M76" s="11"/>
      <c r="N76" s="11"/>
      <c r="O76" s="26">
        <v>44858</v>
      </c>
      <c r="P76" s="53">
        <v>2.976</v>
      </c>
      <c r="Q76" s="25">
        <v>0.2</v>
      </c>
      <c r="R76" s="25"/>
      <c r="S76" s="25"/>
      <c r="T76" s="25"/>
      <c r="U76" s="22">
        <v>0.23649999999999999</v>
      </c>
      <c r="V76" s="22">
        <v>0.23710000000000001</v>
      </c>
      <c r="W76" s="22"/>
      <c r="X76" s="62">
        <f t="shared" si="2"/>
        <v>6.0000000000001719E-4</v>
      </c>
      <c r="Y76" s="22"/>
      <c r="Z76" s="60">
        <f t="shared" si="3"/>
        <v>0</v>
      </c>
    </row>
    <row r="77" spans="1:26" x14ac:dyDescent="0.3">
      <c r="A77" s="45">
        <v>73</v>
      </c>
      <c r="B77" s="44" t="s">
        <v>74</v>
      </c>
      <c r="C77" s="12" t="s">
        <v>27</v>
      </c>
      <c r="D77" s="11" t="s">
        <v>26</v>
      </c>
      <c r="E77" s="11" t="s">
        <v>26</v>
      </c>
      <c r="F77" s="11"/>
      <c r="G77" s="11"/>
      <c r="H77" s="11"/>
      <c r="I77" s="11" t="s">
        <v>31</v>
      </c>
      <c r="J77" s="11" t="s">
        <v>25</v>
      </c>
      <c r="K77" s="11"/>
      <c r="L77" s="22">
        <v>123.28</v>
      </c>
      <c r="M77" s="11"/>
      <c r="N77" s="11"/>
      <c r="O77" s="26">
        <v>44820</v>
      </c>
      <c r="P77" s="53">
        <v>3.641</v>
      </c>
      <c r="Q77" s="25">
        <v>0.2</v>
      </c>
      <c r="R77" s="25"/>
      <c r="S77" s="25"/>
      <c r="T77" s="25"/>
      <c r="U77" s="22">
        <v>0.2404</v>
      </c>
      <c r="V77" s="22">
        <v>0.24129999999999999</v>
      </c>
      <c r="W77" s="22"/>
      <c r="X77" s="62">
        <f t="shared" si="2"/>
        <v>8.9999999999998415E-4</v>
      </c>
      <c r="Y77" s="22"/>
      <c r="Z77" s="60">
        <f t="shared" si="3"/>
        <v>0</v>
      </c>
    </row>
    <row r="78" spans="1:26" x14ac:dyDescent="0.3">
      <c r="A78" s="34">
        <v>74</v>
      </c>
      <c r="B78" s="36" t="s">
        <v>170</v>
      </c>
      <c r="C78" s="12" t="s">
        <v>27</v>
      </c>
      <c r="D78" s="11" t="s">
        <v>26</v>
      </c>
      <c r="E78" s="11" t="s">
        <v>26</v>
      </c>
      <c r="F78" s="11"/>
      <c r="G78" s="11"/>
      <c r="H78" s="11"/>
      <c r="I78" s="11" t="s">
        <v>31</v>
      </c>
      <c r="J78" s="11" t="s">
        <v>25</v>
      </c>
      <c r="K78" s="11"/>
      <c r="L78" s="22">
        <v>119.03</v>
      </c>
      <c r="M78" s="11"/>
      <c r="N78" s="11"/>
      <c r="O78" s="26">
        <v>44858</v>
      </c>
      <c r="P78" s="53">
        <v>3.0539999999999998</v>
      </c>
      <c r="Q78" s="25">
        <v>0.2</v>
      </c>
      <c r="R78" s="25"/>
      <c r="S78" s="25"/>
      <c r="T78" s="25"/>
      <c r="U78" s="22">
        <v>0.24390000000000001</v>
      </c>
      <c r="V78" s="22">
        <v>0.2477</v>
      </c>
      <c r="W78" s="22"/>
      <c r="X78" s="62">
        <f t="shared" si="2"/>
        <v>3.7999999999999978E-3</v>
      </c>
      <c r="Y78" s="22"/>
      <c r="Z78" s="60">
        <f t="shared" si="3"/>
        <v>0</v>
      </c>
    </row>
    <row r="79" spans="1:26" x14ac:dyDescent="0.3">
      <c r="A79" s="34">
        <v>75</v>
      </c>
      <c r="B79" s="36" t="s">
        <v>171</v>
      </c>
      <c r="C79" s="12" t="s">
        <v>27</v>
      </c>
      <c r="D79" s="11" t="s">
        <v>26</v>
      </c>
      <c r="E79" s="11" t="s">
        <v>26</v>
      </c>
      <c r="F79" s="11"/>
      <c r="G79" s="11"/>
      <c r="H79" s="11"/>
      <c r="I79" s="11" t="s">
        <v>31</v>
      </c>
      <c r="J79" s="11" t="s">
        <v>25</v>
      </c>
      <c r="K79" s="11"/>
      <c r="L79" s="22">
        <v>120.71</v>
      </c>
      <c r="M79" s="11"/>
      <c r="N79" s="11"/>
      <c r="O79" s="26">
        <v>44858</v>
      </c>
      <c r="P79" s="53">
        <v>3.0379999999999998</v>
      </c>
      <c r="Q79" s="25">
        <v>0.2</v>
      </c>
      <c r="R79" s="25"/>
      <c r="S79" s="25"/>
      <c r="T79" s="25"/>
      <c r="U79" s="22">
        <v>0.23649999999999999</v>
      </c>
      <c r="V79" s="22">
        <v>0.24149999999999999</v>
      </c>
      <c r="W79" s="22"/>
      <c r="X79" s="62">
        <f t="shared" si="2"/>
        <v>5.0000000000000044E-3</v>
      </c>
      <c r="Y79" s="22"/>
      <c r="Z79" s="60">
        <f t="shared" si="3"/>
        <v>0</v>
      </c>
    </row>
    <row r="80" spans="1:26" x14ac:dyDescent="0.3">
      <c r="A80" s="45">
        <v>76</v>
      </c>
      <c r="B80" s="44" t="s">
        <v>75</v>
      </c>
      <c r="C80" s="12" t="s">
        <v>27</v>
      </c>
      <c r="D80" s="11" t="s">
        <v>26</v>
      </c>
      <c r="E80" s="11" t="s">
        <v>26</v>
      </c>
      <c r="F80" s="11"/>
      <c r="G80" s="11"/>
      <c r="H80" s="11"/>
      <c r="I80" s="11" t="s">
        <v>31</v>
      </c>
      <c r="J80" s="11" t="s">
        <v>25</v>
      </c>
      <c r="K80" s="11"/>
      <c r="L80" s="22">
        <v>122.52</v>
      </c>
      <c r="M80" s="11"/>
      <c r="N80" s="11"/>
      <c r="O80" s="26">
        <v>44820</v>
      </c>
      <c r="P80" s="53">
        <v>3.5790000000000002</v>
      </c>
      <c r="Q80" s="25">
        <v>0.2</v>
      </c>
      <c r="R80" s="25"/>
      <c r="S80" s="25"/>
      <c r="T80" s="25"/>
      <c r="U80" s="22">
        <v>0.24049999999999999</v>
      </c>
      <c r="V80" s="22">
        <v>0.246</v>
      </c>
      <c r="W80" s="22"/>
      <c r="X80" s="62">
        <f t="shared" si="2"/>
        <v>5.5000000000000049E-3</v>
      </c>
      <c r="Y80" s="22"/>
      <c r="Z80" s="60">
        <f t="shared" si="3"/>
        <v>0</v>
      </c>
    </row>
    <row r="81" spans="1:26" x14ac:dyDescent="0.3">
      <c r="A81" s="34">
        <v>77</v>
      </c>
      <c r="B81" s="36" t="s">
        <v>172</v>
      </c>
      <c r="C81" s="12" t="s">
        <v>27</v>
      </c>
      <c r="D81" s="11" t="s">
        <v>26</v>
      </c>
      <c r="E81" s="11" t="s">
        <v>26</v>
      </c>
      <c r="F81" s="11"/>
      <c r="G81" s="11"/>
      <c r="H81" s="11"/>
      <c r="I81" s="11" t="s">
        <v>31</v>
      </c>
      <c r="J81" s="11" t="s">
        <v>25</v>
      </c>
      <c r="K81" s="11"/>
      <c r="L81" s="22">
        <v>120.54</v>
      </c>
      <c r="M81" s="11"/>
      <c r="N81" s="11"/>
      <c r="O81" s="26">
        <v>44858</v>
      </c>
      <c r="P81" s="53">
        <v>3.1509999999999998</v>
      </c>
      <c r="Q81" s="25">
        <v>0.2</v>
      </c>
      <c r="R81" s="25"/>
      <c r="S81" s="25"/>
      <c r="T81" s="25"/>
      <c r="U81" s="22">
        <v>0.2366</v>
      </c>
      <c r="V81" s="22">
        <v>0.24060000000000001</v>
      </c>
      <c r="W81" s="22"/>
      <c r="X81" s="62">
        <f t="shared" si="2"/>
        <v>4.0000000000000036E-3</v>
      </c>
      <c r="Y81" s="22"/>
      <c r="Z81" s="60">
        <f t="shared" si="3"/>
        <v>0</v>
      </c>
    </row>
    <row r="82" spans="1:26" x14ac:dyDescent="0.3">
      <c r="A82" s="45">
        <v>78</v>
      </c>
      <c r="B82" s="44" t="s">
        <v>173</v>
      </c>
      <c r="C82" s="12" t="s">
        <v>27</v>
      </c>
      <c r="D82" s="11" t="s">
        <v>26</v>
      </c>
      <c r="E82" s="11" t="s">
        <v>26</v>
      </c>
      <c r="F82" s="11"/>
      <c r="G82" s="11"/>
      <c r="H82" s="11"/>
      <c r="I82" s="11" t="s">
        <v>31</v>
      </c>
      <c r="J82" s="11" t="s">
        <v>25</v>
      </c>
      <c r="K82" s="11"/>
      <c r="L82" s="22">
        <v>122.2</v>
      </c>
      <c r="M82" s="11"/>
      <c r="N82" s="11"/>
      <c r="O82" s="26">
        <v>44858</v>
      </c>
      <c r="P82" s="53">
        <v>3.0059999999999998</v>
      </c>
      <c r="Q82" s="25">
        <v>0.2</v>
      </c>
      <c r="R82" s="25"/>
      <c r="S82" s="25"/>
      <c r="T82" s="25"/>
      <c r="U82" s="22">
        <v>0.23430000000000001</v>
      </c>
      <c r="V82" s="22">
        <v>0.2374</v>
      </c>
      <c r="W82" s="22"/>
      <c r="X82" s="62">
        <f t="shared" si="2"/>
        <v>3.0999999999999917E-3</v>
      </c>
      <c r="Y82" s="22"/>
      <c r="Z82" s="60">
        <f t="shared" si="3"/>
        <v>0</v>
      </c>
    </row>
    <row r="83" spans="1:26" x14ac:dyDescent="0.3">
      <c r="A83" s="34">
        <v>79</v>
      </c>
      <c r="B83" s="36" t="s">
        <v>76</v>
      </c>
      <c r="C83" s="12" t="s">
        <v>27</v>
      </c>
      <c r="D83" s="11" t="s">
        <v>26</v>
      </c>
      <c r="E83" s="11" t="s">
        <v>26</v>
      </c>
      <c r="F83" s="11"/>
      <c r="G83" s="11"/>
      <c r="H83" s="11"/>
      <c r="I83" s="11" t="s">
        <v>31</v>
      </c>
      <c r="J83" s="11" t="s">
        <v>25</v>
      </c>
      <c r="K83" s="11"/>
      <c r="L83" s="22">
        <v>122.22</v>
      </c>
      <c r="M83" s="11"/>
      <c r="N83" s="11"/>
      <c r="O83" s="26">
        <v>44820</v>
      </c>
      <c r="P83" s="53">
        <v>3.5510000000000002</v>
      </c>
      <c r="Q83" s="25">
        <v>0.2</v>
      </c>
      <c r="R83" s="25"/>
      <c r="S83" s="25"/>
      <c r="T83" s="25"/>
      <c r="U83" s="22">
        <v>0.2422</v>
      </c>
      <c r="V83" s="22">
        <v>0.24299999999999999</v>
      </c>
      <c r="W83" s="22"/>
      <c r="X83" s="62">
        <f t="shared" si="2"/>
        <v>7.9999999999999516E-4</v>
      </c>
      <c r="Y83" s="22"/>
      <c r="Z83" s="60">
        <f t="shared" si="3"/>
        <v>0</v>
      </c>
    </row>
    <row r="84" spans="1:26" x14ac:dyDescent="0.3">
      <c r="A84" s="34">
        <v>80</v>
      </c>
      <c r="B84" s="38" t="s">
        <v>77</v>
      </c>
      <c r="C84" s="12" t="s">
        <v>27</v>
      </c>
      <c r="D84" s="11" t="s">
        <v>26</v>
      </c>
      <c r="E84" s="11" t="s">
        <v>26</v>
      </c>
      <c r="F84" s="11"/>
      <c r="G84" s="11"/>
      <c r="H84" s="11"/>
      <c r="I84" s="11" t="s">
        <v>31</v>
      </c>
      <c r="J84" s="11" t="s">
        <v>25</v>
      </c>
      <c r="K84" s="11"/>
      <c r="L84" s="22">
        <v>122.57</v>
      </c>
      <c r="M84" s="11"/>
      <c r="N84" s="11"/>
      <c r="O84" s="26">
        <v>44820</v>
      </c>
      <c r="P84" s="53">
        <v>3.109</v>
      </c>
      <c r="Q84" s="25">
        <v>0.2</v>
      </c>
      <c r="R84" s="25"/>
      <c r="S84" s="25"/>
      <c r="T84" s="25"/>
      <c r="U84" s="22">
        <v>0.24210000000000001</v>
      </c>
      <c r="V84" s="22">
        <v>0.24229999999999999</v>
      </c>
      <c r="W84" s="22"/>
      <c r="X84" s="62">
        <f t="shared" si="2"/>
        <v>1.9999999999997797E-4</v>
      </c>
      <c r="Y84" s="22"/>
      <c r="Z84" s="60">
        <f t="shared" si="3"/>
        <v>0</v>
      </c>
    </row>
    <row r="85" spans="1:26" x14ac:dyDescent="0.3">
      <c r="A85" s="34">
        <v>81</v>
      </c>
      <c r="B85" s="38" t="s">
        <v>78</v>
      </c>
      <c r="C85" s="12" t="s">
        <v>27</v>
      </c>
      <c r="D85" s="11" t="s">
        <v>26</v>
      </c>
      <c r="E85" s="11" t="s">
        <v>26</v>
      </c>
      <c r="F85" s="11"/>
      <c r="G85" s="11"/>
      <c r="H85" s="11"/>
      <c r="I85" s="11" t="s">
        <v>31</v>
      </c>
      <c r="J85" s="11" t="s">
        <v>25</v>
      </c>
      <c r="K85" s="11"/>
      <c r="L85" s="22">
        <v>121.33</v>
      </c>
      <c r="M85" s="11"/>
      <c r="N85" s="11"/>
      <c r="O85" s="26">
        <v>44820</v>
      </c>
      <c r="P85" s="53">
        <v>2.976</v>
      </c>
      <c r="Q85" s="25">
        <v>0.2</v>
      </c>
      <c r="R85" s="25"/>
      <c r="S85" s="25"/>
      <c r="T85" s="25"/>
      <c r="U85" s="22">
        <v>0.2397</v>
      </c>
      <c r="V85" s="22">
        <v>0.24179999999999999</v>
      </c>
      <c r="W85" s="22"/>
      <c r="X85" s="62">
        <f t="shared" si="2"/>
        <v>2.0999999999999908E-3</v>
      </c>
      <c r="Y85" s="22"/>
      <c r="Z85" s="60">
        <f t="shared" si="3"/>
        <v>0</v>
      </c>
    </row>
    <row r="86" spans="1:26" x14ac:dyDescent="0.3">
      <c r="A86" s="34">
        <v>82</v>
      </c>
      <c r="B86" s="38" t="s">
        <v>79</v>
      </c>
      <c r="C86" s="12" t="s">
        <v>27</v>
      </c>
      <c r="D86" s="11" t="s">
        <v>26</v>
      </c>
      <c r="E86" s="11" t="s">
        <v>26</v>
      </c>
      <c r="F86" s="11"/>
      <c r="G86" s="11"/>
      <c r="H86" s="11"/>
      <c r="I86" s="11" t="s">
        <v>31</v>
      </c>
      <c r="J86" s="11" t="s">
        <v>25</v>
      </c>
      <c r="K86" s="11"/>
      <c r="L86" s="22">
        <v>122.52</v>
      </c>
      <c r="M86" s="11"/>
      <c r="N86" s="11"/>
      <c r="O86" s="26">
        <v>44820</v>
      </c>
      <c r="P86" s="53">
        <v>2.9239999999999999</v>
      </c>
      <c r="Q86" s="25">
        <v>0.2</v>
      </c>
      <c r="R86" s="25"/>
      <c r="S86" s="25"/>
      <c r="T86" s="25"/>
      <c r="U86" s="22">
        <v>0.2412</v>
      </c>
      <c r="V86" s="22">
        <v>0.25650000000000001</v>
      </c>
      <c r="W86" s="22"/>
      <c r="X86" s="62">
        <f t="shared" si="2"/>
        <v>1.5300000000000008E-2</v>
      </c>
      <c r="Y86" s="22"/>
      <c r="Z86" s="60">
        <f t="shared" si="3"/>
        <v>0</v>
      </c>
    </row>
    <row r="87" spans="1:26" x14ac:dyDescent="0.3">
      <c r="A87" s="34">
        <v>83</v>
      </c>
      <c r="B87" s="38" t="s">
        <v>80</v>
      </c>
      <c r="C87" s="12" t="s">
        <v>27</v>
      </c>
      <c r="D87" s="11" t="s">
        <v>26</v>
      </c>
      <c r="E87" s="11" t="s">
        <v>26</v>
      </c>
      <c r="F87" s="11"/>
      <c r="G87" s="11"/>
      <c r="H87" s="11"/>
      <c r="I87" s="11" t="s">
        <v>31</v>
      </c>
      <c r="J87" s="11" t="s">
        <v>25</v>
      </c>
      <c r="K87" s="11"/>
      <c r="L87" s="22">
        <v>121.45</v>
      </c>
      <c r="M87" s="11"/>
      <c r="N87" s="11"/>
      <c r="O87" s="26">
        <v>44820</v>
      </c>
      <c r="P87" s="53">
        <v>2.9380000000000002</v>
      </c>
      <c r="Q87" s="25">
        <v>0.2</v>
      </c>
      <c r="R87" s="25"/>
      <c r="S87" s="25"/>
      <c r="T87" s="25"/>
      <c r="U87" s="22">
        <v>0.24279999999999999</v>
      </c>
      <c r="V87" s="22">
        <v>0.249</v>
      </c>
      <c r="W87" s="22"/>
      <c r="X87" s="62">
        <f t="shared" si="2"/>
        <v>6.2000000000000111E-3</v>
      </c>
      <c r="Y87" s="22"/>
      <c r="Z87" s="60">
        <f t="shared" si="3"/>
        <v>0</v>
      </c>
    </row>
    <row r="88" spans="1:26" x14ac:dyDescent="0.3">
      <c r="A88" s="34">
        <v>84</v>
      </c>
      <c r="B88" s="38" t="s">
        <v>81</v>
      </c>
      <c r="C88" s="12" t="s">
        <v>27</v>
      </c>
      <c r="D88" s="11" t="s">
        <v>26</v>
      </c>
      <c r="E88" s="11" t="s">
        <v>26</v>
      </c>
      <c r="F88" s="11"/>
      <c r="G88" s="11"/>
      <c r="H88" s="11"/>
      <c r="I88" s="11" t="s">
        <v>31</v>
      </c>
      <c r="J88" s="11" t="s">
        <v>25</v>
      </c>
      <c r="K88" s="11"/>
      <c r="L88" s="22">
        <v>122.08</v>
      </c>
      <c r="M88" s="11"/>
      <c r="N88" s="11"/>
      <c r="O88" s="26">
        <v>44820</v>
      </c>
      <c r="P88" s="53">
        <v>2.94</v>
      </c>
      <c r="Q88" s="25">
        <v>0.2</v>
      </c>
      <c r="R88" s="25"/>
      <c r="S88" s="25"/>
      <c r="T88" s="25"/>
      <c r="U88" s="22">
        <v>0.24099999999999999</v>
      </c>
      <c r="V88" s="22">
        <v>0.24890000000000001</v>
      </c>
      <c r="W88" s="22"/>
      <c r="X88" s="62">
        <f t="shared" si="2"/>
        <v>7.9000000000000181E-3</v>
      </c>
      <c r="Y88" s="22"/>
      <c r="Z88" s="60">
        <f t="shared" si="3"/>
        <v>0</v>
      </c>
    </row>
    <row r="89" spans="1:26" x14ac:dyDescent="0.3">
      <c r="A89" s="45">
        <v>85</v>
      </c>
      <c r="B89" s="44" t="s">
        <v>82</v>
      </c>
      <c r="C89" s="12" t="s">
        <v>27</v>
      </c>
      <c r="D89" s="11" t="s">
        <v>26</v>
      </c>
      <c r="E89" s="11" t="s">
        <v>26</v>
      </c>
      <c r="F89" s="11"/>
      <c r="G89" s="11"/>
      <c r="H89" s="11"/>
      <c r="I89" s="11" t="s">
        <v>31</v>
      </c>
      <c r="J89" s="11" t="s">
        <v>25</v>
      </c>
      <c r="K89" s="11"/>
      <c r="L89" s="22">
        <v>122.7</v>
      </c>
      <c r="M89" s="11"/>
      <c r="N89" s="11"/>
      <c r="O89" s="26">
        <v>44820</v>
      </c>
      <c r="P89" s="53">
        <v>3.0339999999999998</v>
      </c>
      <c r="Q89" s="25">
        <v>0.2</v>
      </c>
      <c r="R89" s="25"/>
      <c r="S89" s="25"/>
      <c r="T89" s="25"/>
      <c r="U89" s="22">
        <v>0.2414</v>
      </c>
      <c r="V89" s="22">
        <v>0.24709999999999999</v>
      </c>
      <c r="W89" s="22"/>
      <c r="X89" s="62">
        <f t="shared" si="2"/>
        <v>5.6999999999999829E-3</v>
      </c>
      <c r="Y89" s="22"/>
      <c r="Z89" s="60">
        <f t="shared" si="3"/>
        <v>0</v>
      </c>
    </row>
    <row r="90" spans="1:26" x14ac:dyDescent="0.3">
      <c r="A90" s="34">
        <v>86</v>
      </c>
      <c r="B90" s="36" t="s">
        <v>83</v>
      </c>
      <c r="C90" s="12" t="s">
        <v>27</v>
      </c>
      <c r="D90" s="11" t="s">
        <v>26</v>
      </c>
      <c r="E90" s="11" t="s">
        <v>26</v>
      </c>
      <c r="F90" s="11"/>
      <c r="G90" s="11"/>
      <c r="H90" s="11"/>
      <c r="I90" s="11" t="s">
        <v>31</v>
      </c>
      <c r="J90" s="11" t="s">
        <v>25</v>
      </c>
      <c r="K90" s="11"/>
      <c r="L90" s="22">
        <v>121.38</v>
      </c>
      <c r="M90" s="11"/>
      <c r="N90" s="11"/>
      <c r="O90" s="26">
        <v>44820</v>
      </c>
      <c r="P90" s="53">
        <v>3.0539999999999998</v>
      </c>
      <c r="Q90" s="25">
        <v>0.2</v>
      </c>
      <c r="R90" s="25"/>
      <c r="S90" s="25"/>
      <c r="T90" s="25"/>
      <c r="U90" s="22">
        <v>0.2374</v>
      </c>
      <c r="V90" s="22">
        <v>0.24249999999999999</v>
      </c>
      <c r="W90" s="22"/>
      <c r="X90" s="62">
        <f t="shared" si="2"/>
        <v>5.0999999999999934E-3</v>
      </c>
      <c r="Y90" s="22"/>
      <c r="Z90" s="60">
        <f t="shared" si="3"/>
        <v>0</v>
      </c>
    </row>
    <row r="91" spans="1:26" x14ac:dyDescent="0.3">
      <c r="A91" s="45">
        <v>87</v>
      </c>
      <c r="B91" s="44" t="s">
        <v>174</v>
      </c>
      <c r="C91" s="12" t="s">
        <v>27</v>
      </c>
      <c r="D91" s="11" t="s">
        <v>26</v>
      </c>
      <c r="E91" s="11" t="s">
        <v>26</v>
      </c>
      <c r="F91" s="11"/>
      <c r="G91" s="11"/>
      <c r="H91" s="11"/>
      <c r="I91" s="11" t="s">
        <v>31</v>
      </c>
      <c r="J91" s="11" t="s">
        <v>25</v>
      </c>
      <c r="K91" s="11"/>
      <c r="L91" s="22">
        <v>120.25</v>
      </c>
      <c r="M91" s="11"/>
      <c r="N91" s="11"/>
      <c r="O91" s="26">
        <v>44858</v>
      </c>
      <c r="P91" s="53">
        <v>2.4729999999999999</v>
      </c>
      <c r="Q91" s="25">
        <v>0.2</v>
      </c>
      <c r="R91" s="25"/>
      <c r="S91" s="25"/>
      <c r="T91" s="25"/>
      <c r="U91" s="22">
        <v>0.23849999999999999</v>
      </c>
      <c r="V91" s="22">
        <v>0.2437</v>
      </c>
      <c r="W91" s="22"/>
      <c r="X91" s="62">
        <f t="shared" si="2"/>
        <v>5.2000000000000102E-3</v>
      </c>
      <c r="Y91" s="22"/>
      <c r="Z91" s="60">
        <f t="shared" si="3"/>
        <v>0</v>
      </c>
    </row>
    <row r="92" spans="1:26" x14ac:dyDescent="0.3">
      <c r="A92" s="34">
        <v>88</v>
      </c>
      <c r="B92" s="36" t="s">
        <v>175</v>
      </c>
      <c r="C92" s="12" t="s">
        <v>27</v>
      </c>
      <c r="D92" s="11" t="s">
        <v>26</v>
      </c>
      <c r="E92" s="11" t="s">
        <v>26</v>
      </c>
      <c r="F92" s="11"/>
      <c r="G92" s="11"/>
      <c r="H92" s="11"/>
      <c r="I92" s="11" t="s">
        <v>31</v>
      </c>
      <c r="J92" s="11" t="s">
        <v>25</v>
      </c>
      <c r="K92" s="11"/>
      <c r="L92" s="22">
        <v>122.5</v>
      </c>
      <c r="M92" s="11"/>
      <c r="N92" s="11"/>
      <c r="O92" s="26">
        <v>44858</v>
      </c>
      <c r="P92" s="53">
        <v>2.6160000000000001</v>
      </c>
      <c r="Q92" s="25">
        <v>0.2</v>
      </c>
      <c r="R92" s="25"/>
      <c r="S92" s="25"/>
      <c r="T92" s="25"/>
      <c r="U92" s="22">
        <v>0.2387</v>
      </c>
      <c r="V92" s="22">
        <v>0.25640000000000002</v>
      </c>
      <c r="W92" s="22"/>
      <c r="X92" s="62">
        <f t="shared" si="2"/>
        <v>1.7700000000000021E-2</v>
      </c>
      <c r="Y92" s="22"/>
      <c r="Z92" s="60">
        <f t="shared" si="3"/>
        <v>0</v>
      </c>
    </row>
    <row r="93" spans="1:26" x14ac:dyDescent="0.3">
      <c r="A93" s="45">
        <v>89</v>
      </c>
      <c r="B93" s="44" t="s">
        <v>84</v>
      </c>
      <c r="C93" s="12" t="s">
        <v>27</v>
      </c>
      <c r="D93" s="11" t="s">
        <v>26</v>
      </c>
      <c r="E93" s="11" t="s">
        <v>26</v>
      </c>
      <c r="F93" s="11"/>
      <c r="G93" s="11"/>
      <c r="H93" s="11"/>
      <c r="I93" s="11" t="s">
        <v>31</v>
      </c>
      <c r="J93" s="11" t="s">
        <v>25</v>
      </c>
      <c r="K93" s="11"/>
      <c r="L93" s="22">
        <v>121.24</v>
      </c>
      <c r="M93" s="11"/>
      <c r="N93" s="11"/>
      <c r="O93" s="26">
        <v>44820</v>
      </c>
      <c r="P93" s="53">
        <v>3.1349999999999998</v>
      </c>
      <c r="Q93" s="25">
        <v>0.2</v>
      </c>
      <c r="R93" s="25"/>
      <c r="S93" s="25"/>
      <c r="T93" s="25"/>
      <c r="U93" s="22">
        <v>0.23799999999999999</v>
      </c>
      <c r="V93" s="22">
        <v>0.2671</v>
      </c>
      <c r="W93" s="22"/>
      <c r="X93" s="62">
        <f t="shared" si="2"/>
        <v>2.9100000000000015E-2</v>
      </c>
      <c r="Y93" s="22"/>
      <c r="Z93" s="60">
        <f t="shared" si="3"/>
        <v>0</v>
      </c>
    </row>
    <row r="94" spans="1:26" x14ac:dyDescent="0.3">
      <c r="A94" s="34">
        <v>90</v>
      </c>
      <c r="B94" s="36" t="s">
        <v>85</v>
      </c>
      <c r="C94" s="12" t="s">
        <v>27</v>
      </c>
      <c r="D94" s="11" t="s">
        <v>26</v>
      </c>
      <c r="E94" s="11" t="s">
        <v>26</v>
      </c>
      <c r="F94" s="11"/>
      <c r="G94" s="11"/>
      <c r="H94" s="11"/>
      <c r="I94" s="11" t="s">
        <v>31</v>
      </c>
      <c r="J94" s="11" t="s">
        <v>25</v>
      </c>
      <c r="K94" s="11"/>
      <c r="L94" s="22">
        <v>122.39</v>
      </c>
      <c r="M94" s="11"/>
      <c r="N94" s="11"/>
      <c r="O94" s="26">
        <v>44820</v>
      </c>
      <c r="P94" s="53">
        <v>2.9359999999999999</v>
      </c>
      <c r="Q94" s="25">
        <v>0.2</v>
      </c>
      <c r="R94" s="25"/>
      <c r="S94" s="25"/>
      <c r="T94" s="25"/>
      <c r="U94" s="22">
        <v>0.2382</v>
      </c>
      <c r="V94" s="22">
        <v>0.2616</v>
      </c>
      <c r="W94" s="22"/>
      <c r="X94" s="62">
        <f t="shared" si="2"/>
        <v>2.3400000000000004E-2</v>
      </c>
      <c r="Y94" s="22"/>
      <c r="Z94" s="60">
        <f t="shared" si="3"/>
        <v>0</v>
      </c>
    </row>
    <row r="95" spans="1:26" x14ac:dyDescent="0.3">
      <c r="A95" s="43">
        <v>91</v>
      </c>
      <c r="B95" s="42" t="s">
        <v>86</v>
      </c>
      <c r="C95" s="12" t="s">
        <v>27</v>
      </c>
      <c r="D95" s="11" t="s">
        <v>26</v>
      </c>
      <c r="E95" s="11" t="s">
        <v>26</v>
      </c>
      <c r="F95" s="11"/>
      <c r="G95" s="11"/>
      <c r="H95" s="11"/>
      <c r="I95" s="11" t="s">
        <v>31</v>
      </c>
      <c r="J95" s="11" t="s">
        <v>25</v>
      </c>
      <c r="K95" s="11"/>
      <c r="L95" s="22">
        <v>122.48</v>
      </c>
      <c r="M95" s="11"/>
      <c r="N95" s="11"/>
      <c r="O95" s="26">
        <v>44820</v>
      </c>
      <c r="P95" s="53">
        <v>2.9329999999999998</v>
      </c>
      <c r="Q95" s="25">
        <v>0.2</v>
      </c>
      <c r="R95" s="25"/>
      <c r="S95" s="25"/>
      <c r="T95" s="25"/>
      <c r="U95" s="22">
        <v>0.2331</v>
      </c>
      <c r="V95" s="22">
        <v>0.25319999999999998</v>
      </c>
      <c r="W95" s="22"/>
      <c r="X95" s="62">
        <f t="shared" si="2"/>
        <v>2.0099999999999979E-2</v>
      </c>
      <c r="Y95" s="48">
        <v>7.6926076637874999E-2</v>
      </c>
      <c r="Z95" s="60">
        <f t="shared" si="3"/>
        <v>0.62807051467892716</v>
      </c>
    </row>
    <row r="96" spans="1:26" x14ac:dyDescent="0.3">
      <c r="A96" s="43">
        <v>92</v>
      </c>
      <c r="B96" s="42" t="s">
        <v>176</v>
      </c>
      <c r="C96" s="12" t="s">
        <v>27</v>
      </c>
      <c r="D96" s="11" t="s">
        <v>26</v>
      </c>
      <c r="E96" s="11" t="s">
        <v>26</v>
      </c>
      <c r="F96" s="11"/>
      <c r="G96" s="11"/>
      <c r="H96" s="11"/>
      <c r="I96" s="11" t="s">
        <v>31</v>
      </c>
      <c r="J96" s="11" t="s">
        <v>25</v>
      </c>
      <c r="K96" s="11"/>
      <c r="L96" s="22">
        <v>119.13</v>
      </c>
      <c r="M96" s="11"/>
      <c r="N96" s="11"/>
      <c r="O96" s="26">
        <v>44858</v>
      </c>
      <c r="P96" s="53">
        <v>2.6339999999999999</v>
      </c>
      <c r="Q96" s="25">
        <v>0.2</v>
      </c>
      <c r="R96" s="25"/>
      <c r="S96" s="25"/>
      <c r="T96" s="25"/>
      <c r="U96" s="22">
        <v>0.24160000000000001</v>
      </c>
      <c r="V96" s="22">
        <v>0.25580000000000003</v>
      </c>
      <c r="W96" s="22"/>
      <c r="X96" s="62">
        <f t="shared" si="2"/>
        <v>1.4200000000000018E-2</v>
      </c>
      <c r="Y96" s="48">
        <v>4.1360648881937495E-2</v>
      </c>
      <c r="Z96" s="60">
        <f t="shared" si="3"/>
        <v>0.34718919568486106</v>
      </c>
    </row>
    <row r="97" spans="1:26" x14ac:dyDescent="0.3">
      <c r="A97" s="43">
        <v>93</v>
      </c>
      <c r="B97" s="42" t="s">
        <v>87</v>
      </c>
      <c r="C97" s="12" t="s">
        <v>27</v>
      </c>
      <c r="D97" s="11" t="s">
        <v>26</v>
      </c>
      <c r="E97" s="11" t="s">
        <v>26</v>
      </c>
      <c r="F97" s="11"/>
      <c r="G97" s="11"/>
      <c r="H97" s="11"/>
      <c r="I97" s="11" t="s">
        <v>31</v>
      </c>
      <c r="J97" s="11" t="s">
        <v>25</v>
      </c>
      <c r="K97" s="11"/>
      <c r="L97" s="22">
        <v>119.42</v>
      </c>
      <c r="M97" s="11"/>
      <c r="N97" s="11"/>
      <c r="O97" s="26">
        <v>44820</v>
      </c>
      <c r="P97" s="53">
        <v>2.97</v>
      </c>
      <c r="Q97" s="25">
        <v>0.2</v>
      </c>
      <c r="R97" s="25"/>
      <c r="S97" s="25"/>
      <c r="T97" s="25"/>
      <c r="U97" s="22">
        <v>0.2392</v>
      </c>
      <c r="V97" s="22">
        <v>0.25069999999999998</v>
      </c>
      <c r="W97" s="22"/>
      <c r="X97" s="62">
        <f t="shared" si="2"/>
        <v>1.1499999999999982E-2</v>
      </c>
      <c r="Y97" s="48">
        <v>2.7772419316343749E-2</v>
      </c>
      <c r="Z97" s="60">
        <f t="shared" si="3"/>
        <v>0.23256087185014027</v>
      </c>
    </row>
    <row r="98" spans="1:26" x14ac:dyDescent="0.3">
      <c r="A98" s="34">
        <v>94</v>
      </c>
      <c r="B98" s="36" t="s">
        <v>177</v>
      </c>
      <c r="C98" s="12" t="s">
        <v>27</v>
      </c>
      <c r="D98" s="11" t="s">
        <v>26</v>
      </c>
      <c r="E98" s="11" t="s">
        <v>26</v>
      </c>
      <c r="F98" s="11"/>
      <c r="G98" s="11"/>
      <c r="H98" s="11"/>
      <c r="I98" s="11" t="s">
        <v>31</v>
      </c>
      <c r="J98" s="11" t="s">
        <v>25</v>
      </c>
      <c r="K98" s="11"/>
      <c r="L98" s="22">
        <v>118.75</v>
      </c>
      <c r="M98" s="11"/>
      <c r="N98" s="11"/>
      <c r="O98" s="26">
        <v>44858</v>
      </c>
      <c r="P98" s="53">
        <v>2.4969999999999999</v>
      </c>
      <c r="Q98" s="25">
        <v>0.2</v>
      </c>
      <c r="R98" s="25"/>
      <c r="S98" s="25"/>
      <c r="T98" s="25"/>
      <c r="U98" s="22">
        <v>0.24079999999999999</v>
      </c>
      <c r="V98" s="22">
        <v>0.25230000000000002</v>
      </c>
      <c r="W98" s="22"/>
      <c r="X98" s="62">
        <f t="shared" si="2"/>
        <v>1.1500000000000038E-2</v>
      </c>
      <c r="Y98" s="22"/>
      <c r="Z98" s="60">
        <f t="shared" si="3"/>
        <v>0</v>
      </c>
    </row>
    <row r="99" spans="1:26" x14ac:dyDescent="0.3">
      <c r="A99" s="43">
        <v>95</v>
      </c>
      <c r="B99" s="47" t="s">
        <v>178</v>
      </c>
      <c r="C99" s="12" t="s">
        <v>27</v>
      </c>
      <c r="D99" s="11" t="s">
        <v>26</v>
      </c>
      <c r="E99" s="11" t="s">
        <v>26</v>
      </c>
      <c r="F99" s="11"/>
      <c r="G99" s="11"/>
      <c r="H99" s="11"/>
      <c r="I99" s="11" t="s">
        <v>31</v>
      </c>
      <c r="J99" s="11" t="s">
        <v>25</v>
      </c>
      <c r="K99" s="11"/>
      <c r="L99" s="22">
        <v>119.53</v>
      </c>
      <c r="M99" s="11"/>
      <c r="N99" s="11"/>
      <c r="O99" s="28">
        <v>44820</v>
      </c>
      <c r="P99" s="54">
        <v>4.9130000000000003</v>
      </c>
      <c r="Q99" s="25">
        <v>0.2</v>
      </c>
      <c r="R99" s="25"/>
      <c r="S99" s="25"/>
      <c r="T99" s="25"/>
      <c r="U99" s="22">
        <v>0.24010000000000001</v>
      </c>
      <c r="V99" s="22">
        <v>0.247</v>
      </c>
      <c r="W99" s="22"/>
      <c r="X99" s="62">
        <f t="shared" si="2"/>
        <v>6.8999999999999895E-3</v>
      </c>
      <c r="Y99" s="48">
        <v>2.9617733977437503E-2</v>
      </c>
      <c r="Z99" s="60">
        <f t="shared" si="3"/>
        <v>0.24778494083023092</v>
      </c>
    </row>
    <row r="100" spans="1:26" x14ac:dyDescent="0.3">
      <c r="A100" s="43">
        <v>96</v>
      </c>
      <c r="B100" s="42" t="s">
        <v>162</v>
      </c>
      <c r="C100" s="12" t="s">
        <v>27</v>
      </c>
      <c r="D100" s="11" t="s">
        <v>26</v>
      </c>
      <c r="E100" s="11" t="s">
        <v>26</v>
      </c>
      <c r="F100" s="11"/>
      <c r="G100" s="11"/>
      <c r="H100" s="11"/>
      <c r="I100" s="11" t="s">
        <v>31</v>
      </c>
      <c r="J100" s="11" t="s">
        <v>25</v>
      </c>
      <c r="K100" s="11"/>
      <c r="L100" s="22">
        <v>118.59</v>
      </c>
      <c r="M100" s="11"/>
      <c r="N100" s="11"/>
      <c r="O100" s="26">
        <v>44820</v>
      </c>
      <c r="P100" s="53">
        <v>6.55</v>
      </c>
      <c r="Q100" s="25">
        <v>0.2</v>
      </c>
      <c r="R100" s="25"/>
      <c r="S100" s="25"/>
      <c r="T100" s="25"/>
      <c r="U100" s="22">
        <v>0.2432</v>
      </c>
      <c r="V100" s="22">
        <v>0.24890000000000001</v>
      </c>
      <c r="W100" s="22"/>
      <c r="X100" s="62">
        <f t="shared" si="2"/>
        <v>5.7000000000000106E-3</v>
      </c>
      <c r="Y100" s="48">
        <v>2.47552331373125E-2</v>
      </c>
      <c r="Z100" s="60">
        <f t="shared" si="3"/>
        <v>0.2087463794359769</v>
      </c>
    </row>
    <row r="101" spans="1:26" x14ac:dyDescent="0.3">
      <c r="A101" s="43">
        <v>97</v>
      </c>
      <c r="B101" s="39" t="s">
        <v>165</v>
      </c>
      <c r="C101" s="12" t="s">
        <v>27</v>
      </c>
      <c r="D101" s="11" t="s">
        <v>26</v>
      </c>
      <c r="E101" s="11" t="s">
        <v>26</v>
      </c>
      <c r="F101" s="11"/>
      <c r="G101" s="11"/>
      <c r="H101" s="11"/>
      <c r="I101" s="11" t="s">
        <v>31</v>
      </c>
      <c r="J101" s="11" t="s">
        <v>25</v>
      </c>
      <c r="K101" s="11"/>
      <c r="L101" s="22">
        <v>120.51</v>
      </c>
      <c r="M101" s="11"/>
      <c r="N101" s="11"/>
      <c r="O101" s="26">
        <v>44820</v>
      </c>
      <c r="P101" s="53">
        <v>8.0350000000000001</v>
      </c>
      <c r="Q101" s="25">
        <v>0.2</v>
      </c>
      <c r="R101" s="21">
        <v>44980</v>
      </c>
      <c r="S101" s="27">
        <v>6.88</v>
      </c>
      <c r="T101" s="25">
        <v>0.2</v>
      </c>
      <c r="U101" s="22">
        <v>0.23480000000000001</v>
      </c>
      <c r="V101" s="22">
        <v>0.2369</v>
      </c>
      <c r="W101" s="22"/>
      <c r="X101" s="62">
        <f t="shared" si="2"/>
        <v>2.0999999999999908E-3</v>
      </c>
      <c r="Y101" s="48">
        <v>1.3861520184859377E-2</v>
      </c>
      <c r="Z101" s="60">
        <f t="shared" si="3"/>
        <v>0.11502381698497532</v>
      </c>
    </row>
    <row r="102" spans="1:26" x14ac:dyDescent="0.3">
      <c r="A102" s="43">
        <v>98</v>
      </c>
      <c r="B102" s="42" t="s">
        <v>92</v>
      </c>
      <c r="C102" s="12" t="s">
        <v>27</v>
      </c>
      <c r="D102" s="11" t="s">
        <v>26</v>
      </c>
      <c r="E102" s="11" t="s">
        <v>26</v>
      </c>
      <c r="F102" s="11"/>
      <c r="G102" s="11"/>
      <c r="H102" s="11"/>
      <c r="I102" s="11" t="s">
        <v>31</v>
      </c>
      <c r="J102" s="11" t="s">
        <v>25</v>
      </c>
      <c r="K102" s="11"/>
      <c r="L102" s="22">
        <v>122.31</v>
      </c>
      <c r="M102" s="11"/>
      <c r="N102" s="11"/>
      <c r="O102" s="26">
        <v>44820</v>
      </c>
      <c r="P102" s="53">
        <v>8.6910000000000007</v>
      </c>
      <c r="Q102" s="25">
        <v>0.2</v>
      </c>
      <c r="R102" s="25"/>
      <c r="S102" s="25"/>
      <c r="T102" s="25"/>
      <c r="U102" s="22">
        <v>0.23319999999999999</v>
      </c>
      <c r="V102" s="22">
        <v>0.2346</v>
      </c>
      <c r="W102" s="22"/>
      <c r="X102" s="62">
        <f t="shared" si="2"/>
        <v>1.4000000000000123E-3</v>
      </c>
      <c r="Y102" s="48">
        <v>9.3283398965000007E-3</v>
      </c>
      <c r="Z102" s="60">
        <f t="shared" si="3"/>
        <v>7.6268006675660208E-2</v>
      </c>
    </row>
    <row r="103" spans="1:26" x14ac:dyDescent="0.3">
      <c r="A103" s="43">
        <v>99</v>
      </c>
      <c r="B103" s="39" t="s">
        <v>164</v>
      </c>
      <c r="C103" s="12" t="s">
        <v>27</v>
      </c>
      <c r="D103" s="11" t="s">
        <v>26</v>
      </c>
      <c r="E103" s="11" t="s">
        <v>26</v>
      </c>
      <c r="F103" s="11"/>
      <c r="G103" s="11"/>
      <c r="H103" s="11"/>
      <c r="I103" s="11" t="s">
        <v>31</v>
      </c>
      <c r="J103" s="11" t="s">
        <v>25</v>
      </c>
      <c r="K103" s="11"/>
      <c r="L103" s="22">
        <v>121.81</v>
      </c>
      <c r="M103" s="11"/>
      <c r="N103" s="11"/>
      <c r="O103" s="26">
        <v>44820</v>
      </c>
      <c r="P103" s="53">
        <v>3.1240000000000001</v>
      </c>
      <c r="Q103" s="25">
        <v>0.2</v>
      </c>
      <c r="R103" s="26">
        <v>44980</v>
      </c>
      <c r="S103" s="27">
        <v>2.6110000000000002</v>
      </c>
      <c r="T103" s="25">
        <v>0.2</v>
      </c>
      <c r="U103" s="22">
        <v>0.24129999999999999</v>
      </c>
      <c r="V103" s="22">
        <v>0.248</v>
      </c>
      <c r="W103" s="22"/>
      <c r="X103" s="62">
        <f t="shared" si="2"/>
        <v>6.7000000000000115E-3</v>
      </c>
      <c r="Y103" s="48">
        <v>2.309097803865625E-2</v>
      </c>
      <c r="Z103" s="60">
        <f t="shared" si="3"/>
        <v>0.18956553680860561</v>
      </c>
    </row>
    <row r="104" spans="1:26" x14ac:dyDescent="0.3">
      <c r="A104" s="43">
        <v>100</v>
      </c>
      <c r="B104" s="42" t="s">
        <v>163</v>
      </c>
      <c r="C104" s="12" t="s">
        <v>27</v>
      </c>
      <c r="D104" s="11" t="s">
        <v>26</v>
      </c>
      <c r="E104" s="11" t="s">
        <v>26</v>
      </c>
      <c r="F104" s="11"/>
      <c r="G104" s="11"/>
      <c r="H104" s="11"/>
      <c r="I104" s="11" t="s">
        <v>31</v>
      </c>
      <c r="J104" s="11" t="s">
        <v>25</v>
      </c>
      <c r="K104" s="11"/>
      <c r="L104" s="22">
        <v>122.5</v>
      </c>
      <c r="M104" s="11"/>
      <c r="N104" s="11"/>
      <c r="O104" s="26">
        <v>44820</v>
      </c>
      <c r="P104" s="53">
        <v>8.0730000000000004</v>
      </c>
      <c r="Q104" s="25">
        <v>0.2</v>
      </c>
      <c r="R104" s="25"/>
      <c r="S104" s="25"/>
      <c r="T104" s="25"/>
      <c r="U104" s="22">
        <v>0.2417</v>
      </c>
      <c r="V104" s="22">
        <v>0.24249999999999999</v>
      </c>
      <c r="W104" s="22"/>
      <c r="X104" s="62">
        <f t="shared" si="2"/>
        <v>7.9999999999999516E-4</v>
      </c>
      <c r="Y104" s="48">
        <v>9.6646684708437507E-3</v>
      </c>
      <c r="Z104" s="60">
        <f t="shared" si="3"/>
        <v>7.8895252823214287E-2</v>
      </c>
    </row>
    <row r="105" spans="1:26" x14ac:dyDescent="0.3">
      <c r="A105" s="43">
        <v>101</v>
      </c>
      <c r="B105" s="39" t="s">
        <v>95</v>
      </c>
      <c r="C105" s="12" t="s">
        <v>27</v>
      </c>
      <c r="D105" s="11" t="s">
        <v>26</v>
      </c>
      <c r="E105" s="11" t="s">
        <v>26</v>
      </c>
      <c r="F105" s="11"/>
      <c r="G105" s="11"/>
      <c r="H105" s="11"/>
      <c r="I105" s="11" t="s">
        <v>31</v>
      </c>
      <c r="J105" s="11" t="s">
        <v>25</v>
      </c>
      <c r="K105" s="11"/>
      <c r="L105" s="22">
        <v>117.35</v>
      </c>
      <c r="M105" s="11"/>
      <c r="N105" s="11"/>
      <c r="O105" s="28">
        <v>44820</v>
      </c>
      <c r="P105" s="54">
        <v>3.1280000000000001</v>
      </c>
      <c r="Q105" s="25">
        <v>0.2</v>
      </c>
      <c r="R105" s="26">
        <v>44980</v>
      </c>
      <c r="S105" s="27">
        <v>2.516</v>
      </c>
      <c r="T105" s="25">
        <v>0.2</v>
      </c>
      <c r="U105" s="22">
        <v>0.23710000000000001</v>
      </c>
      <c r="V105" s="22">
        <v>0.2424</v>
      </c>
      <c r="W105" s="22"/>
      <c r="X105" s="62">
        <f t="shared" si="2"/>
        <v>5.2999999999999992E-3</v>
      </c>
      <c r="Y105" s="48">
        <v>2.3396330896343749E-2</v>
      </c>
      <c r="Z105" s="60">
        <f t="shared" si="3"/>
        <v>0.19937222749334257</v>
      </c>
    </row>
    <row r="106" spans="1:26" x14ac:dyDescent="0.3">
      <c r="A106" s="43">
        <v>102</v>
      </c>
      <c r="B106" s="42" t="s">
        <v>145</v>
      </c>
      <c r="C106" s="12" t="s">
        <v>27</v>
      </c>
      <c r="D106" s="11" t="s">
        <v>26</v>
      </c>
      <c r="E106" s="11" t="s">
        <v>26</v>
      </c>
      <c r="F106" s="11"/>
      <c r="G106" s="11"/>
      <c r="H106" s="11"/>
      <c r="I106" s="11" t="s">
        <v>31</v>
      </c>
      <c r="J106" s="11" t="s">
        <v>25</v>
      </c>
      <c r="K106" s="11"/>
      <c r="L106" s="22">
        <v>117.93</v>
      </c>
      <c r="M106" s="11"/>
      <c r="N106" s="11"/>
      <c r="O106" s="26">
        <v>44858</v>
      </c>
      <c r="P106" s="53">
        <v>3.359</v>
      </c>
      <c r="Q106" s="25">
        <v>0.2</v>
      </c>
      <c r="R106" s="25"/>
      <c r="S106" s="25"/>
      <c r="T106" s="25"/>
      <c r="U106" s="22">
        <v>0.24030000000000001</v>
      </c>
      <c r="V106" s="22">
        <v>0.24129999999999999</v>
      </c>
      <c r="W106" s="22"/>
      <c r="X106" s="62">
        <f t="shared" si="2"/>
        <v>9.9999999999997313E-4</v>
      </c>
      <c r="Y106" s="48">
        <v>6.566226046640625E-3</v>
      </c>
      <c r="Z106" s="60">
        <f t="shared" si="3"/>
        <v>5.5679013369292159E-2</v>
      </c>
    </row>
    <row r="107" spans="1:26" x14ac:dyDescent="0.3">
      <c r="A107" s="43">
        <v>103</v>
      </c>
      <c r="B107" s="42" t="s">
        <v>179</v>
      </c>
      <c r="C107" s="12" t="s">
        <v>27</v>
      </c>
      <c r="D107" s="11" t="s">
        <v>26</v>
      </c>
      <c r="E107" s="11" t="s">
        <v>26</v>
      </c>
      <c r="F107" s="11"/>
      <c r="G107" s="11"/>
      <c r="H107" s="11"/>
      <c r="I107" s="11" t="s">
        <v>31</v>
      </c>
      <c r="J107" s="11" t="s">
        <v>25</v>
      </c>
      <c r="K107" s="11"/>
      <c r="L107" s="22">
        <v>121</v>
      </c>
      <c r="M107" s="11"/>
      <c r="N107" s="11"/>
      <c r="O107" s="26">
        <v>44858</v>
      </c>
      <c r="P107" s="53">
        <v>3.4239999999999999</v>
      </c>
      <c r="Q107" s="25">
        <v>0.2</v>
      </c>
      <c r="R107" s="25"/>
      <c r="S107" s="25"/>
      <c r="T107" s="25"/>
      <c r="U107" s="22">
        <v>0.24199999999999999</v>
      </c>
      <c r="V107" s="22">
        <v>0.24329999999999999</v>
      </c>
      <c r="W107" s="22"/>
      <c r="X107" s="62">
        <f t="shared" si="2"/>
        <v>1.2999999999999956E-3</v>
      </c>
      <c r="Y107" s="48">
        <v>7.5496070152187497E-3</v>
      </c>
      <c r="Z107" s="60">
        <f t="shared" si="3"/>
        <v>6.2393446406766528E-2</v>
      </c>
    </row>
    <row r="108" spans="1:26" x14ac:dyDescent="0.3">
      <c r="A108" s="43">
        <v>104</v>
      </c>
      <c r="B108" s="42" t="s">
        <v>156</v>
      </c>
      <c r="C108" s="12" t="s">
        <v>27</v>
      </c>
      <c r="D108" s="11" t="s">
        <v>26</v>
      </c>
      <c r="E108" s="11" t="s">
        <v>26</v>
      </c>
      <c r="F108" s="11"/>
      <c r="G108" s="11"/>
      <c r="H108" s="11"/>
      <c r="I108" s="11" t="s">
        <v>31</v>
      </c>
      <c r="J108" s="11" t="s">
        <v>25</v>
      </c>
      <c r="K108" s="11"/>
      <c r="L108" s="22">
        <v>120.98</v>
      </c>
      <c r="M108" s="11"/>
      <c r="N108" s="11"/>
      <c r="O108" s="26">
        <v>44858</v>
      </c>
      <c r="P108" s="53">
        <v>3.9</v>
      </c>
      <c r="Q108" s="25">
        <v>0.2</v>
      </c>
      <c r="R108" s="25"/>
      <c r="S108" s="25"/>
      <c r="T108" s="25"/>
      <c r="U108" s="22">
        <v>0.23780000000000001</v>
      </c>
      <c r="V108" s="22">
        <v>0.2402</v>
      </c>
      <c r="W108" s="22"/>
      <c r="X108" s="62">
        <f t="shared" si="2"/>
        <v>2.3999999999999855E-3</v>
      </c>
      <c r="Y108" s="48">
        <v>1.3515336712546875E-2</v>
      </c>
      <c r="Z108" s="60">
        <f t="shared" si="3"/>
        <v>0.11171546299013783</v>
      </c>
    </row>
    <row r="109" spans="1:26" x14ac:dyDescent="0.3">
      <c r="A109" s="43">
        <v>105</v>
      </c>
      <c r="B109" s="42" t="s">
        <v>159</v>
      </c>
      <c r="C109" s="12" t="s">
        <v>27</v>
      </c>
      <c r="D109" s="11" t="s">
        <v>26</v>
      </c>
      <c r="E109" s="11" t="s">
        <v>26</v>
      </c>
      <c r="F109" s="11"/>
      <c r="G109" s="11"/>
      <c r="H109" s="11"/>
      <c r="I109" s="11" t="s">
        <v>31</v>
      </c>
      <c r="J109" s="11" t="s">
        <v>25</v>
      </c>
      <c r="K109" s="11"/>
      <c r="L109" s="22">
        <v>122.22</v>
      </c>
      <c r="M109" s="11"/>
      <c r="N109" s="11"/>
      <c r="O109" s="26">
        <v>44858</v>
      </c>
      <c r="P109" s="53">
        <v>5.2789999999999999</v>
      </c>
      <c r="Q109" s="25">
        <v>0.2</v>
      </c>
      <c r="R109" s="25"/>
      <c r="S109" s="25"/>
      <c r="T109" s="25"/>
      <c r="U109" s="22">
        <v>0.2427</v>
      </c>
      <c r="V109" s="22">
        <v>0.2487</v>
      </c>
      <c r="W109" s="22"/>
      <c r="X109" s="62">
        <f t="shared" si="2"/>
        <v>6.0000000000000053E-3</v>
      </c>
      <c r="Y109" s="48">
        <v>2.3948922680812501E-2</v>
      </c>
      <c r="Z109" s="60">
        <f t="shared" si="3"/>
        <v>0.19594929373926118</v>
      </c>
    </row>
    <row r="110" spans="1:26" x14ac:dyDescent="0.3">
      <c r="A110" s="43">
        <v>106</v>
      </c>
      <c r="B110" s="42" t="s">
        <v>143</v>
      </c>
      <c r="C110" s="12" t="s">
        <v>27</v>
      </c>
      <c r="D110" s="11" t="s">
        <v>26</v>
      </c>
      <c r="E110" s="11" t="s">
        <v>26</v>
      </c>
      <c r="F110" s="11"/>
      <c r="G110" s="11"/>
      <c r="H110" s="11"/>
      <c r="I110" s="11" t="s">
        <v>31</v>
      </c>
      <c r="J110" s="11" t="s">
        <v>25</v>
      </c>
      <c r="K110" s="11"/>
      <c r="L110" s="22">
        <v>121.52</v>
      </c>
      <c r="M110" s="11"/>
      <c r="N110" s="11"/>
      <c r="O110" s="26">
        <v>44858</v>
      </c>
      <c r="P110" s="53">
        <v>7.2069999999999999</v>
      </c>
      <c r="Q110" s="25">
        <v>0.2</v>
      </c>
      <c r="R110" s="25"/>
      <c r="S110" s="25"/>
      <c r="T110" s="25"/>
      <c r="U110" s="22">
        <v>0.23899999999999999</v>
      </c>
      <c r="V110" s="22">
        <v>0.24329999999999999</v>
      </c>
      <c r="W110" s="22"/>
      <c r="X110" s="62">
        <f t="shared" si="2"/>
        <v>4.2999999999999983E-3</v>
      </c>
      <c r="Y110" s="48">
        <v>2.273183850065625E-2</v>
      </c>
      <c r="Z110" s="60">
        <f t="shared" si="3"/>
        <v>0.18706252880724367</v>
      </c>
    </row>
    <row r="111" spans="1:26" x14ac:dyDescent="0.3">
      <c r="A111" s="43">
        <v>107</v>
      </c>
      <c r="B111" s="42" t="s">
        <v>134</v>
      </c>
      <c r="C111" s="12" t="s">
        <v>27</v>
      </c>
      <c r="D111" s="11" t="s">
        <v>26</v>
      </c>
      <c r="E111" s="11" t="s">
        <v>26</v>
      </c>
      <c r="F111" s="11"/>
      <c r="G111" s="11"/>
      <c r="H111" s="11"/>
      <c r="I111" s="11" t="s">
        <v>31</v>
      </c>
      <c r="J111" s="11" t="s">
        <v>25</v>
      </c>
      <c r="K111" s="11"/>
      <c r="L111" s="22">
        <v>122.46</v>
      </c>
      <c r="M111" s="11"/>
      <c r="N111" s="11"/>
      <c r="O111" s="26">
        <v>44858</v>
      </c>
      <c r="P111" s="53">
        <v>7.75</v>
      </c>
      <c r="Q111" s="25">
        <v>0.2</v>
      </c>
      <c r="R111" s="25"/>
      <c r="S111" s="25"/>
      <c r="T111" s="25"/>
      <c r="U111" s="22">
        <v>0.23760000000000001</v>
      </c>
      <c r="V111" s="22">
        <v>0.24049999999999999</v>
      </c>
      <c r="W111" s="22"/>
      <c r="X111" s="62">
        <f t="shared" si="2"/>
        <v>2.8999999999999859E-3</v>
      </c>
      <c r="Y111" s="48">
        <v>1.013772412221875E-2</v>
      </c>
      <c r="Z111" s="60">
        <f t="shared" si="3"/>
        <v>8.2783963108106734E-2</v>
      </c>
    </row>
    <row r="112" spans="1:26" x14ac:dyDescent="0.3">
      <c r="A112" s="43">
        <v>108</v>
      </c>
      <c r="B112" s="42" t="s">
        <v>158</v>
      </c>
      <c r="C112" s="12" t="s">
        <v>27</v>
      </c>
      <c r="D112" s="11" t="s">
        <v>26</v>
      </c>
      <c r="E112" s="11" t="s">
        <v>26</v>
      </c>
      <c r="F112" s="11"/>
      <c r="G112" s="11"/>
      <c r="H112" s="11"/>
      <c r="I112" s="11" t="s">
        <v>31</v>
      </c>
      <c r="J112" s="11" t="s">
        <v>25</v>
      </c>
      <c r="K112" s="11"/>
      <c r="L112" s="22">
        <v>121.35</v>
      </c>
      <c r="M112" s="11"/>
      <c r="N112" s="11"/>
      <c r="O112" s="26">
        <v>44858</v>
      </c>
      <c r="P112" s="53">
        <v>8.41</v>
      </c>
      <c r="Q112" s="25">
        <v>0.2</v>
      </c>
      <c r="R112" s="25"/>
      <c r="S112" s="25"/>
      <c r="T112" s="25"/>
      <c r="U112" s="22">
        <v>0.24160000000000001</v>
      </c>
      <c r="V112" s="22">
        <v>0.24279999999999999</v>
      </c>
      <c r="W112" s="22"/>
      <c r="X112" s="62">
        <f t="shared" si="2"/>
        <v>1.1999999999999789E-3</v>
      </c>
      <c r="Y112" s="48">
        <v>8.7409331805625001E-3</v>
      </c>
      <c r="Z112" s="60">
        <f t="shared" si="3"/>
        <v>7.2030763745879689E-2</v>
      </c>
    </row>
    <row r="113" spans="1:26" x14ac:dyDescent="0.3">
      <c r="A113" s="43">
        <v>109</v>
      </c>
      <c r="B113" s="42" t="s">
        <v>157</v>
      </c>
      <c r="C113" s="12" t="s">
        <v>27</v>
      </c>
      <c r="D113" s="11" t="s">
        <v>26</v>
      </c>
      <c r="E113" s="11" t="s">
        <v>26</v>
      </c>
      <c r="F113" s="11"/>
      <c r="G113" s="11"/>
      <c r="H113" s="11"/>
      <c r="I113" s="11" t="s">
        <v>31</v>
      </c>
      <c r="J113" s="11" t="s">
        <v>25</v>
      </c>
      <c r="K113" s="11"/>
      <c r="L113" s="22">
        <v>121.26</v>
      </c>
      <c r="M113" s="11"/>
      <c r="N113" s="11"/>
      <c r="O113" s="26">
        <v>44858</v>
      </c>
      <c r="P113" s="53">
        <v>8.1319999999999997</v>
      </c>
      <c r="Q113" s="25">
        <v>0.2</v>
      </c>
      <c r="R113" s="25"/>
      <c r="S113" s="25"/>
      <c r="T113" s="25"/>
      <c r="U113" s="22">
        <v>0.2414</v>
      </c>
      <c r="V113" s="22">
        <v>0.24129999999999999</v>
      </c>
      <c r="W113" s="22"/>
      <c r="X113" s="62">
        <f t="shared" si="2"/>
        <v>-1.0000000000001674E-4</v>
      </c>
      <c r="Y113" s="48">
        <v>8.2889007407187503E-3</v>
      </c>
      <c r="Z113" s="60">
        <f t="shared" si="3"/>
        <v>6.8356430320952913E-2</v>
      </c>
    </row>
    <row r="114" spans="1:26" x14ac:dyDescent="0.3">
      <c r="A114" s="43">
        <v>110</v>
      </c>
      <c r="B114" s="39" t="s">
        <v>154</v>
      </c>
      <c r="C114" s="12" t="s">
        <v>27</v>
      </c>
      <c r="D114" s="11" t="s">
        <v>26</v>
      </c>
      <c r="E114" s="11" t="s">
        <v>26</v>
      </c>
      <c r="F114" s="11"/>
      <c r="G114" s="11"/>
      <c r="H114" s="11"/>
      <c r="I114" s="11" t="s">
        <v>31</v>
      </c>
      <c r="J114" s="11" t="s">
        <v>25</v>
      </c>
      <c r="K114" s="11"/>
      <c r="L114" s="22">
        <v>119.95</v>
      </c>
      <c r="M114" s="11"/>
      <c r="N114" s="11"/>
      <c r="O114" s="26">
        <v>44858</v>
      </c>
      <c r="P114" s="53">
        <v>2.7050000000000001</v>
      </c>
      <c r="Q114" s="25">
        <v>0.2</v>
      </c>
      <c r="R114" s="26">
        <v>44980</v>
      </c>
      <c r="S114" s="27">
        <v>2.65</v>
      </c>
      <c r="T114" s="25">
        <v>0.2</v>
      </c>
      <c r="U114" s="22">
        <v>0.24360000000000001</v>
      </c>
      <c r="V114" s="22">
        <v>0.24260000000000001</v>
      </c>
      <c r="W114" s="22"/>
      <c r="X114" s="62">
        <f t="shared" si="2"/>
        <v>-1.0000000000000009E-3</v>
      </c>
      <c r="Y114" s="48">
        <v>6.7432665916093747E-3</v>
      </c>
      <c r="Z114" s="60">
        <f t="shared" si="3"/>
        <v>5.6217312143471233E-2</v>
      </c>
    </row>
    <row r="115" spans="1:26" x14ac:dyDescent="0.3">
      <c r="A115" s="43">
        <v>111</v>
      </c>
      <c r="B115" s="42" t="s">
        <v>133</v>
      </c>
      <c r="C115" s="12" t="s">
        <v>27</v>
      </c>
      <c r="D115" s="11" t="s">
        <v>26</v>
      </c>
      <c r="E115" s="11" t="s">
        <v>26</v>
      </c>
      <c r="F115" s="11"/>
      <c r="G115" s="11"/>
      <c r="H115" s="11"/>
      <c r="I115" s="11" t="s">
        <v>31</v>
      </c>
      <c r="J115" s="11" t="s">
        <v>25</v>
      </c>
      <c r="K115" s="11"/>
      <c r="L115" s="22">
        <v>122.53</v>
      </c>
      <c r="M115" s="11"/>
      <c r="N115" s="11"/>
      <c r="O115" s="26">
        <v>44858</v>
      </c>
      <c r="P115" s="53">
        <v>8.4209999999999994</v>
      </c>
      <c r="Q115" s="25">
        <v>0.2</v>
      </c>
      <c r="R115" s="25"/>
      <c r="S115" s="25"/>
      <c r="T115" s="25"/>
      <c r="U115" s="22">
        <v>0.2424</v>
      </c>
      <c r="V115" s="22">
        <v>0.2429</v>
      </c>
      <c r="W115" s="22"/>
      <c r="X115" s="62">
        <f t="shared" si="2"/>
        <v>5.0000000000000044E-4</v>
      </c>
      <c r="Y115" s="48">
        <v>6.7963075189999998E-3</v>
      </c>
      <c r="Z115" s="60">
        <f t="shared" si="3"/>
        <v>5.5466477752387167E-2</v>
      </c>
    </row>
    <row r="116" spans="1:26" x14ac:dyDescent="0.3">
      <c r="A116" s="43">
        <v>112</v>
      </c>
      <c r="B116" s="42" t="s">
        <v>153</v>
      </c>
      <c r="C116" s="12" t="s">
        <v>27</v>
      </c>
      <c r="D116" s="11" t="s">
        <v>26</v>
      </c>
      <c r="E116" s="11" t="s">
        <v>26</v>
      </c>
      <c r="F116" s="11"/>
      <c r="G116" s="11"/>
      <c r="H116" s="11"/>
      <c r="I116" s="11" t="s">
        <v>31</v>
      </c>
      <c r="J116" s="11" t="s">
        <v>25</v>
      </c>
      <c r="K116" s="11"/>
      <c r="L116" s="22">
        <v>121.54</v>
      </c>
      <c r="M116" s="11"/>
      <c r="N116" s="11"/>
      <c r="O116" s="26">
        <v>44858</v>
      </c>
      <c r="P116" s="53">
        <v>8.1829999999999998</v>
      </c>
      <c r="Q116" s="25">
        <v>0.2</v>
      </c>
      <c r="R116" s="25"/>
      <c r="S116" s="25"/>
      <c r="T116" s="25"/>
      <c r="U116" s="22">
        <v>0.23649999999999999</v>
      </c>
      <c r="V116" s="22">
        <v>0.23669999999999999</v>
      </c>
      <c r="W116" s="22"/>
      <c r="X116" s="62">
        <f t="shared" si="2"/>
        <v>2.0000000000000573E-4</v>
      </c>
      <c r="Y116" s="48">
        <v>7.1532598861171869E-3</v>
      </c>
      <c r="Z116" s="60">
        <f t="shared" si="3"/>
        <v>5.8855190769435461E-2</v>
      </c>
    </row>
    <row r="117" spans="1:26" x14ac:dyDescent="0.3">
      <c r="A117" s="43">
        <v>113</v>
      </c>
      <c r="B117" s="39" t="s">
        <v>152</v>
      </c>
      <c r="C117" s="12" t="s">
        <v>27</v>
      </c>
      <c r="D117" s="11" t="s">
        <v>26</v>
      </c>
      <c r="E117" s="11" t="s">
        <v>26</v>
      </c>
      <c r="F117" s="11"/>
      <c r="G117" s="11"/>
      <c r="H117" s="11"/>
      <c r="I117" s="11" t="s">
        <v>31</v>
      </c>
      <c r="J117" s="11" t="s">
        <v>25</v>
      </c>
      <c r="K117" s="11"/>
      <c r="L117" s="22">
        <v>118.38</v>
      </c>
      <c r="M117" s="11"/>
      <c r="N117" s="11"/>
      <c r="O117" s="26">
        <v>44858</v>
      </c>
      <c r="P117" s="53">
        <v>2.742</v>
      </c>
      <c r="Q117" s="25">
        <v>0.2</v>
      </c>
      <c r="R117" s="26">
        <v>44980</v>
      </c>
      <c r="S117" s="27">
        <v>2.6389999999999998</v>
      </c>
      <c r="T117" s="25">
        <v>0.2</v>
      </c>
      <c r="U117" s="22">
        <v>0.23619999999999999</v>
      </c>
      <c r="V117" s="22">
        <v>0.23630000000000001</v>
      </c>
      <c r="W117" s="22"/>
      <c r="X117" s="62">
        <f t="shared" si="2"/>
        <v>1.0000000000001674E-4</v>
      </c>
      <c r="Y117" s="48">
        <v>7.5252797158281252E-3</v>
      </c>
      <c r="Z117" s="60">
        <f t="shared" si="3"/>
        <v>6.3568843688360577E-2</v>
      </c>
    </row>
    <row r="118" spans="1:26" x14ac:dyDescent="0.3">
      <c r="A118" s="43">
        <v>114</v>
      </c>
      <c r="B118" s="42" t="s">
        <v>144</v>
      </c>
      <c r="C118" s="12" t="s">
        <v>27</v>
      </c>
      <c r="D118" s="11" t="s">
        <v>26</v>
      </c>
      <c r="E118" s="11" t="s">
        <v>26</v>
      </c>
      <c r="F118" s="11"/>
      <c r="G118" s="11"/>
      <c r="H118" s="11"/>
      <c r="I118" s="11" t="s">
        <v>31</v>
      </c>
      <c r="J118" s="11" t="s">
        <v>25</v>
      </c>
      <c r="K118" s="11"/>
      <c r="L118" s="22">
        <v>122.39</v>
      </c>
      <c r="M118" s="11"/>
      <c r="N118" s="11"/>
      <c r="O118" s="26">
        <v>44858</v>
      </c>
      <c r="P118" s="53">
        <v>8.0850000000000009</v>
      </c>
      <c r="Q118" s="25">
        <v>0.2</v>
      </c>
      <c r="R118" s="25"/>
      <c r="S118" s="25"/>
      <c r="T118" s="25"/>
      <c r="U118" s="22">
        <v>0.23980000000000001</v>
      </c>
      <c r="V118" s="22">
        <v>0.24049999999999999</v>
      </c>
      <c r="W118" s="22"/>
      <c r="X118" s="62">
        <f t="shared" si="2"/>
        <v>6.9999999999997842E-4</v>
      </c>
      <c r="Y118" s="48">
        <v>6.6723952341406247E-3</v>
      </c>
      <c r="Z118" s="60">
        <f t="shared" si="3"/>
        <v>5.4517487001720932E-2</v>
      </c>
    </row>
    <row r="119" spans="1:26" x14ac:dyDescent="0.3">
      <c r="A119" s="43">
        <v>115</v>
      </c>
      <c r="B119" s="42" t="s">
        <v>151</v>
      </c>
      <c r="C119" s="12" t="s">
        <v>27</v>
      </c>
      <c r="D119" s="11" t="s">
        <v>26</v>
      </c>
      <c r="E119" s="11" t="s">
        <v>26</v>
      </c>
      <c r="F119" s="11"/>
      <c r="G119" s="11"/>
      <c r="H119" s="11"/>
      <c r="I119" s="11" t="s">
        <v>31</v>
      </c>
      <c r="J119" s="11" t="s">
        <v>25</v>
      </c>
      <c r="K119" s="11"/>
      <c r="L119" s="22">
        <v>109.83</v>
      </c>
      <c r="M119" s="11"/>
      <c r="N119" s="11"/>
      <c r="O119" s="26">
        <v>44858</v>
      </c>
      <c r="P119" s="53">
        <v>2.6709999999999998</v>
      </c>
      <c r="Q119" s="25">
        <v>0.2</v>
      </c>
      <c r="R119" s="29"/>
      <c r="S119" s="29"/>
      <c r="T119" s="29"/>
      <c r="U119" s="30">
        <v>0.24690000000000001</v>
      </c>
      <c r="V119" s="30">
        <v>0.2465</v>
      </c>
      <c r="W119" s="30"/>
      <c r="X119" s="63">
        <f t="shared" si="2"/>
        <v>-4.0000000000001146E-4</v>
      </c>
      <c r="Y119" s="48">
        <v>6.0437734683749999E-3</v>
      </c>
      <c r="Z119" s="60">
        <f t="shared" si="3"/>
        <v>5.5028439118410273E-2</v>
      </c>
    </row>
    <row r="120" spans="1:26" x14ac:dyDescent="0.3">
      <c r="A120" s="43">
        <v>116</v>
      </c>
      <c r="B120" s="42" t="s">
        <v>138</v>
      </c>
      <c r="C120" s="12" t="s">
        <v>27</v>
      </c>
      <c r="D120" s="11" t="s">
        <v>26</v>
      </c>
      <c r="E120" s="11" t="s">
        <v>26</v>
      </c>
      <c r="F120" s="11"/>
      <c r="G120" s="11"/>
      <c r="H120" s="11"/>
      <c r="I120" s="11" t="s">
        <v>31</v>
      </c>
      <c r="J120" s="11" t="s">
        <v>25</v>
      </c>
      <c r="K120" s="11"/>
      <c r="L120" s="22">
        <v>109.47</v>
      </c>
      <c r="M120" s="11"/>
      <c r="N120" s="11"/>
      <c r="O120" s="26">
        <v>44858</v>
      </c>
      <c r="P120" s="53">
        <v>2.8439999999999999</v>
      </c>
      <c r="Q120" s="25">
        <v>0.2</v>
      </c>
      <c r="R120" s="17"/>
      <c r="S120" s="17"/>
      <c r="T120" s="17"/>
      <c r="U120" s="11">
        <v>0.23769999999999999</v>
      </c>
      <c r="V120" s="11">
        <v>0.23799999999999999</v>
      </c>
      <c r="W120" s="11"/>
      <c r="X120" s="64">
        <f t="shared" si="2"/>
        <v>2.9999999999999472E-4</v>
      </c>
      <c r="Y120" s="48">
        <v>7.3414640355312496E-3</v>
      </c>
      <c r="Z120" s="60">
        <f t="shared" si="3"/>
        <v>6.706370727625148E-2</v>
      </c>
    </row>
    <row r="121" spans="1:26" x14ac:dyDescent="0.3">
      <c r="A121" s="43">
        <v>117</v>
      </c>
      <c r="B121" s="42" t="s">
        <v>140</v>
      </c>
      <c r="C121" s="12" t="s">
        <v>27</v>
      </c>
      <c r="D121" s="11" t="s">
        <v>26</v>
      </c>
      <c r="E121" s="11" t="s">
        <v>26</v>
      </c>
      <c r="F121" s="11"/>
      <c r="G121" s="11"/>
      <c r="H121" s="11"/>
      <c r="I121" s="11" t="s">
        <v>31</v>
      </c>
      <c r="J121" s="11" t="s">
        <v>25</v>
      </c>
      <c r="K121" s="11"/>
      <c r="L121" s="22">
        <v>103.98</v>
      </c>
      <c r="M121" s="11"/>
      <c r="N121" s="11"/>
      <c r="O121" s="26">
        <v>44858</v>
      </c>
      <c r="P121" s="53">
        <v>2.5640000000000001</v>
      </c>
      <c r="Q121" s="25">
        <v>0.2</v>
      </c>
      <c r="R121" s="17"/>
      <c r="S121" s="17"/>
      <c r="T121" s="17"/>
      <c r="U121" s="11">
        <v>0.23580000000000001</v>
      </c>
      <c r="V121" s="11">
        <v>0.2361</v>
      </c>
      <c r="W121" s="11"/>
      <c r="X121" s="64">
        <f t="shared" si="2"/>
        <v>2.9999999999999472E-4</v>
      </c>
      <c r="Y121" s="48">
        <v>6.2701895351562498E-3</v>
      </c>
      <c r="Z121" s="60">
        <f t="shared" si="3"/>
        <v>6.0301880507369204E-2</v>
      </c>
    </row>
    <row r="122" spans="1:26" x14ac:dyDescent="0.3">
      <c r="A122" s="43">
        <v>118</v>
      </c>
      <c r="B122" s="42" t="s">
        <v>155</v>
      </c>
      <c r="C122" s="12" t="s">
        <v>27</v>
      </c>
      <c r="D122" s="11" t="s">
        <v>26</v>
      </c>
      <c r="E122" s="11" t="s">
        <v>26</v>
      </c>
      <c r="F122" s="11"/>
      <c r="G122" s="11"/>
      <c r="H122" s="11"/>
      <c r="I122" s="11" t="s">
        <v>31</v>
      </c>
      <c r="J122" s="11" t="s">
        <v>25</v>
      </c>
      <c r="K122" s="11"/>
      <c r="L122" s="22">
        <v>118.64</v>
      </c>
      <c r="M122" s="11"/>
      <c r="N122" s="11"/>
      <c r="O122" s="26">
        <v>44858</v>
      </c>
      <c r="P122" s="53">
        <v>2.5739999999999998</v>
      </c>
      <c r="Q122" s="25">
        <v>0.2</v>
      </c>
      <c r="R122" s="17"/>
      <c r="S122" s="17"/>
      <c r="T122" s="17"/>
      <c r="U122" s="11">
        <v>0.2387</v>
      </c>
      <c r="V122" s="11">
        <v>0.2379</v>
      </c>
      <c r="W122" s="11"/>
      <c r="X122" s="64">
        <f t="shared" si="2"/>
        <v>-7.9999999999999516E-4</v>
      </c>
      <c r="Y122" s="48">
        <v>5.4453546959453121E-3</v>
      </c>
      <c r="Z122" s="60">
        <f t="shared" si="3"/>
        <v>4.5898134659013087E-2</v>
      </c>
    </row>
    <row r="123" spans="1:26" x14ac:dyDescent="0.3">
      <c r="A123" s="43">
        <v>119</v>
      </c>
      <c r="B123" s="42" t="s">
        <v>149</v>
      </c>
      <c r="C123" s="12" t="s">
        <v>27</v>
      </c>
      <c r="D123" s="11" t="s">
        <v>26</v>
      </c>
      <c r="E123" s="11" t="s">
        <v>26</v>
      </c>
      <c r="F123" s="11"/>
      <c r="G123" s="11"/>
      <c r="H123" s="11"/>
      <c r="I123" s="11" t="s">
        <v>31</v>
      </c>
      <c r="J123" s="11" t="s">
        <v>25</v>
      </c>
      <c r="K123" s="11"/>
      <c r="L123" s="22">
        <v>113.88</v>
      </c>
      <c r="M123" s="11"/>
      <c r="N123" s="11"/>
      <c r="O123" s="26">
        <v>44858</v>
      </c>
      <c r="P123" s="53">
        <v>2.637</v>
      </c>
      <c r="Q123" s="25">
        <v>0.2</v>
      </c>
      <c r="R123" s="17"/>
      <c r="S123" s="17"/>
      <c r="T123" s="17"/>
      <c r="U123" s="11">
        <v>0.2389</v>
      </c>
      <c r="V123" s="11">
        <v>0.2394</v>
      </c>
      <c r="W123" s="11"/>
      <c r="X123" s="64">
        <f t="shared" si="2"/>
        <v>5.0000000000000044E-4</v>
      </c>
      <c r="Y123" s="48">
        <v>5.8086356884609371E-3</v>
      </c>
      <c r="Z123" s="60">
        <f t="shared" si="3"/>
        <v>5.1006635831234083E-2</v>
      </c>
    </row>
    <row r="124" spans="1:26" x14ac:dyDescent="0.3">
      <c r="A124" s="34">
        <v>120</v>
      </c>
      <c r="B124" s="36" t="s">
        <v>93</v>
      </c>
      <c r="C124" s="12" t="s">
        <v>27</v>
      </c>
      <c r="D124" s="11" t="s">
        <v>26</v>
      </c>
      <c r="E124" s="11" t="s">
        <v>26</v>
      </c>
      <c r="F124" s="11"/>
      <c r="G124" s="11"/>
      <c r="H124" s="11"/>
      <c r="I124" s="11" t="s">
        <v>31</v>
      </c>
      <c r="J124" s="11" t="s">
        <v>25</v>
      </c>
      <c r="K124" s="11"/>
      <c r="L124" s="22">
        <v>121.65</v>
      </c>
      <c r="M124" s="11"/>
      <c r="N124" s="11"/>
      <c r="O124" s="26">
        <v>44858</v>
      </c>
      <c r="P124" s="53">
        <v>1.538</v>
      </c>
      <c r="Q124" s="25">
        <v>0.2</v>
      </c>
      <c r="R124" s="17"/>
      <c r="S124" s="17"/>
      <c r="T124" s="17"/>
      <c r="U124" s="11">
        <v>0.23630000000000001</v>
      </c>
      <c r="V124" s="11">
        <v>0.23730000000000001</v>
      </c>
      <c r="W124" s="11"/>
      <c r="X124" s="64">
        <f t="shared" si="2"/>
        <v>1.0000000000000009E-3</v>
      </c>
      <c r="Y124" s="22"/>
      <c r="Z124" s="60">
        <f t="shared" si="3"/>
        <v>0</v>
      </c>
    </row>
    <row r="125" spans="1:26" x14ac:dyDescent="0.3">
      <c r="A125" s="34">
        <v>121</v>
      </c>
      <c r="B125" s="36" t="s">
        <v>94</v>
      </c>
      <c r="C125" s="12" t="s">
        <v>27</v>
      </c>
      <c r="D125" s="11" t="s">
        <v>26</v>
      </c>
      <c r="E125" s="11" t="s">
        <v>26</v>
      </c>
      <c r="F125" s="11"/>
      <c r="G125" s="11"/>
      <c r="H125" s="11"/>
      <c r="I125" s="11" t="s">
        <v>31</v>
      </c>
      <c r="J125" s="11" t="s">
        <v>25</v>
      </c>
      <c r="K125" s="11"/>
      <c r="L125" s="24">
        <v>119.13</v>
      </c>
      <c r="M125" s="11"/>
      <c r="N125" s="11"/>
      <c r="O125" s="26">
        <v>44858</v>
      </c>
      <c r="P125" s="53">
        <v>1.482</v>
      </c>
      <c r="Q125" s="25">
        <v>0.2</v>
      </c>
      <c r="R125" s="17"/>
      <c r="S125" s="17"/>
      <c r="T125" s="17"/>
      <c r="U125" s="11">
        <v>0.23960000000000001</v>
      </c>
      <c r="V125" s="11">
        <v>0.2404</v>
      </c>
      <c r="W125" s="11"/>
      <c r="X125" s="64">
        <f t="shared" si="2"/>
        <v>7.9999999999999516E-4</v>
      </c>
      <c r="Y125" s="22"/>
      <c r="Z125" s="60">
        <f t="shared" si="3"/>
        <v>0</v>
      </c>
    </row>
    <row r="126" spans="1:26" x14ac:dyDescent="0.3">
      <c r="A126" s="34">
        <v>122</v>
      </c>
      <c r="B126" s="36" t="s">
        <v>141</v>
      </c>
      <c r="C126" s="12" t="s">
        <v>27</v>
      </c>
      <c r="D126" s="11" t="s">
        <v>26</v>
      </c>
      <c r="E126" s="11" t="s">
        <v>26</v>
      </c>
      <c r="F126" s="11"/>
      <c r="G126" s="11"/>
      <c r="H126" s="11"/>
      <c r="I126" s="11" t="s">
        <v>31</v>
      </c>
      <c r="J126" s="11" t="s">
        <v>25</v>
      </c>
      <c r="K126" s="11"/>
      <c r="L126" s="22">
        <v>121.37</v>
      </c>
      <c r="M126" s="11"/>
      <c r="N126" s="11"/>
      <c r="O126" s="26">
        <v>44858</v>
      </c>
      <c r="P126" s="53">
        <v>3.1560000000000001</v>
      </c>
      <c r="Q126" s="25">
        <v>0.2</v>
      </c>
      <c r="R126" s="17"/>
      <c r="S126" s="17"/>
      <c r="T126" s="17"/>
      <c r="U126" s="11">
        <v>0.2329</v>
      </c>
      <c r="V126" s="11">
        <v>0.2331</v>
      </c>
      <c r="W126" s="11"/>
      <c r="X126" s="64">
        <f t="shared" si="2"/>
        <v>2.0000000000000573E-4</v>
      </c>
      <c r="Y126" s="22"/>
      <c r="Z126" s="60">
        <f t="shared" si="3"/>
        <v>0</v>
      </c>
    </row>
    <row r="127" spans="1:26" x14ac:dyDescent="0.3">
      <c r="A127" s="34">
        <v>123</v>
      </c>
      <c r="B127" s="36" t="s">
        <v>146</v>
      </c>
      <c r="C127" s="12" t="s">
        <v>27</v>
      </c>
      <c r="D127" s="11" t="s">
        <v>26</v>
      </c>
      <c r="E127" s="11" t="s">
        <v>26</v>
      </c>
      <c r="F127" s="11"/>
      <c r="G127" s="11"/>
      <c r="H127" s="11"/>
      <c r="I127" s="11" t="s">
        <v>31</v>
      </c>
      <c r="J127" s="11" t="s">
        <v>25</v>
      </c>
      <c r="K127" s="11"/>
      <c r="L127" s="22">
        <v>121.07</v>
      </c>
      <c r="M127" s="11"/>
      <c r="N127" s="11"/>
      <c r="O127" s="26">
        <v>44858</v>
      </c>
      <c r="P127" s="53">
        <v>2.3130000000000002</v>
      </c>
      <c r="Q127" s="25">
        <v>0.2</v>
      </c>
      <c r="R127" s="17"/>
      <c r="S127" s="17"/>
      <c r="T127" s="17"/>
      <c r="U127" s="11">
        <v>0.24099999999999999</v>
      </c>
      <c r="V127" s="11">
        <v>0.24110000000000001</v>
      </c>
      <c r="W127" s="11"/>
      <c r="X127" s="64">
        <f t="shared" si="2"/>
        <v>1.0000000000001674E-4</v>
      </c>
      <c r="Y127" s="22"/>
      <c r="Z127" s="60">
        <f t="shared" si="3"/>
        <v>0</v>
      </c>
    </row>
    <row r="128" spans="1:26" x14ac:dyDescent="0.3">
      <c r="A128" s="34">
        <v>124</v>
      </c>
      <c r="B128" s="36" t="s">
        <v>96</v>
      </c>
      <c r="C128" s="12" t="s">
        <v>27</v>
      </c>
      <c r="D128" s="11" t="s">
        <v>26</v>
      </c>
      <c r="E128" s="11" t="s">
        <v>26</v>
      </c>
      <c r="F128" s="11"/>
      <c r="G128" s="11"/>
      <c r="H128" s="11"/>
      <c r="I128" s="11" t="s">
        <v>31</v>
      </c>
      <c r="J128" s="11" t="s">
        <v>25</v>
      </c>
      <c r="K128" s="11"/>
      <c r="L128" s="22">
        <v>120.77</v>
      </c>
      <c r="M128" s="11"/>
      <c r="N128" s="11"/>
      <c r="O128" s="26">
        <v>44858</v>
      </c>
      <c r="P128" s="53">
        <v>1.758</v>
      </c>
      <c r="Q128" s="25">
        <v>0.2</v>
      </c>
      <c r="R128" s="17"/>
      <c r="S128" s="17"/>
      <c r="T128" s="17"/>
      <c r="U128" s="11">
        <v>0.23830000000000001</v>
      </c>
      <c r="V128" s="11">
        <v>0.23899999999999999</v>
      </c>
      <c r="W128" s="11"/>
      <c r="X128" s="64">
        <f t="shared" si="2"/>
        <v>6.9999999999997842E-4</v>
      </c>
      <c r="Y128" s="22"/>
      <c r="Z128" s="60">
        <f t="shared" si="3"/>
        <v>0</v>
      </c>
    </row>
    <row r="129" spans="1:26" x14ac:dyDescent="0.3">
      <c r="A129" s="34">
        <v>125</v>
      </c>
      <c r="B129" s="36" t="s">
        <v>160</v>
      </c>
      <c r="C129" s="12" t="s">
        <v>27</v>
      </c>
      <c r="D129" s="11" t="s">
        <v>26</v>
      </c>
      <c r="E129" s="11" t="s">
        <v>26</v>
      </c>
      <c r="F129" s="11"/>
      <c r="G129" s="11"/>
      <c r="H129" s="11"/>
      <c r="I129" s="11" t="s">
        <v>31</v>
      </c>
      <c r="J129" s="11" t="s">
        <v>25</v>
      </c>
      <c r="K129" s="11"/>
      <c r="L129" s="22">
        <v>104.74</v>
      </c>
      <c r="M129" s="11"/>
      <c r="N129" s="11"/>
      <c r="O129" s="26">
        <v>44858</v>
      </c>
      <c r="P129" s="53">
        <v>3.2109999999999999</v>
      </c>
      <c r="Q129" s="25">
        <v>0.2</v>
      </c>
      <c r="R129" s="26">
        <v>45131</v>
      </c>
      <c r="S129" s="35">
        <v>3.9529999999999998</v>
      </c>
      <c r="T129" s="17"/>
      <c r="U129" s="11">
        <v>0.2334</v>
      </c>
      <c r="V129" s="11">
        <v>0.23330000000000001</v>
      </c>
      <c r="W129" s="11"/>
      <c r="X129" s="64">
        <f t="shared" si="2"/>
        <v>-9.9999999999988987E-5</v>
      </c>
      <c r="Y129" s="22"/>
      <c r="Z129" s="60">
        <f t="shared" si="3"/>
        <v>0</v>
      </c>
    </row>
    <row r="130" spans="1:26" x14ac:dyDescent="0.3">
      <c r="A130" s="34">
        <v>126</v>
      </c>
      <c r="B130" s="36" t="s">
        <v>150</v>
      </c>
      <c r="C130" s="12" t="s">
        <v>27</v>
      </c>
      <c r="D130" s="11" t="s">
        <v>26</v>
      </c>
      <c r="E130" s="11" t="s">
        <v>26</v>
      </c>
      <c r="F130" s="11"/>
      <c r="G130" s="11"/>
      <c r="H130" s="11"/>
      <c r="I130" s="11" t="s">
        <v>31</v>
      </c>
      <c r="J130" s="11" t="s">
        <v>25</v>
      </c>
      <c r="K130" s="11"/>
      <c r="L130" s="22">
        <v>119.31</v>
      </c>
      <c r="M130" s="11"/>
      <c r="N130" s="11"/>
      <c r="O130" s="26">
        <v>45131</v>
      </c>
      <c r="P130" s="53">
        <v>3.294</v>
      </c>
      <c r="Q130" s="25">
        <v>0.2</v>
      </c>
      <c r="R130" s="11"/>
      <c r="S130" s="11"/>
      <c r="T130" s="11"/>
      <c r="U130" s="11">
        <v>0.2397</v>
      </c>
      <c r="V130" s="11">
        <v>0.24030000000000001</v>
      </c>
      <c r="W130" s="11"/>
      <c r="X130" s="64">
        <f t="shared" si="2"/>
        <v>6.0000000000001719E-4</v>
      </c>
      <c r="Y130" s="22"/>
      <c r="Z130" s="60">
        <f t="shared" si="3"/>
        <v>0</v>
      </c>
    </row>
    <row r="131" spans="1:26" x14ac:dyDescent="0.3">
      <c r="A131" s="34">
        <v>127</v>
      </c>
      <c r="B131" s="36" t="s">
        <v>147</v>
      </c>
      <c r="C131" s="12" t="s">
        <v>27</v>
      </c>
      <c r="D131" s="11" t="s">
        <v>26</v>
      </c>
      <c r="E131" s="11" t="s">
        <v>26</v>
      </c>
      <c r="F131" s="11"/>
      <c r="G131" s="11"/>
      <c r="H131" s="11"/>
      <c r="I131" s="11" t="s">
        <v>31</v>
      </c>
      <c r="J131" s="11" t="s">
        <v>25</v>
      </c>
      <c r="K131" s="11"/>
      <c r="L131" s="22">
        <v>120.11</v>
      </c>
      <c r="M131" s="11"/>
      <c r="N131" s="11"/>
      <c r="O131" s="26">
        <v>45131</v>
      </c>
      <c r="P131" s="55">
        <v>3.6389999999999998</v>
      </c>
      <c r="Q131" s="25">
        <v>0.2</v>
      </c>
      <c r="R131" s="11"/>
      <c r="S131" s="11"/>
      <c r="T131" s="11"/>
      <c r="U131" s="11">
        <v>0.23680000000000001</v>
      </c>
      <c r="V131" s="11">
        <v>0.23749999999999999</v>
      </c>
      <c r="W131" s="11"/>
      <c r="X131" s="64">
        <f t="shared" si="2"/>
        <v>6.9999999999997842E-4</v>
      </c>
      <c r="Y131" s="22"/>
      <c r="Z131" s="60">
        <f t="shared" si="3"/>
        <v>0</v>
      </c>
    </row>
    <row r="132" spans="1:26" x14ac:dyDescent="0.3">
      <c r="A132" s="34">
        <v>128</v>
      </c>
      <c r="B132" s="36" t="s">
        <v>135</v>
      </c>
      <c r="C132" s="12" t="s">
        <v>27</v>
      </c>
      <c r="D132" s="11" t="s">
        <v>26</v>
      </c>
      <c r="E132" s="11" t="s">
        <v>26</v>
      </c>
      <c r="F132" s="11"/>
      <c r="G132" s="11"/>
      <c r="H132" s="11"/>
      <c r="I132" s="11" t="s">
        <v>31</v>
      </c>
      <c r="J132" s="11" t="s">
        <v>25</v>
      </c>
      <c r="K132" s="11"/>
      <c r="L132" s="22">
        <v>107.41</v>
      </c>
      <c r="M132" s="11"/>
      <c r="N132" s="11"/>
      <c r="O132" s="26">
        <v>45131</v>
      </c>
      <c r="P132" s="55">
        <v>3.6909999999999998</v>
      </c>
      <c r="Q132" s="25">
        <v>0.2</v>
      </c>
      <c r="R132" s="11"/>
      <c r="S132" s="11"/>
      <c r="T132" s="11"/>
      <c r="U132" s="11">
        <v>0.23749999999999999</v>
      </c>
      <c r="V132" s="11">
        <v>0.23749999999999999</v>
      </c>
      <c r="W132" s="11"/>
      <c r="X132" s="64">
        <f t="shared" si="2"/>
        <v>0</v>
      </c>
      <c r="Y132" s="22"/>
      <c r="Z132" s="60">
        <f t="shared" si="3"/>
        <v>0</v>
      </c>
    </row>
    <row r="133" spans="1:26" x14ac:dyDescent="0.3">
      <c r="A133" s="34">
        <v>129</v>
      </c>
      <c r="B133" s="36" t="s">
        <v>88</v>
      </c>
      <c r="C133" s="12" t="s">
        <v>27</v>
      </c>
      <c r="D133" s="11" t="s">
        <v>26</v>
      </c>
      <c r="E133" s="11" t="s">
        <v>26</v>
      </c>
      <c r="F133" s="11"/>
      <c r="G133" s="11"/>
      <c r="H133" s="11"/>
      <c r="I133" s="11" t="s">
        <v>31</v>
      </c>
      <c r="J133" s="11" t="s">
        <v>25</v>
      </c>
      <c r="K133" s="11"/>
      <c r="L133" s="22">
        <v>119.19</v>
      </c>
      <c r="M133" s="11"/>
      <c r="N133" s="11"/>
      <c r="O133" s="26">
        <v>45131</v>
      </c>
      <c r="P133" s="55">
        <v>2.238</v>
      </c>
      <c r="Q133" s="25">
        <v>0.2</v>
      </c>
      <c r="R133" s="11"/>
      <c r="S133" s="11"/>
      <c r="T133" s="11"/>
      <c r="U133" s="11">
        <v>0.2397</v>
      </c>
      <c r="V133" s="11">
        <v>0.2409</v>
      </c>
      <c r="W133" s="11"/>
      <c r="X133" s="64">
        <f t="shared" si="2"/>
        <v>1.2000000000000066E-3</v>
      </c>
      <c r="Y133" s="22"/>
      <c r="Z133" s="60">
        <f t="shared" si="3"/>
        <v>0</v>
      </c>
    </row>
    <row r="134" spans="1:26" x14ac:dyDescent="0.3">
      <c r="A134" s="34">
        <v>130</v>
      </c>
      <c r="B134" s="36" t="s">
        <v>103</v>
      </c>
      <c r="C134" s="12" t="s">
        <v>27</v>
      </c>
      <c r="D134" s="11" t="s">
        <v>26</v>
      </c>
      <c r="E134" s="11" t="s">
        <v>26</v>
      </c>
      <c r="F134" s="11"/>
      <c r="G134" s="11"/>
      <c r="H134" s="11"/>
      <c r="I134" s="11" t="s">
        <v>31</v>
      </c>
      <c r="J134" s="11" t="s">
        <v>25</v>
      </c>
      <c r="K134" s="11"/>
      <c r="L134" s="22">
        <v>14.61</v>
      </c>
      <c r="M134" s="11"/>
      <c r="N134" s="11"/>
      <c r="O134" s="26">
        <v>45131</v>
      </c>
      <c r="P134" s="55">
        <v>7.4390000000000001</v>
      </c>
      <c r="Q134" s="25">
        <v>0.2</v>
      </c>
      <c r="R134" s="11"/>
      <c r="S134" s="11"/>
      <c r="T134" s="11"/>
      <c r="U134" s="11">
        <v>0.2382</v>
      </c>
      <c r="V134" s="11">
        <v>0.31419999999999998</v>
      </c>
      <c r="W134" s="11"/>
      <c r="X134" s="64">
        <f t="shared" ref="X134:X224" si="4">V134-U134</f>
        <v>7.5999999999999984E-2</v>
      </c>
      <c r="Y134" s="22"/>
      <c r="Z134" s="60">
        <f t="shared" ref="Z134:Z197" si="5">Y134/(L134/1000)</f>
        <v>0</v>
      </c>
    </row>
    <row r="135" spans="1:26" x14ac:dyDescent="0.3">
      <c r="A135" s="34">
        <v>131</v>
      </c>
      <c r="B135" s="36" t="s">
        <v>180</v>
      </c>
      <c r="C135" s="12" t="s">
        <v>27</v>
      </c>
      <c r="D135" s="11" t="s">
        <v>26</v>
      </c>
      <c r="E135" s="11" t="s">
        <v>26</v>
      </c>
      <c r="F135" s="11"/>
      <c r="G135" s="11"/>
      <c r="H135" s="11"/>
      <c r="I135" s="11" t="s">
        <v>31</v>
      </c>
      <c r="J135" s="11" t="s">
        <v>25</v>
      </c>
      <c r="K135" s="11"/>
      <c r="L135" s="22">
        <v>23.36</v>
      </c>
      <c r="M135" s="11"/>
      <c r="N135" s="11"/>
      <c r="O135" s="26">
        <v>45131</v>
      </c>
      <c r="P135" s="55">
        <v>8.3979999999999997</v>
      </c>
      <c r="Q135" s="25">
        <v>0.2</v>
      </c>
      <c r="R135" s="11"/>
      <c r="S135" s="11"/>
      <c r="T135" s="11"/>
      <c r="U135" s="11">
        <v>0.2379</v>
      </c>
      <c r="V135" s="11">
        <v>0.26569999999999999</v>
      </c>
      <c r="W135" s="11"/>
      <c r="X135" s="64">
        <f t="shared" si="4"/>
        <v>2.7799999999999991E-2</v>
      </c>
      <c r="Y135" s="22"/>
      <c r="Z135" s="60">
        <f t="shared" si="5"/>
        <v>0</v>
      </c>
    </row>
    <row r="136" spans="1:26" x14ac:dyDescent="0.3">
      <c r="A136" s="34">
        <v>132</v>
      </c>
      <c r="B136" s="36" t="s">
        <v>181</v>
      </c>
      <c r="C136" s="12" t="s">
        <v>27</v>
      </c>
      <c r="D136" s="11" t="s">
        <v>26</v>
      </c>
      <c r="E136" s="11" t="s">
        <v>26</v>
      </c>
      <c r="F136" s="11"/>
      <c r="G136" s="11"/>
      <c r="H136" s="11"/>
      <c r="I136" s="11" t="s">
        <v>31</v>
      </c>
      <c r="J136" s="11" t="s">
        <v>25</v>
      </c>
      <c r="K136" s="11"/>
      <c r="L136" s="22">
        <v>24.09</v>
      </c>
      <c r="M136" s="11"/>
      <c r="N136" s="11"/>
      <c r="O136" s="26">
        <v>45131</v>
      </c>
      <c r="P136" s="55">
        <v>5.024</v>
      </c>
      <c r="Q136" s="25">
        <v>0.2</v>
      </c>
      <c r="R136" s="11"/>
      <c r="S136" s="11"/>
      <c r="T136" s="11"/>
      <c r="U136" s="11">
        <v>0.2374</v>
      </c>
      <c r="V136" s="11">
        <v>0.3175</v>
      </c>
      <c r="W136" s="11"/>
      <c r="X136" s="64">
        <f t="shared" si="4"/>
        <v>8.0100000000000005E-2</v>
      </c>
      <c r="Y136" s="22"/>
      <c r="Z136" s="60">
        <f t="shared" si="5"/>
        <v>0</v>
      </c>
    </row>
    <row r="137" spans="1:26" x14ac:dyDescent="0.3">
      <c r="A137" s="34">
        <v>133</v>
      </c>
      <c r="B137" s="36" t="s">
        <v>182</v>
      </c>
      <c r="C137" s="12" t="s">
        <v>27</v>
      </c>
      <c r="D137" s="11" t="s">
        <v>26</v>
      </c>
      <c r="E137" s="11" t="s">
        <v>26</v>
      </c>
      <c r="F137" s="11"/>
      <c r="G137" s="11"/>
      <c r="H137" s="11"/>
      <c r="I137" s="11" t="s">
        <v>31</v>
      </c>
      <c r="J137" s="11" t="s">
        <v>25</v>
      </c>
      <c r="K137" s="11"/>
      <c r="L137" s="22">
        <v>22.1</v>
      </c>
      <c r="M137" s="11"/>
      <c r="N137" s="11"/>
      <c r="O137" s="26">
        <v>45131</v>
      </c>
      <c r="P137" s="55">
        <v>5.3289999999999997</v>
      </c>
      <c r="Q137" s="25">
        <v>0.2</v>
      </c>
      <c r="R137" s="11"/>
      <c r="S137" s="11"/>
      <c r="T137" s="11"/>
      <c r="U137" s="11">
        <v>0.23849999999999999</v>
      </c>
      <c r="V137" s="11">
        <v>0.29289999999999999</v>
      </c>
      <c r="W137" s="11"/>
      <c r="X137" s="64">
        <f t="shared" si="4"/>
        <v>5.4400000000000004E-2</v>
      </c>
      <c r="Y137" s="22"/>
      <c r="Z137" s="60">
        <f t="shared" si="5"/>
        <v>0</v>
      </c>
    </row>
    <row r="138" spans="1:26" x14ac:dyDescent="0.3">
      <c r="A138" s="34">
        <v>134</v>
      </c>
      <c r="B138" s="36" t="s">
        <v>100</v>
      </c>
      <c r="C138" s="12" t="s">
        <v>27</v>
      </c>
      <c r="D138" s="11" t="s">
        <v>26</v>
      </c>
      <c r="E138" s="11" t="s">
        <v>26</v>
      </c>
      <c r="F138" s="11"/>
      <c r="G138" s="11"/>
      <c r="H138" s="11"/>
      <c r="I138" s="11" t="s">
        <v>31</v>
      </c>
      <c r="J138" s="11" t="s">
        <v>25</v>
      </c>
      <c r="K138" s="11"/>
      <c r="L138" s="22">
        <v>38.14</v>
      </c>
      <c r="M138" s="11"/>
      <c r="N138" s="11"/>
      <c r="O138" s="26">
        <v>45131</v>
      </c>
      <c r="P138" s="55">
        <v>3.423</v>
      </c>
      <c r="Q138" s="25">
        <v>0.2</v>
      </c>
      <c r="R138" s="11"/>
      <c r="S138" s="11"/>
      <c r="T138" s="11"/>
      <c r="U138" s="11">
        <v>0.2452</v>
      </c>
      <c r="V138" s="11">
        <v>0.33119999999999999</v>
      </c>
      <c r="W138" s="11"/>
      <c r="X138" s="64">
        <f t="shared" si="4"/>
        <v>8.5999999999999993E-2</v>
      </c>
      <c r="Y138" s="22"/>
      <c r="Z138" s="60">
        <f t="shared" si="5"/>
        <v>0</v>
      </c>
    </row>
    <row r="139" spans="1:26" x14ac:dyDescent="0.3">
      <c r="A139" s="34">
        <v>135</v>
      </c>
      <c r="B139" s="36" t="s">
        <v>183</v>
      </c>
      <c r="C139" s="12" t="s">
        <v>27</v>
      </c>
      <c r="D139" s="11" t="s">
        <v>26</v>
      </c>
      <c r="E139" s="11" t="s">
        <v>26</v>
      </c>
      <c r="F139" s="11"/>
      <c r="G139" s="11"/>
      <c r="H139" s="11"/>
      <c r="I139" s="11" t="s">
        <v>31</v>
      </c>
      <c r="J139" s="11" t="s">
        <v>25</v>
      </c>
      <c r="K139" s="11"/>
      <c r="L139" s="22">
        <v>31.35</v>
      </c>
      <c r="M139" s="11"/>
      <c r="N139" s="11"/>
      <c r="O139" s="26">
        <v>45131</v>
      </c>
      <c r="P139" s="55">
        <v>3.8860000000000001</v>
      </c>
      <c r="Q139" s="25">
        <v>0.2</v>
      </c>
      <c r="R139" s="11"/>
      <c r="S139" s="11"/>
      <c r="T139" s="11"/>
      <c r="U139" s="11">
        <v>0.23769999999999999</v>
      </c>
      <c r="V139" s="11">
        <v>0.33439999999999998</v>
      </c>
      <c r="W139" s="11"/>
      <c r="X139" s="64">
        <f t="shared" si="4"/>
        <v>9.669999999999998E-2</v>
      </c>
      <c r="Y139" s="22"/>
      <c r="Z139" s="60">
        <f t="shared" si="5"/>
        <v>0</v>
      </c>
    </row>
    <row r="140" spans="1:26" x14ac:dyDescent="0.3">
      <c r="A140" s="34">
        <v>136</v>
      </c>
      <c r="B140" s="36" t="s">
        <v>99</v>
      </c>
      <c r="C140" s="12" t="s">
        <v>27</v>
      </c>
      <c r="D140" s="11" t="s">
        <v>26</v>
      </c>
      <c r="E140" s="11" t="s">
        <v>26</v>
      </c>
      <c r="F140" s="11"/>
      <c r="G140" s="11"/>
      <c r="H140" s="11"/>
      <c r="I140" s="11" t="s">
        <v>31</v>
      </c>
      <c r="J140" s="11" t="s">
        <v>25</v>
      </c>
      <c r="K140" s="11"/>
      <c r="L140" s="22">
        <v>30.83</v>
      </c>
      <c r="M140" s="11"/>
      <c r="N140" s="11"/>
      <c r="O140" s="26">
        <v>45131</v>
      </c>
      <c r="P140" s="55">
        <v>3.8559999999999999</v>
      </c>
      <c r="Q140" s="25">
        <v>0.2</v>
      </c>
      <c r="R140" s="11"/>
      <c r="S140" s="11"/>
      <c r="T140" s="11"/>
      <c r="U140" s="11">
        <v>0.2399</v>
      </c>
      <c r="V140" s="11">
        <v>0.36720000000000003</v>
      </c>
      <c r="W140" s="11"/>
      <c r="X140" s="64">
        <f t="shared" si="4"/>
        <v>0.12730000000000002</v>
      </c>
      <c r="Y140" s="22"/>
      <c r="Z140" s="60">
        <f t="shared" si="5"/>
        <v>0</v>
      </c>
    </row>
    <row r="141" spans="1:26" x14ac:dyDescent="0.3">
      <c r="A141" s="34">
        <v>137</v>
      </c>
      <c r="B141" s="36" t="s">
        <v>184</v>
      </c>
      <c r="C141" s="12" t="s">
        <v>27</v>
      </c>
      <c r="D141" s="11" t="s">
        <v>26</v>
      </c>
      <c r="E141" s="11" t="s">
        <v>26</v>
      </c>
      <c r="F141" s="11"/>
      <c r="G141" s="11"/>
      <c r="H141" s="11"/>
      <c r="I141" s="11" t="s">
        <v>31</v>
      </c>
      <c r="J141" s="11" t="s">
        <v>25</v>
      </c>
      <c r="K141" s="11"/>
      <c r="L141" s="22">
        <v>117.65</v>
      </c>
      <c r="M141" s="11"/>
      <c r="N141" s="11"/>
      <c r="O141" s="26">
        <v>45131</v>
      </c>
      <c r="P141" s="55">
        <v>3.1960000000000002</v>
      </c>
      <c r="Q141" s="25">
        <v>0.2</v>
      </c>
      <c r="R141" s="11"/>
      <c r="S141" s="11"/>
      <c r="T141" s="11"/>
      <c r="U141" s="11">
        <v>0.23880000000000001</v>
      </c>
      <c r="V141" s="11">
        <v>0.38240000000000002</v>
      </c>
      <c r="W141" s="11"/>
      <c r="X141" s="64">
        <f t="shared" si="4"/>
        <v>0.14360000000000001</v>
      </c>
      <c r="Y141" s="22"/>
      <c r="Z141" s="60">
        <f t="shared" si="5"/>
        <v>0</v>
      </c>
    </row>
    <row r="142" spans="1:26" x14ac:dyDescent="0.3">
      <c r="A142" s="34">
        <v>138</v>
      </c>
      <c r="B142" s="36" t="s">
        <v>185</v>
      </c>
      <c r="C142" s="12" t="s">
        <v>27</v>
      </c>
      <c r="D142" s="11" t="s">
        <v>26</v>
      </c>
      <c r="E142" s="11" t="s">
        <v>26</v>
      </c>
      <c r="F142" s="11"/>
      <c r="G142" s="11"/>
      <c r="H142" s="11"/>
      <c r="I142" s="11" t="s">
        <v>31</v>
      </c>
      <c r="J142" s="11" t="s">
        <v>25</v>
      </c>
      <c r="K142" s="11"/>
      <c r="L142" s="22">
        <v>101.48</v>
      </c>
      <c r="M142" s="11"/>
      <c r="N142" s="11"/>
      <c r="O142" s="26">
        <v>45131</v>
      </c>
      <c r="P142" s="56">
        <v>3.12</v>
      </c>
      <c r="Q142" s="25">
        <v>0.2</v>
      </c>
      <c r="R142" s="11"/>
      <c r="S142" s="11"/>
      <c r="T142" s="11"/>
      <c r="U142" s="11">
        <v>0.23960000000000001</v>
      </c>
      <c r="V142" s="11">
        <v>0.29289999999999999</v>
      </c>
      <c r="W142" s="11"/>
      <c r="X142" s="64">
        <f t="shared" si="4"/>
        <v>5.3299999999999986E-2</v>
      </c>
      <c r="Y142" s="22"/>
      <c r="Z142" s="60">
        <f t="shared" si="5"/>
        <v>0</v>
      </c>
    </row>
    <row r="143" spans="1:26" x14ac:dyDescent="0.3">
      <c r="A143" s="34">
        <v>139</v>
      </c>
      <c r="B143" s="36" t="s">
        <v>186</v>
      </c>
      <c r="C143" s="12" t="s">
        <v>27</v>
      </c>
      <c r="D143" s="11" t="s">
        <v>26</v>
      </c>
      <c r="E143" s="11" t="s">
        <v>26</v>
      </c>
      <c r="F143" s="11"/>
      <c r="G143" s="11"/>
      <c r="H143" s="11"/>
      <c r="I143" s="11" t="s">
        <v>31</v>
      </c>
      <c r="J143" s="11" t="s">
        <v>25</v>
      </c>
      <c r="K143" s="11"/>
      <c r="L143" s="22">
        <v>16.829999999999998</v>
      </c>
      <c r="M143" s="11"/>
      <c r="N143" s="11"/>
      <c r="O143" s="26">
        <v>45131</v>
      </c>
      <c r="P143" s="55">
        <v>6.44</v>
      </c>
      <c r="Q143" s="25">
        <v>0.2</v>
      </c>
      <c r="R143" s="11"/>
      <c r="S143" s="11"/>
      <c r="T143" s="11"/>
      <c r="U143" s="11">
        <v>0.2364</v>
      </c>
      <c r="V143" s="11">
        <v>0.35339999999999999</v>
      </c>
      <c r="W143" s="11"/>
      <c r="X143" s="64">
        <f t="shared" si="4"/>
        <v>0.11699999999999999</v>
      </c>
      <c r="Y143" s="22"/>
      <c r="Z143" s="60">
        <f t="shared" si="5"/>
        <v>0</v>
      </c>
    </row>
    <row r="144" spans="1:26" x14ac:dyDescent="0.3">
      <c r="A144" s="34">
        <v>140</v>
      </c>
      <c r="B144" s="36" t="s">
        <v>187</v>
      </c>
      <c r="C144" s="12" t="s">
        <v>27</v>
      </c>
      <c r="D144" s="11" t="s">
        <v>26</v>
      </c>
      <c r="E144" s="11" t="s">
        <v>26</v>
      </c>
      <c r="F144" s="11"/>
      <c r="G144" s="11"/>
      <c r="H144" s="11"/>
      <c r="I144" s="11" t="s">
        <v>31</v>
      </c>
      <c r="J144" s="11" t="s">
        <v>25</v>
      </c>
      <c r="K144" s="11"/>
      <c r="L144" s="22">
        <v>48.33</v>
      </c>
      <c r="M144" s="11"/>
      <c r="N144" s="11"/>
      <c r="O144" s="26">
        <v>45131</v>
      </c>
      <c r="P144" s="55">
        <v>3.0209999999999999</v>
      </c>
      <c r="Q144" s="25">
        <v>0.2</v>
      </c>
      <c r="R144" s="11"/>
      <c r="S144" s="11"/>
      <c r="T144" s="11"/>
      <c r="U144" s="11">
        <v>0.24399999999999999</v>
      </c>
      <c r="V144" s="11">
        <v>0.4274</v>
      </c>
      <c r="W144" s="11"/>
      <c r="X144" s="64">
        <f t="shared" si="4"/>
        <v>0.18340000000000001</v>
      </c>
      <c r="Y144" s="22"/>
      <c r="Z144" s="60">
        <f t="shared" si="5"/>
        <v>0</v>
      </c>
    </row>
    <row r="145" spans="1:26" x14ac:dyDescent="0.3">
      <c r="A145" s="34">
        <v>141</v>
      </c>
      <c r="B145" s="36" t="s">
        <v>188</v>
      </c>
      <c r="C145" s="12" t="s">
        <v>27</v>
      </c>
      <c r="D145" s="11" t="s">
        <v>26</v>
      </c>
      <c r="E145" s="11" t="s">
        <v>26</v>
      </c>
      <c r="F145" s="11"/>
      <c r="G145" s="11"/>
      <c r="H145" s="11"/>
      <c r="I145" s="11" t="s">
        <v>31</v>
      </c>
      <c r="J145" s="11" t="s">
        <v>25</v>
      </c>
      <c r="K145" s="11"/>
      <c r="L145" s="22">
        <v>84.58</v>
      </c>
      <c r="M145" s="11"/>
      <c r="N145" s="11"/>
      <c r="O145" s="26">
        <v>45131</v>
      </c>
      <c r="P145" s="55">
        <v>3.0019999999999998</v>
      </c>
      <c r="Q145" s="25">
        <v>0.2</v>
      </c>
      <c r="R145" s="11"/>
      <c r="S145" s="11"/>
      <c r="T145" s="11"/>
      <c r="U145" s="11">
        <v>0.24049999999999999</v>
      </c>
      <c r="V145" s="11">
        <v>0.26529999999999998</v>
      </c>
      <c r="W145" s="11"/>
      <c r="X145" s="64">
        <f t="shared" si="4"/>
        <v>2.4799999999999989E-2</v>
      </c>
      <c r="Y145" s="22"/>
      <c r="Z145" s="60">
        <f t="shared" si="5"/>
        <v>0</v>
      </c>
    </row>
    <row r="146" spans="1:26" x14ac:dyDescent="0.3">
      <c r="A146" s="34">
        <v>142</v>
      </c>
      <c r="B146" s="36" t="s">
        <v>101</v>
      </c>
      <c r="C146" s="12" t="s">
        <v>27</v>
      </c>
      <c r="D146" s="11" t="s">
        <v>26</v>
      </c>
      <c r="E146" s="11" t="s">
        <v>26</v>
      </c>
      <c r="F146" s="11"/>
      <c r="G146" s="11"/>
      <c r="H146" s="11"/>
      <c r="I146" s="11" t="s">
        <v>31</v>
      </c>
      <c r="J146" s="11" t="s">
        <v>25</v>
      </c>
      <c r="K146" s="11"/>
      <c r="L146" s="22">
        <v>43.58</v>
      </c>
      <c r="M146" s="11"/>
      <c r="N146" s="11"/>
      <c r="O146" s="26">
        <v>45131</v>
      </c>
      <c r="P146" s="55">
        <v>3.6120000000000001</v>
      </c>
      <c r="Q146" s="25">
        <v>0.2</v>
      </c>
      <c r="R146" s="11"/>
      <c r="S146" s="11"/>
      <c r="T146" s="11"/>
      <c r="U146" s="11">
        <v>0.23930000000000001</v>
      </c>
      <c r="V146" s="11">
        <v>0.3795</v>
      </c>
      <c r="W146" s="11"/>
      <c r="X146" s="64">
        <f t="shared" si="4"/>
        <v>0.14019999999999999</v>
      </c>
      <c r="Y146" s="22"/>
      <c r="Z146" s="60">
        <f t="shared" si="5"/>
        <v>0</v>
      </c>
    </row>
    <row r="147" spans="1:26" x14ac:dyDescent="0.3">
      <c r="A147" s="34">
        <v>143</v>
      </c>
      <c r="B147" s="36" t="s">
        <v>189</v>
      </c>
      <c r="C147" s="12" t="s">
        <v>27</v>
      </c>
      <c r="D147" s="11" t="s">
        <v>26</v>
      </c>
      <c r="E147" s="11" t="s">
        <v>26</v>
      </c>
      <c r="F147" s="11"/>
      <c r="G147" s="11"/>
      <c r="H147" s="11"/>
      <c r="I147" s="11" t="s">
        <v>31</v>
      </c>
      <c r="J147" s="11" t="s">
        <v>25</v>
      </c>
      <c r="K147" s="11"/>
      <c r="L147" s="22">
        <v>122.13</v>
      </c>
      <c r="M147" s="11"/>
      <c r="N147" s="11"/>
      <c r="O147" s="26">
        <v>45131</v>
      </c>
      <c r="P147" s="55">
        <v>4.5910000000000002</v>
      </c>
      <c r="Q147" s="25">
        <v>0.2</v>
      </c>
      <c r="R147" s="11"/>
      <c r="S147" s="11"/>
      <c r="T147" s="11"/>
      <c r="U147" s="11">
        <v>0.23760000000000001</v>
      </c>
      <c r="V147" s="11">
        <v>0.26450000000000001</v>
      </c>
      <c r="W147" s="11"/>
      <c r="X147" s="64">
        <f t="shared" si="4"/>
        <v>2.6900000000000007E-2</v>
      </c>
      <c r="Y147" s="22"/>
      <c r="Z147" s="60">
        <f t="shared" si="5"/>
        <v>0</v>
      </c>
    </row>
    <row r="148" spans="1:26" x14ac:dyDescent="0.3">
      <c r="A148" s="34">
        <v>144</v>
      </c>
      <c r="B148" s="36" t="s">
        <v>190</v>
      </c>
      <c r="C148" s="12" t="s">
        <v>27</v>
      </c>
      <c r="D148" s="11" t="s">
        <v>26</v>
      </c>
      <c r="E148" s="11" t="s">
        <v>26</v>
      </c>
      <c r="F148" s="11"/>
      <c r="G148" s="11"/>
      <c r="H148" s="11"/>
      <c r="I148" s="11" t="s">
        <v>31</v>
      </c>
      <c r="J148" s="11" t="s">
        <v>25</v>
      </c>
      <c r="K148" s="11"/>
      <c r="L148" s="22">
        <v>59.21</v>
      </c>
      <c r="M148" s="11"/>
      <c r="N148" s="11"/>
      <c r="O148" s="26">
        <v>45131</v>
      </c>
      <c r="P148" s="55">
        <v>3.706</v>
      </c>
      <c r="Q148" s="25">
        <v>0.2</v>
      </c>
      <c r="R148" s="11"/>
      <c r="S148" s="11"/>
      <c r="T148" s="11"/>
      <c r="U148" s="11">
        <v>0.2429</v>
      </c>
      <c r="V148" s="11">
        <v>0.34820000000000001</v>
      </c>
      <c r="W148" s="11"/>
      <c r="X148" s="64">
        <f t="shared" si="4"/>
        <v>0.1053</v>
      </c>
      <c r="Y148" s="22"/>
      <c r="Z148" s="60">
        <f t="shared" si="5"/>
        <v>0</v>
      </c>
    </row>
    <row r="149" spans="1:26" x14ac:dyDescent="0.3">
      <c r="A149" s="34">
        <v>145</v>
      </c>
      <c r="B149" s="36" t="s">
        <v>90</v>
      </c>
      <c r="C149" s="12" t="s">
        <v>27</v>
      </c>
      <c r="D149" s="11" t="s">
        <v>26</v>
      </c>
      <c r="E149" s="11" t="s">
        <v>26</v>
      </c>
      <c r="F149" s="11"/>
      <c r="G149" s="11"/>
      <c r="H149" s="11"/>
      <c r="I149" s="11" t="s">
        <v>31</v>
      </c>
      <c r="J149" s="11" t="s">
        <v>25</v>
      </c>
      <c r="K149" s="11"/>
      <c r="L149" s="22">
        <v>51.02</v>
      </c>
      <c r="M149" s="11"/>
      <c r="N149" s="11"/>
      <c r="O149" s="26">
        <v>45131</v>
      </c>
      <c r="P149" s="55">
        <v>3.4609999999999999</v>
      </c>
      <c r="Q149" s="25">
        <v>0.2</v>
      </c>
      <c r="R149" s="11"/>
      <c r="S149" s="11"/>
      <c r="T149" s="11"/>
      <c r="U149" s="11">
        <v>0.23810000000000001</v>
      </c>
      <c r="V149" s="11">
        <v>0.27729999999999999</v>
      </c>
      <c r="W149" s="11"/>
      <c r="X149" s="64">
        <f t="shared" si="4"/>
        <v>3.9199999999999985E-2</v>
      </c>
      <c r="Y149" s="22"/>
      <c r="Z149" s="60">
        <f t="shared" si="5"/>
        <v>0</v>
      </c>
    </row>
    <row r="150" spans="1:26" x14ac:dyDescent="0.3">
      <c r="A150" s="34">
        <v>146</v>
      </c>
      <c r="B150" s="36" t="s">
        <v>191</v>
      </c>
      <c r="C150" s="12" t="s">
        <v>27</v>
      </c>
      <c r="D150" s="11" t="s">
        <v>26</v>
      </c>
      <c r="E150" s="11" t="s">
        <v>26</v>
      </c>
      <c r="F150" s="11"/>
      <c r="G150" s="11"/>
      <c r="H150" s="11"/>
      <c r="I150" s="11" t="s">
        <v>31</v>
      </c>
      <c r="J150" s="11" t="s">
        <v>25</v>
      </c>
      <c r="K150" s="11"/>
      <c r="L150" s="22">
        <v>122.22</v>
      </c>
      <c r="M150" s="11"/>
      <c r="N150" s="11"/>
      <c r="O150" s="26">
        <v>45131</v>
      </c>
      <c r="P150" s="55">
        <v>3.3650000000000002</v>
      </c>
      <c r="Q150" s="25">
        <v>0.2</v>
      </c>
      <c r="R150" s="11"/>
      <c r="S150" s="11"/>
      <c r="T150" s="11"/>
      <c r="U150" s="11">
        <v>0.23669999999999999</v>
      </c>
      <c r="V150" s="11">
        <v>0.3125</v>
      </c>
      <c r="W150" s="11"/>
      <c r="X150" s="64">
        <f t="shared" si="4"/>
        <v>7.5800000000000006E-2</v>
      </c>
      <c r="Y150" s="22"/>
      <c r="Z150" s="60">
        <f t="shared" si="5"/>
        <v>0</v>
      </c>
    </row>
    <row r="151" spans="1:26" x14ac:dyDescent="0.3">
      <c r="A151" s="34">
        <v>147</v>
      </c>
      <c r="B151" s="36" t="s">
        <v>192</v>
      </c>
      <c r="C151" s="12" t="s">
        <v>27</v>
      </c>
      <c r="D151" s="11" t="s">
        <v>26</v>
      </c>
      <c r="E151" s="11" t="s">
        <v>26</v>
      </c>
      <c r="F151" s="11"/>
      <c r="G151" s="11"/>
      <c r="H151" s="11"/>
      <c r="I151" s="11" t="s">
        <v>31</v>
      </c>
      <c r="J151" s="11" t="s">
        <v>25</v>
      </c>
      <c r="K151" s="11"/>
      <c r="L151" s="22">
        <v>87.68</v>
      </c>
      <c r="M151" s="11"/>
      <c r="N151" s="11"/>
      <c r="O151" s="26">
        <v>45131</v>
      </c>
      <c r="P151" s="55">
        <v>3.3359999999999999</v>
      </c>
      <c r="Q151" s="25">
        <v>0.2</v>
      </c>
      <c r="R151" s="11"/>
      <c r="S151" s="11"/>
      <c r="T151" s="11"/>
      <c r="U151" s="11">
        <v>0.24110000000000001</v>
      </c>
      <c r="V151" s="11">
        <v>0.2878</v>
      </c>
      <c r="W151" s="11"/>
      <c r="X151" s="64">
        <f t="shared" si="4"/>
        <v>4.6699999999999992E-2</v>
      </c>
      <c r="Y151" s="22"/>
      <c r="Z151" s="60">
        <f t="shared" si="5"/>
        <v>0</v>
      </c>
    </row>
    <row r="152" spans="1:26" x14ac:dyDescent="0.3">
      <c r="A152" s="34">
        <v>148</v>
      </c>
      <c r="B152" s="36" t="s">
        <v>98</v>
      </c>
      <c r="C152" s="12" t="s">
        <v>27</v>
      </c>
      <c r="D152" s="11" t="s">
        <v>26</v>
      </c>
      <c r="E152" s="11" t="s">
        <v>26</v>
      </c>
      <c r="F152" s="11"/>
      <c r="G152" s="11"/>
      <c r="H152" s="11"/>
      <c r="I152" s="11" t="s">
        <v>31</v>
      </c>
      <c r="J152" s="11" t="s">
        <v>25</v>
      </c>
      <c r="K152" s="11"/>
      <c r="L152" s="22">
        <v>15.21</v>
      </c>
      <c r="M152" s="11"/>
      <c r="N152" s="11"/>
      <c r="O152" s="26">
        <v>45131</v>
      </c>
      <c r="P152" s="55">
        <v>10.09</v>
      </c>
      <c r="Q152" s="25">
        <v>0.2</v>
      </c>
      <c r="R152" s="11"/>
      <c r="S152" s="11"/>
      <c r="T152" s="11"/>
      <c r="U152" s="11">
        <v>0.2402</v>
      </c>
      <c r="V152" s="11">
        <v>0.30099999999999999</v>
      </c>
      <c r="W152" s="11"/>
      <c r="X152" s="64">
        <f t="shared" si="4"/>
        <v>6.0799999999999993E-2</v>
      </c>
      <c r="Y152" s="22"/>
      <c r="Z152" s="60">
        <f t="shared" si="5"/>
        <v>0</v>
      </c>
    </row>
    <row r="153" spans="1:26" x14ac:dyDescent="0.3">
      <c r="A153" s="34">
        <v>149</v>
      </c>
      <c r="B153" s="36" t="s">
        <v>193</v>
      </c>
      <c r="C153" s="12" t="s">
        <v>27</v>
      </c>
      <c r="D153" s="11" t="s">
        <v>26</v>
      </c>
      <c r="E153" s="11" t="s">
        <v>26</v>
      </c>
      <c r="F153" s="11"/>
      <c r="G153" s="11"/>
      <c r="H153" s="11"/>
      <c r="I153" s="11" t="s">
        <v>31</v>
      </c>
      <c r="J153" s="11" t="s">
        <v>25</v>
      </c>
      <c r="K153" s="11"/>
      <c r="L153" s="22">
        <v>14.81</v>
      </c>
      <c r="M153" s="11"/>
      <c r="N153" s="11"/>
      <c r="O153" s="26">
        <v>45131</v>
      </c>
      <c r="P153" s="55">
        <v>9.6159999999999997</v>
      </c>
      <c r="Q153" s="25">
        <v>0.2</v>
      </c>
      <c r="R153" s="11"/>
      <c r="S153" s="11"/>
      <c r="T153" s="11"/>
      <c r="U153" s="11">
        <v>0.2374</v>
      </c>
      <c r="V153" s="11">
        <v>0.28820000000000001</v>
      </c>
      <c r="W153" s="11"/>
      <c r="X153" s="64">
        <f t="shared" si="4"/>
        <v>5.0800000000000012E-2</v>
      </c>
      <c r="Y153" s="22"/>
      <c r="Z153" s="60">
        <f t="shared" si="5"/>
        <v>0</v>
      </c>
    </row>
    <row r="154" spans="1:26" x14ac:dyDescent="0.3">
      <c r="A154" s="34">
        <v>150</v>
      </c>
      <c r="B154" s="36" t="s">
        <v>142</v>
      </c>
      <c r="C154" s="12" t="s">
        <v>27</v>
      </c>
      <c r="D154" s="11" t="s">
        <v>26</v>
      </c>
      <c r="E154" s="11" t="s">
        <v>26</v>
      </c>
      <c r="F154" s="11"/>
      <c r="G154" s="11"/>
      <c r="H154" s="11"/>
      <c r="I154" s="11" t="s">
        <v>31</v>
      </c>
      <c r="J154" s="11" t="s">
        <v>25</v>
      </c>
      <c r="K154" s="11"/>
      <c r="L154" s="22">
        <v>60.34</v>
      </c>
      <c r="M154" s="11"/>
      <c r="N154" s="11"/>
      <c r="O154" s="26">
        <v>45131</v>
      </c>
      <c r="P154" s="55">
        <v>5.673</v>
      </c>
      <c r="Q154" s="25">
        <v>0.2</v>
      </c>
      <c r="R154" s="11"/>
      <c r="S154" s="11"/>
      <c r="T154" s="11"/>
      <c r="U154" s="11">
        <v>0.23400000000000001</v>
      </c>
      <c r="V154" s="11">
        <v>0.69040000000000001</v>
      </c>
      <c r="W154" s="11"/>
      <c r="X154" s="64">
        <f t="shared" si="4"/>
        <v>0.45640000000000003</v>
      </c>
      <c r="Y154" s="22"/>
      <c r="Z154" s="60">
        <f t="shared" si="5"/>
        <v>0</v>
      </c>
    </row>
    <row r="155" spans="1:26" x14ac:dyDescent="0.3">
      <c r="A155" s="34">
        <v>151</v>
      </c>
      <c r="B155" s="36" t="s">
        <v>148</v>
      </c>
      <c r="C155" s="12" t="s">
        <v>27</v>
      </c>
      <c r="D155" s="11" t="s">
        <v>26</v>
      </c>
      <c r="E155" s="11" t="s">
        <v>26</v>
      </c>
      <c r="F155" s="11"/>
      <c r="G155" s="11"/>
      <c r="H155" s="11"/>
      <c r="I155" s="11" t="s">
        <v>31</v>
      </c>
      <c r="J155" s="11" t="s">
        <v>25</v>
      </c>
      <c r="K155" s="11"/>
      <c r="L155" s="22">
        <v>39.32</v>
      </c>
      <c r="M155" s="11"/>
      <c r="N155" s="11"/>
      <c r="O155" s="26">
        <v>45131</v>
      </c>
      <c r="P155" s="55">
        <v>4.4749999999999996</v>
      </c>
      <c r="Q155" s="25">
        <v>0.2</v>
      </c>
      <c r="R155" s="11"/>
      <c r="S155" s="11"/>
      <c r="T155" s="11"/>
      <c r="U155" s="11">
        <v>0.23980000000000001</v>
      </c>
      <c r="V155" s="11">
        <v>0.29399999999999998</v>
      </c>
      <c r="W155" s="11"/>
      <c r="X155" s="64">
        <f t="shared" si="4"/>
        <v>5.419999999999997E-2</v>
      </c>
      <c r="Y155" s="22"/>
      <c r="Z155" s="60">
        <f t="shared" si="5"/>
        <v>0</v>
      </c>
    </row>
    <row r="156" spans="1:26" x14ac:dyDescent="0.3">
      <c r="A156" s="34">
        <v>152</v>
      </c>
      <c r="B156" s="36" t="s">
        <v>137</v>
      </c>
      <c r="C156" s="12" t="s">
        <v>27</v>
      </c>
      <c r="D156" s="11" t="s">
        <v>26</v>
      </c>
      <c r="E156" s="11" t="s">
        <v>26</v>
      </c>
      <c r="F156" s="11"/>
      <c r="G156" s="11"/>
      <c r="H156" s="11"/>
      <c r="I156" s="11" t="s">
        <v>31</v>
      </c>
      <c r="J156" s="11" t="s">
        <v>25</v>
      </c>
      <c r="K156" s="11"/>
      <c r="L156" s="22">
        <v>61.56</v>
      </c>
      <c r="M156" s="11"/>
      <c r="N156" s="11"/>
      <c r="O156" s="26">
        <v>45131</v>
      </c>
      <c r="P156" s="55">
        <v>3.1909999999999998</v>
      </c>
      <c r="Q156" s="25">
        <v>0.2</v>
      </c>
      <c r="R156" s="11"/>
      <c r="S156" s="11"/>
      <c r="T156" s="11"/>
      <c r="U156" s="11">
        <v>0.24429999999999999</v>
      </c>
      <c r="V156" s="11">
        <v>0.30309999999999998</v>
      </c>
      <c r="W156" s="11"/>
      <c r="X156" s="64">
        <f t="shared" si="4"/>
        <v>5.8799999999999991E-2</v>
      </c>
      <c r="Y156" s="22"/>
      <c r="Z156" s="60">
        <f t="shared" si="5"/>
        <v>0</v>
      </c>
    </row>
    <row r="157" spans="1:26" x14ac:dyDescent="0.3">
      <c r="A157" s="34">
        <v>153</v>
      </c>
      <c r="B157" s="36" t="s">
        <v>136</v>
      </c>
      <c r="C157" s="12" t="s">
        <v>27</v>
      </c>
      <c r="D157" s="11" t="s">
        <v>26</v>
      </c>
      <c r="E157" s="11" t="s">
        <v>26</v>
      </c>
      <c r="F157" s="11"/>
      <c r="G157" s="11"/>
      <c r="H157" s="11"/>
      <c r="I157" s="11" t="s">
        <v>31</v>
      </c>
      <c r="J157" s="11" t="s">
        <v>25</v>
      </c>
      <c r="K157" s="11"/>
      <c r="L157" s="22">
        <v>30.01</v>
      </c>
      <c r="M157" s="11"/>
      <c r="N157" s="11"/>
      <c r="O157" s="26">
        <v>45131</v>
      </c>
      <c r="P157" s="55">
        <v>5.125</v>
      </c>
      <c r="Q157" s="25">
        <v>0.2</v>
      </c>
      <c r="R157" s="11"/>
      <c r="S157" s="11"/>
      <c r="T157" s="11"/>
      <c r="U157" s="11">
        <v>0.23480000000000001</v>
      </c>
      <c r="V157" s="11">
        <v>0.27510000000000001</v>
      </c>
      <c r="W157" s="11"/>
      <c r="X157" s="64">
        <f t="shared" si="4"/>
        <v>4.0300000000000002E-2</v>
      </c>
      <c r="Y157" s="22"/>
      <c r="Z157" s="60">
        <f t="shared" si="5"/>
        <v>0</v>
      </c>
    </row>
    <row r="158" spans="1:26" x14ac:dyDescent="0.3">
      <c r="A158" s="34">
        <v>154</v>
      </c>
      <c r="B158" s="36" t="s">
        <v>139</v>
      </c>
      <c r="C158" s="12" t="s">
        <v>27</v>
      </c>
      <c r="D158" s="11" t="s">
        <v>26</v>
      </c>
      <c r="E158" s="11" t="s">
        <v>26</v>
      </c>
      <c r="F158" s="11"/>
      <c r="G158" s="11"/>
      <c r="H158" s="11"/>
      <c r="I158" s="11" t="s">
        <v>31</v>
      </c>
      <c r="J158" s="11" t="s">
        <v>25</v>
      </c>
      <c r="K158" s="11"/>
      <c r="L158" s="22">
        <v>59.71</v>
      </c>
      <c r="M158" s="11"/>
      <c r="N158" s="11"/>
      <c r="O158" s="26">
        <v>45131</v>
      </c>
      <c r="P158" s="55">
        <v>3.202</v>
      </c>
      <c r="Q158" s="25">
        <v>0.2</v>
      </c>
      <c r="R158" s="11"/>
      <c r="S158" s="11"/>
      <c r="T158" s="11"/>
      <c r="U158" s="11">
        <v>0.2392</v>
      </c>
      <c r="V158" s="11">
        <v>0.2676</v>
      </c>
      <c r="W158" s="11"/>
      <c r="X158" s="64">
        <f t="shared" si="4"/>
        <v>2.8400000000000009E-2</v>
      </c>
      <c r="Y158" s="22"/>
      <c r="Z158" s="60">
        <f t="shared" si="5"/>
        <v>0</v>
      </c>
    </row>
    <row r="159" spans="1:26" x14ac:dyDescent="0.3">
      <c r="A159" s="34">
        <v>155</v>
      </c>
      <c r="B159" s="36" t="s">
        <v>102</v>
      </c>
      <c r="C159" s="12" t="s">
        <v>27</v>
      </c>
      <c r="D159" s="11" t="s">
        <v>26</v>
      </c>
      <c r="E159" s="11" t="s">
        <v>26</v>
      </c>
      <c r="F159" s="11"/>
      <c r="G159" s="11"/>
      <c r="H159" s="11"/>
      <c r="I159" s="11" t="s">
        <v>31</v>
      </c>
      <c r="J159" s="11" t="s">
        <v>25</v>
      </c>
      <c r="K159" s="11"/>
      <c r="L159" s="22">
        <v>121.14</v>
      </c>
      <c r="M159" s="11"/>
      <c r="N159" s="11"/>
      <c r="O159" s="26">
        <v>45131</v>
      </c>
      <c r="P159" s="55">
        <v>3.9319999999999999</v>
      </c>
      <c r="Q159" s="25">
        <v>0.2</v>
      </c>
      <c r="R159" s="11"/>
      <c r="S159" s="11"/>
      <c r="T159" s="11"/>
      <c r="U159" s="11">
        <v>0.2419</v>
      </c>
      <c r="V159" s="11">
        <v>0.24310000000000001</v>
      </c>
      <c r="W159" s="11"/>
      <c r="X159" s="64">
        <f t="shared" si="4"/>
        <v>1.2000000000000066E-3</v>
      </c>
      <c r="Y159" s="22"/>
      <c r="Z159" s="60">
        <f t="shared" si="5"/>
        <v>0</v>
      </c>
    </row>
    <row r="160" spans="1:26" x14ac:dyDescent="0.3">
      <c r="A160" s="34">
        <v>156</v>
      </c>
      <c r="B160" s="36" t="s">
        <v>104</v>
      </c>
      <c r="C160" s="12" t="s">
        <v>27</v>
      </c>
      <c r="D160" s="11" t="s">
        <v>26</v>
      </c>
      <c r="E160" s="11" t="s">
        <v>26</v>
      </c>
      <c r="F160" s="11"/>
      <c r="G160" s="11"/>
      <c r="H160" s="11"/>
      <c r="I160" s="11" t="s">
        <v>31</v>
      </c>
      <c r="J160" s="11" t="s">
        <v>25</v>
      </c>
      <c r="K160" s="11"/>
      <c r="L160" s="22">
        <v>119.17</v>
      </c>
      <c r="M160" s="11"/>
      <c r="N160" s="11"/>
      <c r="O160" s="26">
        <v>45131</v>
      </c>
      <c r="P160" s="55">
        <v>3.1909999999999998</v>
      </c>
      <c r="Q160" s="25">
        <v>0.2</v>
      </c>
      <c r="R160" s="11"/>
      <c r="S160" s="11"/>
      <c r="T160" s="11"/>
      <c r="U160" s="11">
        <v>0.2374</v>
      </c>
      <c r="V160" s="11">
        <v>0.2397</v>
      </c>
      <c r="W160" s="11"/>
      <c r="X160" s="64">
        <f t="shared" si="4"/>
        <v>2.2999999999999965E-3</v>
      </c>
      <c r="Y160" s="22"/>
      <c r="Z160" s="60">
        <f t="shared" si="5"/>
        <v>0</v>
      </c>
    </row>
    <row r="161" spans="1:26" x14ac:dyDescent="0.3">
      <c r="A161" s="34">
        <v>157</v>
      </c>
      <c r="B161" s="36" t="s">
        <v>91</v>
      </c>
      <c r="C161" s="12" t="s">
        <v>27</v>
      </c>
      <c r="D161" s="11" t="s">
        <v>26</v>
      </c>
      <c r="E161" s="11" t="s">
        <v>26</v>
      </c>
      <c r="F161" s="11"/>
      <c r="G161" s="11"/>
      <c r="H161" s="11"/>
      <c r="I161" s="11" t="s">
        <v>31</v>
      </c>
      <c r="J161" s="11" t="s">
        <v>25</v>
      </c>
      <c r="K161" s="11"/>
      <c r="L161" s="22">
        <v>121.85</v>
      </c>
      <c r="M161" s="11"/>
      <c r="N161" s="11"/>
      <c r="O161" s="26">
        <v>45131</v>
      </c>
      <c r="P161" s="55">
        <v>2.2829999999999999</v>
      </c>
      <c r="Q161" s="25">
        <v>0.2</v>
      </c>
      <c r="R161" s="11"/>
      <c r="S161" s="11"/>
      <c r="T161" s="11"/>
      <c r="U161" s="11">
        <v>0.2409</v>
      </c>
      <c r="V161" s="11">
        <v>0.2432</v>
      </c>
      <c r="W161" s="11"/>
      <c r="X161" s="64">
        <f t="shared" si="4"/>
        <v>2.2999999999999965E-3</v>
      </c>
      <c r="Y161" s="22"/>
      <c r="Z161" s="60">
        <f t="shared" si="5"/>
        <v>0</v>
      </c>
    </row>
    <row r="162" spans="1:26" x14ac:dyDescent="0.3">
      <c r="A162" s="34">
        <v>158</v>
      </c>
      <c r="B162" s="36" t="s">
        <v>89</v>
      </c>
      <c r="C162" s="12" t="s">
        <v>27</v>
      </c>
      <c r="D162" s="11" t="s">
        <v>26</v>
      </c>
      <c r="E162" s="11" t="s">
        <v>26</v>
      </c>
      <c r="F162" s="11"/>
      <c r="G162" s="11"/>
      <c r="H162" s="11"/>
      <c r="I162" s="11" t="s">
        <v>31</v>
      </c>
      <c r="J162" s="11" t="s">
        <v>25</v>
      </c>
      <c r="K162" s="11"/>
      <c r="L162" s="22">
        <v>33.85</v>
      </c>
      <c r="M162" s="11"/>
      <c r="N162" s="11"/>
      <c r="O162" s="26">
        <v>45131</v>
      </c>
      <c r="P162" s="55">
        <v>4.8789999999999996</v>
      </c>
      <c r="Q162" s="25">
        <v>0.2</v>
      </c>
      <c r="R162" s="11"/>
      <c r="S162" s="11"/>
      <c r="T162" s="11"/>
      <c r="U162" s="11">
        <v>0.23730000000000001</v>
      </c>
      <c r="V162" s="11">
        <v>1.8438000000000001</v>
      </c>
      <c r="W162" s="11"/>
      <c r="X162" s="64">
        <f t="shared" si="4"/>
        <v>1.6065</v>
      </c>
      <c r="Y162" s="22"/>
      <c r="Z162" s="60">
        <f t="shared" si="5"/>
        <v>0</v>
      </c>
    </row>
    <row r="163" spans="1:26" x14ac:dyDescent="0.3">
      <c r="A163" s="34">
        <v>159</v>
      </c>
      <c r="B163" s="36" t="s">
        <v>105</v>
      </c>
      <c r="C163" s="12" t="s">
        <v>27</v>
      </c>
      <c r="D163" s="11" t="s">
        <v>26</v>
      </c>
      <c r="E163" s="11" t="s">
        <v>26</v>
      </c>
      <c r="F163" s="11"/>
      <c r="G163" s="11"/>
      <c r="H163" s="11"/>
      <c r="I163" s="11" t="s">
        <v>31</v>
      </c>
      <c r="J163" s="11" t="s">
        <v>25</v>
      </c>
      <c r="K163" s="11"/>
      <c r="L163" s="22">
        <v>80.41</v>
      </c>
      <c r="M163" s="11"/>
      <c r="N163" s="11"/>
      <c r="O163" s="26">
        <v>45131</v>
      </c>
      <c r="P163" s="55">
        <v>3.4660000000000002</v>
      </c>
      <c r="Q163" s="25">
        <v>0.2</v>
      </c>
      <c r="R163" s="11"/>
      <c r="S163" s="11"/>
      <c r="T163" s="11"/>
      <c r="U163" s="11">
        <v>0.2384</v>
      </c>
      <c r="V163" s="11">
        <v>0.29930000000000001</v>
      </c>
      <c r="W163" s="11"/>
      <c r="X163" s="64">
        <f t="shared" si="4"/>
        <v>6.090000000000001E-2</v>
      </c>
      <c r="Y163" s="22"/>
      <c r="Z163" s="60">
        <f t="shared" si="5"/>
        <v>0</v>
      </c>
    </row>
    <row r="164" spans="1:26" x14ac:dyDescent="0.3">
      <c r="A164" s="34">
        <v>160</v>
      </c>
      <c r="B164" s="36" t="s">
        <v>106</v>
      </c>
      <c r="C164" s="12" t="s">
        <v>27</v>
      </c>
      <c r="D164" s="11" t="s">
        <v>26</v>
      </c>
      <c r="E164" s="11" t="s">
        <v>26</v>
      </c>
      <c r="F164" s="11"/>
      <c r="G164" s="11"/>
      <c r="H164" s="11"/>
      <c r="I164" s="11" t="s">
        <v>31</v>
      </c>
      <c r="J164" s="11" t="s">
        <v>25</v>
      </c>
      <c r="K164" s="11"/>
      <c r="L164" s="22">
        <v>28.49</v>
      </c>
      <c r="M164" s="11"/>
      <c r="N164" s="11"/>
      <c r="O164" s="26">
        <v>45131</v>
      </c>
      <c r="P164" s="57">
        <v>4.1360000000000001</v>
      </c>
      <c r="Q164" s="25">
        <v>0.2</v>
      </c>
      <c r="R164" s="11"/>
      <c r="S164" s="11"/>
      <c r="T164" s="11"/>
      <c r="U164" s="11">
        <v>0.2394</v>
      </c>
      <c r="V164" s="11">
        <v>0.2465</v>
      </c>
      <c r="W164" s="11"/>
      <c r="X164" s="64">
        <f t="shared" si="4"/>
        <v>7.0999999999999952E-3</v>
      </c>
      <c r="Y164" s="22"/>
      <c r="Z164" s="60">
        <f t="shared" si="5"/>
        <v>0</v>
      </c>
    </row>
    <row r="165" spans="1:26" x14ac:dyDescent="0.3">
      <c r="A165" s="34">
        <v>161</v>
      </c>
      <c r="B165" s="36" t="s">
        <v>97</v>
      </c>
      <c r="C165" s="12" t="s">
        <v>27</v>
      </c>
      <c r="D165" s="11" t="s">
        <v>26</v>
      </c>
      <c r="E165" s="11" t="s">
        <v>26</v>
      </c>
      <c r="F165" s="11"/>
      <c r="G165" s="11"/>
      <c r="H165" s="11"/>
      <c r="I165" s="11" t="s">
        <v>31</v>
      </c>
      <c r="J165" s="11" t="s">
        <v>25</v>
      </c>
      <c r="K165" s="11"/>
      <c r="L165" s="22">
        <v>27.74</v>
      </c>
      <c r="M165" s="11"/>
      <c r="N165" s="11"/>
      <c r="O165" s="26">
        <v>45131</v>
      </c>
      <c r="P165" s="55">
        <v>4.008</v>
      </c>
      <c r="Q165" s="25">
        <v>0.2</v>
      </c>
      <c r="R165" s="11"/>
      <c r="S165" s="11"/>
      <c r="T165" s="11"/>
      <c r="U165" s="11">
        <v>0.2356</v>
      </c>
      <c r="V165" s="11">
        <v>0.25219999999999998</v>
      </c>
      <c r="W165" s="11"/>
      <c r="X165" s="64">
        <f t="shared" si="4"/>
        <v>1.6599999999999976E-2</v>
      </c>
      <c r="Y165" s="22"/>
      <c r="Z165" s="60">
        <f t="shared" si="5"/>
        <v>0</v>
      </c>
    </row>
    <row r="166" spans="1:26" x14ac:dyDescent="0.3">
      <c r="A166" s="34">
        <v>162</v>
      </c>
      <c r="B166" s="40" t="s">
        <v>161</v>
      </c>
      <c r="C166" s="19" t="s">
        <v>27</v>
      </c>
      <c r="D166" s="18" t="s">
        <v>26</v>
      </c>
      <c r="E166" s="18" t="s">
        <v>26</v>
      </c>
      <c r="F166" s="18"/>
      <c r="G166" s="18"/>
      <c r="H166" s="18"/>
      <c r="I166" s="18" t="s">
        <v>31</v>
      </c>
      <c r="J166" s="18" t="s">
        <v>25</v>
      </c>
      <c r="K166" s="18"/>
      <c r="L166" s="22" t="s">
        <v>197</v>
      </c>
      <c r="M166" s="18"/>
      <c r="N166" s="18"/>
      <c r="O166" s="26">
        <v>45131</v>
      </c>
      <c r="Q166" s="25">
        <v>0.2</v>
      </c>
      <c r="R166" s="11"/>
      <c r="S166" s="11"/>
      <c r="T166" s="11"/>
      <c r="U166" s="11">
        <v>0.2356</v>
      </c>
      <c r="V166" s="11"/>
      <c r="W166" s="11"/>
      <c r="X166" s="64">
        <f t="shared" si="4"/>
        <v>-0.2356</v>
      </c>
      <c r="Y166" s="22"/>
      <c r="Z166" s="60" t="e">
        <f t="shared" si="5"/>
        <v>#VALUE!</v>
      </c>
    </row>
    <row r="167" spans="1:26" x14ac:dyDescent="0.3">
      <c r="A167" s="34">
        <f>A166+1</f>
        <v>163</v>
      </c>
      <c r="B167" s="36" t="s">
        <v>198</v>
      </c>
      <c r="C167" s="19" t="s">
        <v>27</v>
      </c>
      <c r="D167" s="18" t="s">
        <v>26</v>
      </c>
      <c r="E167" s="18" t="s">
        <v>26</v>
      </c>
      <c r="F167" s="11"/>
      <c r="G167" s="11"/>
      <c r="H167" s="11"/>
      <c r="I167" s="18" t="s">
        <v>31</v>
      </c>
      <c r="J167" s="18" t="s">
        <v>25</v>
      </c>
      <c r="K167" s="11"/>
      <c r="L167" s="22">
        <v>150</v>
      </c>
      <c r="M167" s="11"/>
      <c r="N167" s="11"/>
      <c r="O167" s="26">
        <v>45131</v>
      </c>
      <c r="P167" s="55">
        <v>4.4409999999999998</v>
      </c>
      <c r="Q167" s="25">
        <v>0.2</v>
      </c>
      <c r="R167" s="11"/>
      <c r="S167" s="11"/>
      <c r="T167" s="11"/>
      <c r="U167" s="11">
        <v>0.23400000000000001</v>
      </c>
      <c r="V167" s="11">
        <v>0.23599999999999999</v>
      </c>
      <c r="W167" s="11"/>
      <c r="X167" s="64">
        <f t="shared" si="4"/>
        <v>1.999999999999974E-3</v>
      </c>
      <c r="Y167" s="22"/>
      <c r="Z167" s="60">
        <f t="shared" si="5"/>
        <v>0</v>
      </c>
    </row>
    <row r="168" spans="1:26" x14ac:dyDescent="0.3">
      <c r="A168" s="34">
        <f t="shared" ref="A168:A231" si="6">A167+1</f>
        <v>164</v>
      </c>
      <c r="B168" s="36" t="s">
        <v>199</v>
      </c>
      <c r="C168" s="19" t="s">
        <v>27</v>
      </c>
      <c r="D168" s="18" t="s">
        <v>26</v>
      </c>
      <c r="E168" s="18" t="s">
        <v>26</v>
      </c>
      <c r="F168" s="11"/>
      <c r="G168" s="11"/>
      <c r="H168" s="11"/>
      <c r="I168" s="18" t="s">
        <v>31</v>
      </c>
      <c r="J168" s="18" t="s">
        <v>25</v>
      </c>
      <c r="K168" s="11"/>
      <c r="L168" s="22">
        <v>150</v>
      </c>
      <c r="M168" s="11"/>
      <c r="N168" s="11"/>
      <c r="O168" s="26">
        <v>45131</v>
      </c>
      <c r="P168" s="55">
        <v>4.4930000000000003</v>
      </c>
      <c r="Q168" s="25">
        <v>0.2</v>
      </c>
      <c r="R168" s="11"/>
      <c r="S168" s="11"/>
      <c r="T168" s="11"/>
      <c r="U168" s="11">
        <v>0.23899999999999999</v>
      </c>
      <c r="V168" s="11">
        <v>0.24</v>
      </c>
      <c r="W168" s="11"/>
      <c r="X168" s="64">
        <f t="shared" si="4"/>
        <v>1.0000000000000009E-3</v>
      </c>
      <c r="Y168" s="22"/>
      <c r="Z168" s="60">
        <f t="shared" si="5"/>
        <v>0</v>
      </c>
    </row>
    <row r="169" spans="1:26" x14ac:dyDescent="0.3">
      <c r="A169" s="34">
        <f t="shared" si="6"/>
        <v>165</v>
      </c>
      <c r="B169" s="36" t="s">
        <v>200</v>
      </c>
      <c r="C169" s="19" t="s">
        <v>27</v>
      </c>
      <c r="D169" s="18" t="s">
        <v>26</v>
      </c>
      <c r="E169" s="18" t="s">
        <v>26</v>
      </c>
      <c r="F169" s="11"/>
      <c r="G169" s="11"/>
      <c r="H169" s="11"/>
      <c r="I169" s="18" t="s">
        <v>31</v>
      </c>
      <c r="J169" s="18" t="s">
        <v>25</v>
      </c>
      <c r="K169" s="11"/>
      <c r="L169" s="22">
        <v>150</v>
      </c>
      <c r="M169" s="11"/>
      <c r="N169" s="11"/>
      <c r="O169" s="26">
        <v>45131</v>
      </c>
      <c r="P169" s="55">
        <v>4.3840000000000003</v>
      </c>
      <c r="Q169" s="25">
        <v>0.2</v>
      </c>
      <c r="R169" s="11"/>
      <c r="S169" s="11"/>
      <c r="T169" s="11"/>
      <c r="U169" s="11">
        <v>0.23499999999999999</v>
      </c>
      <c r="V169" s="11">
        <v>0.23669999999999999</v>
      </c>
      <c r="W169" s="11"/>
      <c r="X169" s="64">
        <f t="shared" si="4"/>
        <v>1.7000000000000071E-3</v>
      </c>
      <c r="Y169" s="22"/>
      <c r="Z169" s="60">
        <f t="shared" si="5"/>
        <v>0</v>
      </c>
    </row>
    <row r="170" spans="1:26" x14ac:dyDescent="0.3">
      <c r="A170" s="34">
        <f t="shared" si="6"/>
        <v>166</v>
      </c>
      <c r="B170" s="36" t="s">
        <v>201</v>
      </c>
      <c r="C170" s="19" t="s">
        <v>27</v>
      </c>
      <c r="D170" s="18" t="s">
        <v>26</v>
      </c>
      <c r="E170" s="18" t="s">
        <v>26</v>
      </c>
      <c r="F170" s="11"/>
      <c r="G170" s="11"/>
      <c r="H170" s="11"/>
      <c r="I170" s="18" t="s">
        <v>31</v>
      </c>
      <c r="J170" s="18" t="s">
        <v>25</v>
      </c>
      <c r="K170" s="11"/>
      <c r="L170" s="22">
        <v>145</v>
      </c>
      <c r="M170" s="11"/>
      <c r="N170" s="11"/>
      <c r="O170" s="26">
        <v>45131</v>
      </c>
      <c r="P170" s="55">
        <v>4.49</v>
      </c>
      <c r="Q170" s="25">
        <v>0.2</v>
      </c>
      <c r="R170" s="11"/>
      <c r="S170" s="11"/>
      <c r="T170" s="11"/>
      <c r="U170" s="11">
        <v>0.22500000000000001</v>
      </c>
      <c r="V170" s="11">
        <v>0.22739999999999999</v>
      </c>
      <c r="W170" s="11"/>
      <c r="X170" s="64">
        <f t="shared" si="4"/>
        <v>2.3999999999999855E-3</v>
      </c>
      <c r="Y170" s="22"/>
      <c r="Z170" s="60">
        <f t="shared" si="5"/>
        <v>0</v>
      </c>
    </row>
    <row r="171" spans="1:26" x14ac:dyDescent="0.3">
      <c r="A171" s="34">
        <f t="shared" si="6"/>
        <v>167</v>
      </c>
      <c r="B171" s="36" t="s">
        <v>202</v>
      </c>
      <c r="C171" s="19" t="s">
        <v>27</v>
      </c>
      <c r="D171" s="18" t="s">
        <v>26</v>
      </c>
      <c r="E171" s="18" t="s">
        <v>26</v>
      </c>
      <c r="F171" s="11"/>
      <c r="G171" s="11"/>
      <c r="H171" s="11"/>
      <c r="I171" s="18" t="s">
        <v>31</v>
      </c>
      <c r="J171" s="18" t="s">
        <v>25</v>
      </c>
      <c r="K171" s="11"/>
      <c r="L171" s="22">
        <v>120.77</v>
      </c>
      <c r="M171" s="11"/>
      <c r="N171" s="11"/>
      <c r="O171" s="26">
        <v>45131</v>
      </c>
      <c r="P171" s="55">
        <v>2.4380000000000002</v>
      </c>
      <c r="Q171" s="25">
        <v>0.2</v>
      </c>
      <c r="R171" s="11"/>
      <c r="S171" s="11"/>
      <c r="T171" s="11"/>
      <c r="U171" s="11">
        <v>0.23499999999999999</v>
      </c>
      <c r="V171" s="11">
        <v>0.23599999999999999</v>
      </c>
      <c r="W171" s="11"/>
      <c r="X171" s="64">
        <f t="shared" si="4"/>
        <v>1.0000000000000009E-3</v>
      </c>
      <c r="Y171" s="22"/>
      <c r="Z171" s="60">
        <f t="shared" si="5"/>
        <v>0</v>
      </c>
    </row>
    <row r="172" spans="1:26" x14ac:dyDescent="0.3">
      <c r="A172" s="34">
        <f t="shared" si="6"/>
        <v>168</v>
      </c>
      <c r="B172" s="36" t="s">
        <v>203</v>
      </c>
      <c r="C172" s="19" t="s">
        <v>27</v>
      </c>
      <c r="D172" s="18" t="s">
        <v>26</v>
      </c>
      <c r="E172" s="18" t="s">
        <v>26</v>
      </c>
      <c r="F172" s="11"/>
      <c r="G172" s="11"/>
      <c r="H172" s="11"/>
      <c r="I172" s="18" t="s">
        <v>31</v>
      </c>
      <c r="J172" s="18" t="s">
        <v>25</v>
      </c>
      <c r="K172" s="11"/>
      <c r="L172" s="22">
        <v>190</v>
      </c>
      <c r="M172" s="11"/>
      <c r="N172" s="11"/>
      <c r="O172" s="26">
        <v>45131</v>
      </c>
      <c r="P172" s="55">
        <v>2.302</v>
      </c>
      <c r="Q172" s="25">
        <v>0.2</v>
      </c>
      <c r="R172" s="11"/>
      <c r="S172" s="11"/>
      <c r="T172" s="11"/>
      <c r="U172" s="11">
        <v>0.23300000000000001</v>
      </c>
      <c r="V172" s="11">
        <v>0.23380000000000001</v>
      </c>
      <c r="W172" s="11"/>
      <c r="X172" s="64">
        <f t="shared" si="4"/>
        <v>7.9999999999999516E-4</v>
      </c>
      <c r="Y172" s="22"/>
      <c r="Z172" s="60">
        <f t="shared" si="5"/>
        <v>0</v>
      </c>
    </row>
    <row r="173" spans="1:26" x14ac:dyDescent="0.3">
      <c r="A173" s="34">
        <f t="shared" si="6"/>
        <v>169</v>
      </c>
      <c r="B173" s="36" t="s">
        <v>204</v>
      </c>
      <c r="C173" s="19" t="s">
        <v>27</v>
      </c>
      <c r="D173" s="18" t="s">
        <v>26</v>
      </c>
      <c r="E173" s="18" t="s">
        <v>26</v>
      </c>
      <c r="F173" s="11"/>
      <c r="G173" s="11"/>
      <c r="H173" s="11"/>
      <c r="I173" s="18" t="s">
        <v>31</v>
      </c>
      <c r="J173" s="18" t="s">
        <v>25</v>
      </c>
      <c r="K173" s="11"/>
      <c r="L173" s="22">
        <v>119.19</v>
      </c>
      <c r="M173" s="11"/>
      <c r="N173" s="11"/>
      <c r="O173" s="26">
        <v>45131</v>
      </c>
      <c r="P173" s="55">
        <v>2.319</v>
      </c>
      <c r="Q173" s="25">
        <v>0.2</v>
      </c>
      <c r="R173" s="11"/>
      <c r="S173" s="11"/>
      <c r="T173" s="11"/>
      <c r="U173" s="11">
        <v>0.23300000000000001</v>
      </c>
      <c r="V173" s="11">
        <v>0.23039999999999999</v>
      </c>
      <c r="W173" s="11"/>
      <c r="X173" s="64">
        <f t="shared" si="4"/>
        <v>-2.600000000000019E-3</v>
      </c>
      <c r="Y173" s="22"/>
      <c r="Z173" s="60">
        <f t="shared" si="5"/>
        <v>0</v>
      </c>
    </row>
    <row r="174" spans="1:26" x14ac:dyDescent="0.3">
      <c r="A174" s="34">
        <f t="shared" si="6"/>
        <v>170</v>
      </c>
      <c r="B174" s="36" t="s">
        <v>205</v>
      </c>
      <c r="C174" s="19" t="s">
        <v>27</v>
      </c>
      <c r="D174" s="18" t="s">
        <v>26</v>
      </c>
      <c r="E174" s="18" t="s">
        <v>26</v>
      </c>
      <c r="F174" s="11"/>
      <c r="G174" s="11"/>
      <c r="H174" s="11"/>
      <c r="I174" s="18" t="s">
        <v>31</v>
      </c>
      <c r="J174" s="18" t="s">
        <v>25</v>
      </c>
      <c r="K174" s="11"/>
      <c r="L174" s="22">
        <v>200</v>
      </c>
      <c r="M174" s="11"/>
      <c r="N174" s="11"/>
      <c r="O174" s="26">
        <v>45131</v>
      </c>
      <c r="P174" s="55">
        <v>2.254</v>
      </c>
      <c r="Q174" s="25">
        <v>0.2</v>
      </c>
      <c r="R174" s="11"/>
      <c r="S174" s="11"/>
      <c r="T174" s="11"/>
      <c r="U174" s="11">
        <v>0.223</v>
      </c>
      <c r="V174" s="11">
        <v>0.2288</v>
      </c>
      <c r="W174" s="11"/>
      <c r="X174" s="64">
        <f t="shared" si="4"/>
        <v>5.7999999999999996E-3</v>
      </c>
      <c r="Y174" s="22"/>
      <c r="Z174" s="60">
        <f t="shared" si="5"/>
        <v>0</v>
      </c>
    </row>
    <row r="175" spans="1:26" x14ac:dyDescent="0.3">
      <c r="A175" s="34">
        <f t="shared" si="6"/>
        <v>171</v>
      </c>
      <c r="B175" s="36" t="s">
        <v>206</v>
      </c>
      <c r="C175" s="19" t="s">
        <v>27</v>
      </c>
      <c r="D175" s="18" t="s">
        <v>26</v>
      </c>
      <c r="E175" s="18" t="s">
        <v>26</v>
      </c>
      <c r="F175" s="11"/>
      <c r="G175" s="11"/>
      <c r="H175" s="11"/>
      <c r="I175" s="18" t="s">
        <v>31</v>
      </c>
      <c r="J175" s="18" t="s">
        <v>25</v>
      </c>
      <c r="K175" s="11"/>
      <c r="L175" s="22">
        <v>200</v>
      </c>
      <c r="M175" s="11"/>
      <c r="N175" s="11"/>
      <c r="O175" s="26">
        <v>45131</v>
      </c>
      <c r="P175" s="55">
        <v>2.2879999999999998</v>
      </c>
      <c r="Q175" s="25">
        <v>0.2</v>
      </c>
      <c r="R175" s="11"/>
      <c r="S175" s="11"/>
      <c r="T175" s="11"/>
      <c r="U175" s="11">
        <v>0.23499999999999999</v>
      </c>
      <c r="V175" s="11">
        <v>0.23649999999999999</v>
      </c>
      <c r="W175" s="11"/>
      <c r="X175" s="64">
        <f t="shared" si="4"/>
        <v>1.5000000000000013E-3</v>
      </c>
      <c r="Y175" s="22"/>
      <c r="Z175" s="60">
        <f t="shared" si="5"/>
        <v>0</v>
      </c>
    </row>
    <row r="176" spans="1:26" x14ac:dyDescent="0.3">
      <c r="A176" s="34">
        <f t="shared" si="6"/>
        <v>172</v>
      </c>
      <c r="B176" s="36" t="s">
        <v>207</v>
      </c>
      <c r="C176" s="19" t="s">
        <v>27</v>
      </c>
      <c r="D176" s="18" t="s">
        <v>26</v>
      </c>
      <c r="E176" s="18" t="s">
        <v>26</v>
      </c>
      <c r="F176" s="11"/>
      <c r="G176" s="11"/>
      <c r="H176" s="11"/>
      <c r="I176" s="18" t="s">
        <v>31</v>
      </c>
      <c r="J176" s="18" t="s">
        <v>25</v>
      </c>
      <c r="K176" s="11"/>
      <c r="L176" s="22">
        <v>190</v>
      </c>
      <c r="M176" s="11"/>
      <c r="N176" s="11"/>
      <c r="O176" s="26">
        <v>45131</v>
      </c>
      <c r="P176" s="55">
        <v>2.1789999999999998</v>
      </c>
      <c r="Q176" s="25">
        <v>0.2</v>
      </c>
      <c r="R176" s="11"/>
      <c r="S176" s="11"/>
      <c r="T176" s="11"/>
      <c r="U176" s="11">
        <v>0.23</v>
      </c>
      <c r="V176" s="11">
        <v>0.2319</v>
      </c>
      <c r="W176" s="11"/>
      <c r="X176" s="64">
        <f t="shared" si="4"/>
        <v>1.899999999999985E-3</v>
      </c>
      <c r="Y176" s="22"/>
      <c r="Z176" s="60">
        <f t="shared" si="5"/>
        <v>0</v>
      </c>
    </row>
    <row r="177" spans="1:26" x14ac:dyDescent="0.3">
      <c r="A177" s="34">
        <f t="shared" si="6"/>
        <v>173</v>
      </c>
      <c r="B177" s="36" t="s">
        <v>208</v>
      </c>
      <c r="C177" s="19" t="s">
        <v>27</v>
      </c>
      <c r="D177" s="18" t="s">
        <v>26</v>
      </c>
      <c r="E177" s="18" t="s">
        <v>26</v>
      </c>
      <c r="F177" s="11"/>
      <c r="G177" s="11"/>
      <c r="H177" s="11"/>
      <c r="I177" s="18" t="s">
        <v>31</v>
      </c>
      <c r="J177" s="18" t="s">
        <v>25</v>
      </c>
      <c r="K177" s="11"/>
      <c r="L177" s="22">
        <v>210</v>
      </c>
      <c r="M177" s="11"/>
      <c r="N177" s="11"/>
      <c r="O177" s="26">
        <v>45131</v>
      </c>
      <c r="P177" s="55">
        <v>2.1970000000000001</v>
      </c>
      <c r="Q177" s="25">
        <v>0.2</v>
      </c>
      <c r="R177" s="11"/>
      <c r="S177" s="11"/>
      <c r="T177" s="11"/>
      <c r="U177" s="11">
        <v>0.23499999999999999</v>
      </c>
      <c r="V177" s="11">
        <v>0.2404</v>
      </c>
      <c r="W177" s="11"/>
      <c r="X177" s="64">
        <f t="shared" si="4"/>
        <v>5.4000000000000159E-3</v>
      </c>
      <c r="Y177" s="22"/>
      <c r="Z177" s="60">
        <f t="shared" si="5"/>
        <v>0</v>
      </c>
    </row>
    <row r="178" spans="1:26" x14ac:dyDescent="0.3">
      <c r="A178" s="34">
        <f t="shared" si="6"/>
        <v>174</v>
      </c>
      <c r="B178" s="36" t="s">
        <v>209</v>
      </c>
      <c r="C178" s="19" t="s">
        <v>27</v>
      </c>
      <c r="D178" s="18" t="s">
        <v>26</v>
      </c>
      <c r="E178" s="18" t="s">
        <v>26</v>
      </c>
      <c r="F178" s="11"/>
      <c r="G178" s="11"/>
      <c r="H178" s="11"/>
      <c r="I178" s="18" t="s">
        <v>31</v>
      </c>
      <c r="J178" s="18" t="s">
        <v>25</v>
      </c>
      <c r="K178" s="11"/>
      <c r="L178" s="22">
        <v>200</v>
      </c>
      <c r="M178" s="11"/>
      <c r="N178" s="11"/>
      <c r="O178" s="26">
        <v>45131</v>
      </c>
      <c r="P178" s="55">
        <v>2.2629999999999999</v>
      </c>
      <c r="Q178" s="25">
        <v>0.2</v>
      </c>
      <c r="R178" s="11"/>
      <c r="S178" s="11"/>
      <c r="T178" s="11"/>
      <c r="U178" s="11">
        <v>0.23300000000000001</v>
      </c>
      <c r="V178" s="11">
        <v>0.23519999999999999</v>
      </c>
      <c r="W178" s="11"/>
      <c r="X178" s="64">
        <f t="shared" si="4"/>
        <v>2.1999999999999797E-3</v>
      </c>
      <c r="Y178" s="22"/>
      <c r="Z178" s="60">
        <f t="shared" si="5"/>
        <v>0</v>
      </c>
    </row>
    <row r="179" spans="1:26" x14ac:dyDescent="0.3">
      <c r="A179" s="34">
        <f t="shared" si="6"/>
        <v>175</v>
      </c>
      <c r="B179" s="36" t="s">
        <v>210</v>
      </c>
      <c r="C179" s="19" t="s">
        <v>27</v>
      </c>
      <c r="D179" s="18" t="s">
        <v>26</v>
      </c>
      <c r="E179" s="18" t="s">
        <v>26</v>
      </c>
      <c r="F179" s="11"/>
      <c r="G179" s="11"/>
      <c r="H179" s="11"/>
      <c r="I179" s="18" t="s">
        <v>31</v>
      </c>
      <c r="J179" s="18" t="s">
        <v>25</v>
      </c>
      <c r="K179" s="11"/>
      <c r="L179" s="22">
        <v>200</v>
      </c>
      <c r="M179" s="11"/>
      <c r="N179" s="11"/>
      <c r="O179" s="26">
        <v>45131</v>
      </c>
      <c r="P179" s="55">
        <v>2.1960000000000002</v>
      </c>
      <c r="Q179" s="25">
        <v>0.2</v>
      </c>
      <c r="R179" s="11"/>
      <c r="S179" s="11"/>
      <c r="T179" s="11"/>
      <c r="U179" s="11">
        <v>0.222</v>
      </c>
      <c r="V179" s="11">
        <v>0.22900000000000001</v>
      </c>
      <c r="W179" s="11"/>
      <c r="X179" s="64">
        <f t="shared" si="4"/>
        <v>7.0000000000000062E-3</v>
      </c>
      <c r="Y179" s="22"/>
      <c r="Z179" s="60">
        <f t="shared" si="5"/>
        <v>0</v>
      </c>
    </row>
    <row r="180" spans="1:26" x14ac:dyDescent="0.3">
      <c r="A180" s="34">
        <f>A179+1</f>
        <v>176</v>
      </c>
      <c r="B180" s="36" t="s">
        <v>211</v>
      </c>
      <c r="C180" s="19" t="s">
        <v>27</v>
      </c>
      <c r="D180" s="18" t="s">
        <v>26</v>
      </c>
      <c r="E180" s="18" t="s">
        <v>26</v>
      </c>
      <c r="F180" s="11"/>
      <c r="G180" s="11"/>
      <c r="H180" s="11"/>
      <c r="I180" s="18" t="s">
        <v>31</v>
      </c>
      <c r="J180" s="18" t="s">
        <v>25</v>
      </c>
      <c r="K180" s="11"/>
      <c r="L180" s="22">
        <v>190</v>
      </c>
      <c r="M180" s="11"/>
      <c r="N180" s="11"/>
      <c r="O180" s="26">
        <v>45131</v>
      </c>
      <c r="P180" s="55">
        <v>2.1480000000000001</v>
      </c>
      <c r="Q180" s="25">
        <v>0.2</v>
      </c>
      <c r="R180" s="11"/>
      <c r="S180" s="11"/>
      <c r="T180" s="11"/>
      <c r="U180" s="11">
        <v>0.23699999999999999</v>
      </c>
      <c r="V180" s="11">
        <v>0.23330000000000001</v>
      </c>
      <c r="W180" s="11"/>
      <c r="X180" s="64">
        <f t="shared" si="4"/>
        <v>-3.6999999999999811E-3</v>
      </c>
      <c r="Y180" s="22"/>
      <c r="Z180" s="60">
        <f t="shared" si="5"/>
        <v>0</v>
      </c>
    </row>
    <row r="181" spans="1:26" x14ac:dyDescent="0.3">
      <c r="A181" s="34">
        <f t="shared" si="6"/>
        <v>177</v>
      </c>
      <c r="B181" s="36" t="s">
        <v>212</v>
      </c>
      <c r="C181" s="19" t="s">
        <v>27</v>
      </c>
      <c r="D181" s="18" t="s">
        <v>26</v>
      </c>
      <c r="E181" s="18" t="s">
        <v>26</v>
      </c>
      <c r="F181" s="11"/>
      <c r="G181" s="11"/>
      <c r="H181" s="11"/>
      <c r="I181" s="18" t="s">
        <v>31</v>
      </c>
      <c r="J181" s="18" t="s">
        <v>25</v>
      </c>
      <c r="K181" s="11"/>
      <c r="L181" s="22">
        <v>200</v>
      </c>
      <c r="M181" s="11"/>
      <c r="N181" s="11"/>
      <c r="O181" s="26">
        <v>45131</v>
      </c>
      <c r="P181" s="55">
        <v>2.1349999999999998</v>
      </c>
      <c r="Q181" s="25">
        <v>0.2</v>
      </c>
      <c r="R181" s="11"/>
      <c r="S181" s="11"/>
      <c r="T181" s="11"/>
      <c r="U181" s="11">
        <v>0.23499999999999999</v>
      </c>
      <c r="V181" s="11">
        <v>0.2424</v>
      </c>
      <c r="W181" s="11"/>
      <c r="X181" s="64">
        <f t="shared" si="4"/>
        <v>7.4000000000000177E-3</v>
      </c>
      <c r="Y181" s="22"/>
      <c r="Z181" s="60">
        <f t="shared" si="5"/>
        <v>0</v>
      </c>
    </row>
    <row r="182" spans="1:26" x14ac:dyDescent="0.3">
      <c r="A182" s="34">
        <f t="shared" si="6"/>
        <v>178</v>
      </c>
      <c r="B182" s="36" t="s">
        <v>213</v>
      </c>
      <c r="C182" s="19" t="s">
        <v>27</v>
      </c>
      <c r="D182" s="18" t="s">
        <v>26</v>
      </c>
      <c r="E182" s="18" t="s">
        <v>26</v>
      </c>
      <c r="F182" s="11"/>
      <c r="G182" s="11"/>
      <c r="H182" s="11"/>
      <c r="I182" s="18" t="s">
        <v>31</v>
      </c>
      <c r="J182" s="18" t="s">
        <v>25</v>
      </c>
      <c r="K182" s="11"/>
      <c r="L182" s="22">
        <v>200</v>
      </c>
      <c r="M182" s="11"/>
      <c r="N182" s="11"/>
      <c r="O182" s="26">
        <v>45131</v>
      </c>
      <c r="P182" s="55">
        <v>2.0670000000000002</v>
      </c>
      <c r="Q182" s="25">
        <v>0.2</v>
      </c>
      <c r="R182" s="11"/>
      <c r="S182" s="11"/>
      <c r="T182" s="11"/>
      <c r="U182" s="11">
        <v>0.23599999999999999</v>
      </c>
      <c r="V182" s="11">
        <v>0.2366</v>
      </c>
      <c r="W182" s="11"/>
      <c r="X182" s="64">
        <f t="shared" si="4"/>
        <v>6.0000000000001719E-4</v>
      </c>
      <c r="Y182" s="22"/>
      <c r="Z182" s="60">
        <f t="shared" si="5"/>
        <v>0</v>
      </c>
    </row>
    <row r="183" spans="1:26" x14ac:dyDescent="0.3">
      <c r="A183" s="34">
        <f t="shared" si="6"/>
        <v>179</v>
      </c>
      <c r="B183" s="36" t="s">
        <v>214</v>
      </c>
      <c r="C183" s="19" t="s">
        <v>27</v>
      </c>
      <c r="D183" s="18" t="s">
        <v>26</v>
      </c>
      <c r="E183" s="18" t="s">
        <v>26</v>
      </c>
      <c r="F183" s="11"/>
      <c r="G183" s="11"/>
      <c r="H183" s="11"/>
      <c r="I183" s="18" t="s">
        <v>31</v>
      </c>
      <c r="J183" s="18" t="s">
        <v>25</v>
      </c>
      <c r="K183" s="11"/>
      <c r="L183" s="22">
        <v>200</v>
      </c>
      <c r="M183" s="11"/>
      <c r="N183" s="11"/>
      <c r="O183" s="26">
        <v>45131</v>
      </c>
      <c r="P183" s="55">
        <v>3.7330000000000001</v>
      </c>
      <c r="Q183" s="25">
        <v>0.2</v>
      </c>
      <c r="R183" s="11"/>
      <c r="S183" s="11"/>
      <c r="T183" s="11"/>
      <c r="U183" s="11">
        <v>0.23400000000000001</v>
      </c>
      <c r="V183" s="11">
        <v>0.23649999999999999</v>
      </c>
      <c r="W183" s="11"/>
      <c r="X183" s="64">
        <f t="shared" si="4"/>
        <v>2.4999999999999745E-3</v>
      </c>
      <c r="Y183" s="22"/>
      <c r="Z183" s="60">
        <f t="shared" si="5"/>
        <v>0</v>
      </c>
    </row>
    <row r="184" spans="1:26" x14ac:dyDescent="0.3">
      <c r="A184" s="34">
        <f t="shared" si="6"/>
        <v>180</v>
      </c>
      <c r="B184" s="36" t="s">
        <v>215</v>
      </c>
      <c r="C184" s="19" t="s">
        <v>27</v>
      </c>
      <c r="D184" s="18" t="s">
        <v>26</v>
      </c>
      <c r="E184" s="18" t="s">
        <v>26</v>
      </c>
      <c r="F184" s="11"/>
      <c r="G184" s="11"/>
      <c r="H184" s="11"/>
      <c r="I184" s="18" t="s">
        <v>31</v>
      </c>
      <c r="J184" s="18" t="s">
        <v>25</v>
      </c>
      <c r="K184" s="11"/>
      <c r="L184" s="22">
        <v>200</v>
      </c>
      <c r="M184" s="11"/>
      <c r="N184" s="11"/>
      <c r="O184" s="26">
        <v>45131</v>
      </c>
      <c r="P184" s="55">
        <v>4.1310000000000002</v>
      </c>
      <c r="Q184" s="25">
        <v>0.2</v>
      </c>
      <c r="R184" s="11"/>
      <c r="S184" s="11"/>
      <c r="T184" s="11"/>
      <c r="U184" s="11">
        <v>0.22900000000000001</v>
      </c>
      <c r="V184" s="11">
        <v>0.2298</v>
      </c>
      <c r="W184" s="11"/>
      <c r="X184" s="64">
        <f t="shared" si="4"/>
        <v>7.9999999999999516E-4</v>
      </c>
      <c r="Y184" s="22"/>
      <c r="Z184" s="60">
        <f t="shared" si="5"/>
        <v>0</v>
      </c>
    </row>
    <row r="185" spans="1:26" x14ac:dyDescent="0.3">
      <c r="A185" s="34">
        <f t="shared" si="6"/>
        <v>181</v>
      </c>
      <c r="B185" s="36" t="s">
        <v>216</v>
      </c>
      <c r="C185" s="19" t="s">
        <v>27</v>
      </c>
      <c r="D185" s="18" t="s">
        <v>26</v>
      </c>
      <c r="E185" s="18" t="s">
        <v>26</v>
      </c>
      <c r="F185" s="11"/>
      <c r="G185" s="11"/>
      <c r="H185" s="11"/>
      <c r="I185" s="18" t="s">
        <v>31</v>
      </c>
      <c r="J185" s="18" t="s">
        <v>25</v>
      </c>
      <c r="K185" s="11"/>
      <c r="L185" s="22">
        <v>220</v>
      </c>
      <c r="M185" s="11"/>
      <c r="N185" s="11"/>
      <c r="O185" s="26">
        <v>45131</v>
      </c>
      <c r="P185" s="55">
        <v>3.544</v>
      </c>
      <c r="Q185" s="25">
        <v>0.2</v>
      </c>
      <c r="R185" s="11"/>
      <c r="S185" s="11"/>
      <c r="T185" s="11"/>
      <c r="U185" s="11">
        <v>0.23200000000000001</v>
      </c>
      <c r="V185" s="11">
        <v>0.23319999999999999</v>
      </c>
      <c r="W185" s="11"/>
      <c r="X185" s="64">
        <f t="shared" si="4"/>
        <v>1.1999999999999789E-3</v>
      </c>
      <c r="Y185" s="22"/>
      <c r="Z185" s="60">
        <f t="shared" si="5"/>
        <v>0</v>
      </c>
    </row>
    <row r="186" spans="1:26" x14ac:dyDescent="0.3">
      <c r="A186" s="34">
        <f t="shared" si="6"/>
        <v>182</v>
      </c>
      <c r="B186" s="36" t="s">
        <v>217</v>
      </c>
      <c r="C186" s="19" t="s">
        <v>27</v>
      </c>
      <c r="D186" s="18" t="s">
        <v>26</v>
      </c>
      <c r="E186" s="18" t="s">
        <v>26</v>
      </c>
      <c r="F186" s="11"/>
      <c r="G186" s="11"/>
      <c r="H186" s="11"/>
      <c r="I186" s="18" t="s">
        <v>31</v>
      </c>
      <c r="J186" s="18" t="s">
        <v>25</v>
      </c>
      <c r="K186" s="11"/>
      <c r="L186" s="22">
        <v>190</v>
      </c>
      <c r="M186" s="11"/>
      <c r="N186" s="11"/>
      <c r="O186" s="26">
        <v>45131</v>
      </c>
      <c r="P186" s="55">
        <v>3.5310000000000001</v>
      </c>
      <c r="Q186" s="25">
        <v>0.2</v>
      </c>
      <c r="R186" s="11"/>
      <c r="S186" s="11"/>
      <c r="T186" s="11"/>
      <c r="U186" s="11">
        <v>0.23499999999999999</v>
      </c>
      <c r="V186" s="11">
        <v>0.2359</v>
      </c>
      <c r="W186" s="11"/>
      <c r="X186" s="64">
        <f t="shared" si="4"/>
        <v>9.000000000000119E-4</v>
      </c>
      <c r="Y186" s="22"/>
      <c r="Z186" s="60">
        <f t="shared" si="5"/>
        <v>0</v>
      </c>
    </row>
    <row r="187" spans="1:26" x14ac:dyDescent="0.3">
      <c r="A187" s="34">
        <f t="shared" si="6"/>
        <v>183</v>
      </c>
      <c r="B187" s="36" t="s">
        <v>218</v>
      </c>
      <c r="C187" s="19" t="s">
        <v>27</v>
      </c>
      <c r="D187" s="18" t="s">
        <v>26</v>
      </c>
      <c r="E187" s="18" t="s">
        <v>26</v>
      </c>
      <c r="F187" s="11"/>
      <c r="G187" s="11"/>
      <c r="H187" s="11"/>
      <c r="I187" s="18" t="s">
        <v>31</v>
      </c>
      <c r="J187" s="18" t="s">
        <v>25</v>
      </c>
      <c r="K187" s="11"/>
      <c r="L187" s="22">
        <v>240</v>
      </c>
      <c r="M187" s="11"/>
      <c r="N187" s="11"/>
      <c r="O187" s="26">
        <v>45131</v>
      </c>
      <c r="P187" s="55">
        <v>3.403</v>
      </c>
      <c r="Q187" s="25">
        <v>0.2</v>
      </c>
      <c r="R187" s="11"/>
      <c r="S187" s="11"/>
      <c r="T187" s="11"/>
      <c r="U187" s="11">
        <v>0.23499999999999999</v>
      </c>
      <c r="V187" s="11">
        <v>0.2364</v>
      </c>
      <c r="W187" s="11"/>
      <c r="X187" s="64">
        <f t="shared" si="4"/>
        <v>1.4000000000000123E-3</v>
      </c>
      <c r="Y187" s="22"/>
      <c r="Z187" s="60">
        <f t="shared" si="5"/>
        <v>0</v>
      </c>
    </row>
    <row r="188" spans="1:26" x14ac:dyDescent="0.3">
      <c r="A188" s="34">
        <f t="shared" si="6"/>
        <v>184</v>
      </c>
      <c r="B188" s="36" t="s">
        <v>219</v>
      </c>
      <c r="C188" s="19" t="s">
        <v>27</v>
      </c>
      <c r="D188" s="18" t="s">
        <v>26</v>
      </c>
      <c r="E188" s="18" t="s">
        <v>26</v>
      </c>
      <c r="F188" s="11"/>
      <c r="G188" s="11"/>
      <c r="H188" s="11"/>
      <c r="I188" s="18" t="s">
        <v>31</v>
      </c>
      <c r="J188" s="18" t="s">
        <v>25</v>
      </c>
      <c r="K188" s="11"/>
      <c r="L188" s="22">
        <v>270</v>
      </c>
      <c r="M188" s="11"/>
      <c r="N188" s="11"/>
      <c r="O188" s="26">
        <v>45131</v>
      </c>
      <c r="P188" s="55">
        <v>3.9609999999999999</v>
      </c>
      <c r="Q188" s="25">
        <v>0.2</v>
      </c>
      <c r="R188" s="11"/>
      <c r="S188" s="11"/>
      <c r="T188" s="11"/>
      <c r="U188" s="11">
        <v>0.23499999999999999</v>
      </c>
      <c r="V188" s="11">
        <v>0.23749999999999999</v>
      </c>
      <c r="W188" s="11"/>
      <c r="X188" s="64">
        <f t="shared" si="4"/>
        <v>2.5000000000000022E-3</v>
      </c>
      <c r="Y188" s="22"/>
      <c r="Z188" s="60">
        <f t="shared" si="5"/>
        <v>0</v>
      </c>
    </row>
    <row r="189" spans="1:26" x14ac:dyDescent="0.3">
      <c r="A189" s="34">
        <f t="shared" si="6"/>
        <v>185</v>
      </c>
      <c r="B189" s="36" t="s">
        <v>220</v>
      </c>
      <c r="C189" s="19" t="s">
        <v>27</v>
      </c>
      <c r="D189" s="18" t="s">
        <v>26</v>
      </c>
      <c r="E189" s="18" t="s">
        <v>26</v>
      </c>
      <c r="F189" s="11"/>
      <c r="G189" s="11"/>
      <c r="H189" s="11"/>
      <c r="I189" s="18" t="s">
        <v>31</v>
      </c>
      <c r="J189" s="18" t="s">
        <v>25</v>
      </c>
      <c r="K189" s="11"/>
      <c r="L189" s="22">
        <v>230</v>
      </c>
      <c r="M189" s="11"/>
      <c r="N189" s="11"/>
      <c r="O189" s="26">
        <v>45131</v>
      </c>
      <c r="P189" s="55">
        <v>3.5990000000000002</v>
      </c>
      <c r="Q189" s="25">
        <v>0.2</v>
      </c>
      <c r="R189" s="11"/>
      <c r="S189" s="11"/>
      <c r="T189" s="11"/>
      <c r="U189" s="11">
        <v>0.23400000000000001</v>
      </c>
      <c r="V189" s="11">
        <v>0.23449999999999999</v>
      </c>
      <c r="W189" s="11"/>
      <c r="X189" s="64">
        <f t="shared" si="4"/>
        <v>4.9999999999997269E-4</v>
      </c>
      <c r="Y189" s="22"/>
      <c r="Z189" s="60">
        <f t="shared" si="5"/>
        <v>0</v>
      </c>
    </row>
    <row r="190" spans="1:26" x14ac:dyDescent="0.3">
      <c r="A190" s="34">
        <f t="shared" si="6"/>
        <v>186</v>
      </c>
      <c r="B190" s="36" t="s">
        <v>221</v>
      </c>
      <c r="C190" s="19" t="s">
        <v>27</v>
      </c>
      <c r="D190" s="18" t="s">
        <v>26</v>
      </c>
      <c r="E190" s="18" t="s">
        <v>26</v>
      </c>
      <c r="F190" s="11"/>
      <c r="G190" s="11"/>
      <c r="H190" s="11"/>
      <c r="I190" s="18" t="s">
        <v>31</v>
      </c>
      <c r="J190" s="18" t="s">
        <v>25</v>
      </c>
      <c r="K190" s="11"/>
      <c r="L190" s="22">
        <v>270</v>
      </c>
      <c r="M190" s="11"/>
      <c r="N190" s="11"/>
      <c r="O190" s="26">
        <v>45131</v>
      </c>
      <c r="P190" s="55">
        <v>3.7490000000000001</v>
      </c>
      <c r="Q190" s="25">
        <v>0.2</v>
      </c>
      <c r="R190" s="11"/>
      <c r="S190" s="11"/>
      <c r="T190" s="11"/>
      <c r="U190" s="11">
        <v>0.23400000000000001</v>
      </c>
      <c r="V190" s="11">
        <v>0.2349</v>
      </c>
      <c r="W190" s="11"/>
      <c r="X190" s="64">
        <f t="shared" si="4"/>
        <v>8.9999999999998415E-4</v>
      </c>
      <c r="Y190" s="22"/>
      <c r="Z190" s="60">
        <f t="shared" si="5"/>
        <v>0</v>
      </c>
    </row>
    <row r="191" spans="1:26" x14ac:dyDescent="0.3">
      <c r="A191" s="34">
        <f t="shared" si="6"/>
        <v>187</v>
      </c>
      <c r="B191" s="36" t="s">
        <v>222</v>
      </c>
      <c r="C191" s="19" t="s">
        <v>27</v>
      </c>
      <c r="D191" s="18" t="s">
        <v>26</v>
      </c>
      <c r="E191" s="18" t="s">
        <v>26</v>
      </c>
      <c r="F191" s="11"/>
      <c r="G191" s="11"/>
      <c r="H191" s="11"/>
      <c r="I191" s="18" t="s">
        <v>31</v>
      </c>
      <c r="J191" s="18" t="s">
        <v>25</v>
      </c>
      <c r="K191" s="11"/>
      <c r="L191" s="22">
        <v>200</v>
      </c>
      <c r="M191" s="11"/>
      <c r="N191" s="11"/>
      <c r="O191" s="26">
        <v>45131</v>
      </c>
      <c r="P191" s="55">
        <v>3.5259999999999998</v>
      </c>
      <c r="Q191" s="25">
        <v>0.2</v>
      </c>
      <c r="R191" s="11"/>
      <c r="S191" s="11"/>
      <c r="T191" s="11"/>
      <c r="U191" s="11">
        <v>0.23200000000000001</v>
      </c>
      <c r="V191" s="11">
        <v>0.23350000000000001</v>
      </c>
      <c r="W191" s="11"/>
      <c r="X191" s="64">
        <f t="shared" si="4"/>
        <v>1.5000000000000013E-3</v>
      </c>
      <c r="Y191" s="22"/>
      <c r="Z191" s="60">
        <f t="shared" si="5"/>
        <v>0</v>
      </c>
    </row>
    <row r="192" spans="1:26" x14ac:dyDescent="0.3">
      <c r="A192" s="34">
        <f t="shared" si="6"/>
        <v>188</v>
      </c>
      <c r="B192" s="36" t="s">
        <v>223</v>
      </c>
      <c r="C192" s="19" t="s">
        <v>27</v>
      </c>
      <c r="D192" s="18" t="s">
        <v>26</v>
      </c>
      <c r="E192" s="18" t="s">
        <v>26</v>
      </c>
      <c r="F192" s="11"/>
      <c r="G192" s="11"/>
      <c r="H192" s="11"/>
      <c r="I192" s="18" t="s">
        <v>31</v>
      </c>
      <c r="J192" s="18" t="s">
        <v>25</v>
      </c>
      <c r="K192" s="11"/>
      <c r="L192" s="22">
        <v>200</v>
      </c>
      <c r="M192" s="11"/>
      <c r="N192" s="11"/>
      <c r="O192" s="26">
        <v>45131</v>
      </c>
      <c r="P192" s="55">
        <v>3.4729999999999999</v>
      </c>
      <c r="Q192" s="25">
        <v>0.2</v>
      </c>
      <c r="R192" s="11"/>
      <c r="S192" s="11"/>
      <c r="T192" s="11"/>
      <c r="U192" s="11">
        <v>0.23710000000000001</v>
      </c>
      <c r="V192" s="11">
        <v>0.23780000000000001</v>
      </c>
      <c r="W192" s="11"/>
      <c r="X192" s="64">
        <f t="shared" si="4"/>
        <v>7.0000000000000617E-4</v>
      </c>
      <c r="Y192" s="22"/>
      <c r="Z192" s="60">
        <f t="shared" si="5"/>
        <v>0</v>
      </c>
    </row>
    <row r="193" spans="1:26" x14ac:dyDescent="0.3">
      <c r="A193" s="34">
        <f t="shared" si="6"/>
        <v>189</v>
      </c>
      <c r="B193" s="36" t="s">
        <v>224</v>
      </c>
      <c r="C193" s="19" t="s">
        <v>27</v>
      </c>
      <c r="D193" s="18" t="s">
        <v>26</v>
      </c>
      <c r="E193" s="18" t="s">
        <v>26</v>
      </c>
      <c r="F193" s="11"/>
      <c r="G193" s="11"/>
      <c r="H193" s="11"/>
      <c r="I193" s="18" t="s">
        <v>31</v>
      </c>
      <c r="J193" s="18" t="s">
        <v>25</v>
      </c>
      <c r="K193" s="11"/>
      <c r="L193" s="22">
        <v>190</v>
      </c>
      <c r="M193" s="11"/>
      <c r="N193" s="11"/>
      <c r="O193" s="26">
        <v>45131</v>
      </c>
      <c r="P193" s="55">
        <v>3.6890000000000001</v>
      </c>
      <c r="Q193" s="25">
        <v>0.2</v>
      </c>
      <c r="R193" s="11"/>
      <c r="S193" s="11"/>
      <c r="T193" s="11"/>
      <c r="U193" s="11">
        <v>0.23250000000000001</v>
      </c>
      <c r="V193" s="11">
        <v>0.2334</v>
      </c>
      <c r="W193" s="11"/>
      <c r="X193" s="64">
        <f t="shared" si="4"/>
        <v>8.9999999999998415E-4</v>
      </c>
      <c r="Y193" s="22"/>
      <c r="Z193" s="60">
        <f t="shared" si="5"/>
        <v>0</v>
      </c>
    </row>
    <row r="194" spans="1:26" x14ac:dyDescent="0.3">
      <c r="A194" s="80">
        <f t="shared" si="6"/>
        <v>190</v>
      </c>
      <c r="B194" s="81" t="s">
        <v>225</v>
      </c>
      <c r="C194" s="82" t="s">
        <v>27</v>
      </c>
      <c r="D194" s="83" t="s">
        <v>26</v>
      </c>
      <c r="E194" s="83" t="s">
        <v>26</v>
      </c>
      <c r="F194" s="84"/>
      <c r="G194" s="84"/>
      <c r="H194" s="84"/>
      <c r="I194" s="83" t="s">
        <v>31</v>
      </c>
      <c r="J194" s="83" t="s">
        <v>25</v>
      </c>
      <c r="K194" s="84"/>
      <c r="L194" s="85">
        <v>200</v>
      </c>
      <c r="M194" s="84"/>
      <c r="N194" s="84"/>
      <c r="O194" s="86">
        <v>45131</v>
      </c>
      <c r="P194" s="87">
        <v>3.8290000000000002</v>
      </c>
      <c r="Q194" s="88">
        <v>0.2</v>
      </c>
      <c r="R194" s="84"/>
      <c r="S194" s="84"/>
      <c r="T194" s="84"/>
      <c r="U194" s="84">
        <v>0.23849999999999999</v>
      </c>
      <c r="V194" s="84">
        <v>0.2417</v>
      </c>
      <c r="W194" s="84"/>
      <c r="X194" s="84">
        <f t="shared" si="4"/>
        <v>3.2000000000000084E-3</v>
      </c>
      <c r="Y194" s="85"/>
      <c r="Z194" s="89">
        <f t="shared" si="5"/>
        <v>0</v>
      </c>
    </row>
    <row r="195" spans="1:26" x14ac:dyDescent="0.3">
      <c r="A195" s="80">
        <f t="shared" si="6"/>
        <v>191</v>
      </c>
      <c r="B195" s="81" t="s">
        <v>226</v>
      </c>
      <c r="C195" s="82" t="s">
        <v>27</v>
      </c>
      <c r="D195" s="83" t="s">
        <v>26</v>
      </c>
      <c r="E195" s="83" t="s">
        <v>26</v>
      </c>
      <c r="F195" s="84"/>
      <c r="G195" s="84"/>
      <c r="H195" s="84"/>
      <c r="I195" s="83" t="s">
        <v>31</v>
      </c>
      <c r="J195" s="83" t="s">
        <v>25</v>
      </c>
      <c r="K195" s="84"/>
      <c r="L195" s="85">
        <v>200</v>
      </c>
      <c r="M195" s="84"/>
      <c r="N195" s="84"/>
      <c r="O195" s="86">
        <v>45131</v>
      </c>
      <c r="P195" s="87">
        <v>3.4729999999999999</v>
      </c>
      <c r="Q195" s="88">
        <v>0.2</v>
      </c>
      <c r="R195" s="84"/>
      <c r="S195" s="84"/>
      <c r="T195" s="84"/>
      <c r="U195" s="84">
        <v>0.23760000000000001</v>
      </c>
      <c r="V195" s="84">
        <v>0.23769999999999999</v>
      </c>
      <c r="W195" s="84"/>
      <c r="X195" s="84">
        <f t="shared" si="4"/>
        <v>9.9999999999988987E-5</v>
      </c>
      <c r="Y195" s="85"/>
      <c r="Z195" s="89">
        <f t="shared" si="5"/>
        <v>0</v>
      </c>
    </row>
    <row r="196" spans="1:26" x14ac:dyDescent="0.3">
      <c r="A196" s="80">
        <f t="shared" si="6"/>
        <v>192</v>
      </c>
      <c r="B196" s="81" t="s">
        <v>227</v>
      </c>
      <c r="C196" s="82" t="s">
        <v>27</v>
      </c>
      <c r="D196" s="83" t="s">
        <v>26</v>
      </c>
      <c r="E196" s="83" t="s">
        <v>26</v>
      </c>
      <c r="F196" s="84"/>
      <c r="G196" s="84"/>
      <c r="H196" s="84"/>
      <c r="I196" s="83" t="s">
        <v>31</v>
      </c>
      <c r="J196" s="83" t="s">
        <v>25</v>
      </c>
      <c r="K196" s="84"/>
      <c r="L196" s="85">
        <v>190</v>
      </c>
      <c r="M196" s="84"/>
      <c r="N196" s="84"/>
      <c r="O196" s="86">
        <v>45131</v>
      </c>
      <c r="P196" s="87">
        <v>3.4209999999999998</v>
      </c>
      <c r="Q196" s="88">
        <v>0.2</v>
      </c>
      <c r="R196" s="84"/>
      <c r="S196" s="84"/>
      <c r="T196" s="84"/>
      <c r="U196" s="84">
        <v>0.23649999999999999</v>
      </c>
      <c r="V196" s="84">
        <v>0.23769999999999999</v>
      </c>
      <c r="W196" s="84"/>
      <c r="X196" s="84">
        <f t="shared" si="4"/>
        <v>1.2000000000000066E-3</v>
      </c>
      <c r="Y196" s="85"/>
      <c r="Z196" s="89">
        <f t="shared" si="5"/>
        <v>0</v>
      </c>
    </row>
    <row r="197" spans="1:26" x14ac:dyDescent="0.3">
      <c r="A197" s="80">
        <f t="shared" si="6"/>
        <v>193</v>
      </c>
      <c r="B197" s="81" t="s">
        <v>228</v>
      </c>
      <c r="C197" s="82" t="s">
        <v>27</v>
      </c>
      <c r="D197" s="83" t="s">
        <v>26</v>
      </c>
      <c r="E197" s="83" t="s">
        <v>26</v>
      </c>
      <c r="F197" s="84"/>
      <c r="G197" s="84"/>
      <c r="H197" s="84"/>
      <c r="I197" s="83" t="s">
        <v>31</v>
      </c>
      <c r="J197" s="83" t="s">
        <v>25</v>
      </c>
      <c r="K197" s="84"/>
      <c r="L197" s="85" t="s">
        <v>197</v>
      </c>
      <c r="M197" s="84"/>
      <c r="N197" s="84"/>
      <c r="O197" s="86">
        <v>45131</v>
      </c>
      <c r="P197" s="87">
        <v>3.3460000000000001</v>
      </c>
      <c r="Q197" s="88">
        <v>0.2</v>
      </c>
      <c r="R197" s="84"/>
      <c r="S197" s="84"/>
      <c r="T197" s="84"/>
      <c r="U197" s="84">
        <v>0.23749999999999999</v>
      </c>
      <c r="V197" s="84">
        <v>0.23780000000000001</v>
      </c>
      <c r="W197" s="84"/>
      <c r="X197" s="84">
        <f t="shared" si="4"/>
        <v>3.0000000000002247E-4</v>
      </c>
      <c r="Y197" s="85"/>
      <c r="Z197" s="89" t="e">
        <f t="shared" si="5"/>
        <v>#VALUE!</v>
      </c>
    </row>
    <row r="198" spans="1:26" x14ac:dyDescent="0.3">
      <c r="A198" s="90">
        <v>195</v>
      </c>
      <c r="B198" s="70" t="s">
        <v>229</v>
      </c>
      <c r="C198" s="91" t="s">
        <v>27</v>
      </c>
      <c r="D198" s="92" t="s">
        <v>26</v>
      </c>
      <c r="E198" s="92" t="s">
        <v>26</v>
      </c>
      <c r="F198" s="93"/>
      <c r="G198" s="93"/>
      <c r="H198" s="93"/>
      <c r="I198" s="92" t="s">
        <v>31</v>
      </c>
      <c r="J198" s="92" t="s">
        <v>25</v>
      </c>
      <c r="K198" s="93"/>
      <c r="L198" s="94">
        <v>210</v>
      </c>
      <c r="M198" s="93"/>
      <c r="N198" s="93"/>
      <c r="O198" s="95">
        <v>45131</v>
      </c>
      <c r="P198" s="96">
        <v>3.7290000000000001</v>
      </c>
      <c r="Q198" s="97">
        <v>0.2</v>
      </c>
      <c r="R198" s="93"/>
      <c r="S198" s="93"/>
      <c r="T198" s="93"/>
      <c r="U198" s="93">
        <v>0.23780000000000001</v>
      </c>
      <c r="V198" s="93">
        <v>0.2404</v>
      </c>
      <c r="W198" s="93"/>
      <c r="X198" s="93">
        <f t="shared" si="4"/>
        <v>2.5999999999999912E-3</v>
      </c>
      <c r="Y198" s="94"/>
      <c r="Z198" s="98">
        <f t="shared" ref="Z198:Z261" si="7">Y198/(L198/1000)</f>
        <v>0</v>
      </c>
    </row>
    <row r="199" spans="1:26" x14ac:dyDescent="0.3">
      <c r="A199" s="90">
        <f t="shared" si="6"/>
        <v>196</v>
      </c>
      <c r="B199" s="70" t="s">
        <v>230</v>
      </c>
      <c r="C199" s="91" t="s">
        <v>27</v>
      </c>
      <c r="D199" s="92" t="s">
        <v>26</v>
      </c>
      <c r="E199" s="92" t="s">
        <v>26</v>
      </c>
      <c r="F199" s="93"/>
      <c r="G199" s="93"/>
      <c r="H199" s="93"/>
      <c r="I199" s="92" t="s">
        <v>31</v>
      </c>
      <c r="J199" s="92" t="s">
        <v>25</v>
      </c>
      <c r="K199" s="93"/>
      <c r="L199" s="94">
        <v>190</v>
      </c>
      <c r="M199" s="93"/>
      <c r="N199" s="93"/>
      <c r="O199" s="95">
        <v>45131</v>
      </c>
      <c r="P199" s="96">
        <v>3.573</v>
      </c>
      <c r="Q199" s="97">
        <v>0.2</v>
      </c>
      <c r="R199" s="93"/>
      <c r="S199" s="93"/>
      <c r="T199" s="93"/>
      <c r="U199" s="93">
        <v>0.2354</v>
      </c>
      <c r="V199" s="93">
        <v>0.23719999999999999</v>
      </c>
      <c r="W199" s="93"/>
      <c r="X199" s="93">
        <f t="shared" si="4"/>
        <v>1.799999999999996E-3</v>
      </c>
      <c r="Y199" s="94"/>
      <c r="Z199" s="98">
        <f t="shared" si="7"/>
        <v>0</v>
      </c>
    </row>
    <row r="200" spans="1:26" x14ac:dyDescent="0.3">
      <c r="A200" s="90">
        <f t="shared" si="6"/>
        <v>197</v>
      </c>
      <c r="B200" s="70" t="s">
        <v>231</v>
      </c>
      <c r="C200" s="91" t="s">
        <v>27</v>
      </c>
      <c r="D200" s="92" t="s">
        <v>26</v>
      </c>
      <c r="E200" s="92" t="s">
        <v>26</v>
      </c>
      <c r="F200" s="93"/>
      <c r="G200" s="93"/>
      <c r="H200" s="93"/>
      <c r="I200" s="92" t="s">
        <v>31</v>
      </c>
      <c r="J200" s="92" t="s">
        <v>25</v>
      </c>
      <c r="K200" s="93"/>
      <c r="L200" s="94">
        <v>200</v>
      </c>
      <c r="M200" s="93"/>
      <c r="N200" s="93"/>
      <c r="O200" s="95">
        <v>45131</v>
      </c>
      <c r="P200" s="96">
        <v>3.2410000000000001</v>
      </c>
      <c r="Q200" s="97">
        <v>0.2</v>
      </c>
      <c r="R200" s="93"/>
      <c r="S200" s="93"/>
      <c r="T200" s="93"/>
      <c r="U200" s="93">
        <v>0.23449999999999999</v>
      </c>
      <c r="V200" s="93">
        <v>0.23549999999999999</v>
      </c>
      <c r="W200" s="93"/>
      <c r="X200" s="93">
        <f t="shared" si="4"/>
        <v>1.0000000000000009E-3</v>
      </c>
      <c r="Y200" s="94"/>
      <c r="Z200" s="98">
        <f t="shared" si="7"/>
        <v>0</v>
      </c>
    </row>
    <row r="201" spans="1:26" x14ac:dyDescent="0.3">
      <c r="A201" s="90">
        <f t="shared" si="6"/>
        <v>198</v>
      </c>
      <c r="B201" s="70" t="s">
        <v>232</v>
      </c>
      <c r="C201" s="91" t="s">
        <v>27</v>
      </c>
      <c r="D201" s="92" t="s">
        <v>26</v>
      </c>
      <c r="E201" s="92" t="s">
        <v>26</v>
      </c>
      <c r="F201" s="93"/>
      <c r="G201" s="93"/>
      <c r="H201" s="93"/>
      <c r="I201" s="92" t="s">
        <v>31</v>
      </c>
      <c r="J201" s="92" t="s">
        <v>25</v>
      </c>
      <c r="K201" s="93"/>
      <c r="L201" s="94">
        <v>200</v>
      </c>
      <c r="M201" s="93"/>
      <c r="N201" s="93"/>
      <c r="O201" s="95">
        <v>45131</v>
      </c>
      <c r="P201" s="96">
        <v>3.202</v>
      </c>
      <c r="Q201" s="97">
        <v>0.2</v>
      </c>
      <c r="R201" s="93"/>
      <c r="S201" s="93"/>
      <c r="T201" s="93"/>
      <c r="U201" s="93">
        <v>0.23519999999999999</v>
      </c>
      <c r="V201" s="93">
        <v>0.23599999999999999</v>
      </c>
      <c r="W201" s="93"/>
      <c r="X201" s="93">
        <f t="shared" si="4"/>
        <v>7.9999999999999516E-4</v>
      </c>
      <c r="Y201" s="94"/>
      <c r="Z201" s="98">
        <f t="shared" si="7"/>
        <v>0</v>
      </c>
    </row>
    <row r="202" spans="1:26" x14ac:dyDescent="0.3">
      <c r="A202" s="90">
        <f t="shared" si="6"/>
        <v>199</v>
      </c>
      <c r="B202" s="70" t="s">
        <v>233</v>
      </c>
      <c r="C202" s="91" t="s">
        <v>27</v>
      </c>
      <c r="D202" s="92" t="s">
        <v>26</v>
      </c>
      <c r="E202" s="92" t="s">
        <v>26</v>
      </c>
      <c r="F202" s="93"/>
      <c r="G202" s="93"/>
      <c r="H202" s="93"/>
      <c r="I202" s="92" t="s">
        <v>31</v>
      </c>
      <c r="J202" s="92" t="s">
        <v>25</v>
      </c>
      <c r="K202" s="93"/>
      <c r="L202" s="94">
        <v>210</v>
      </c>
      <c r="M202" s="93"/>
      <c r="N202" s="93"/>
      <c r="O202" s="95">
        <v>45131</v>
      </c>
      <c r="P202" s="96">
        <v>3.234</v>
      </c>
      <c r="Q202" s="97">
        <v>0.2</v>
      </c>
      <c r="R202" s="93"/>
      <c r="S202" s="93"/>
      <c r="T202" s="93"/>
      <c r="U202" s="93">
        <v>0.23469999999999999</v>
      </c>
      <c r="V202" s="93">
        <v>0.2369</v>
      </c>
      <c r="W202" s="93"/>
      <c r="X202" s="93">
        <f t="shared" si="4"/>
        <v>2.2000000000000075E-3</v>
      </c>
      <c r="Y202" s="94"/>
      <c r="Z202" s="98">
        <f t="shared" si="7"/>
        <v>0</v>
      </c>
    </row>
    <row r="203" spans="1:26" x14ac:dyDescent="0.3">
      <c r="A203" s="90">
        <f t="shared" si="6"/>
        <v>200</v>
      </c>
      <c r="B203" s="70" t="s">
        <v>234</v>
      </c>
      <c r="C203" s="91" t="s">
        <v>27</v>
      </c>
      <c r="D203" s="92" t="s">
        <v>26</v>
      </c>
      <c r="E203" s="92" t="s">
        <v>26</v>
      </c>
      <c r="F203" s="93"/>
      <c r="G203" s="93"/>
      <c r="H203" s="93"/>
      <c r="I203" s="92" t="s">
        <v>31</v>
      </c>
      <c r="J203" s="92" t="s">
        <v>25</v>
      </c>
      <c r="K203" s="93"/>
      <c r="L203" s="94">
        <v>150</v>
      </c>
      <c r="M203" s="93"/>
      <c r="N203" s="93"/>
      <c r="O203" s="95">
        <v>45131</v>
      </c>
      <c r="P203" s="96">
        <v>3.2930000000000001</v>
      </c>
      <c r="Q203" s="97">
        <v>0.2</v>
      </c>
      <c r="R203" s="93"/>
      <c r="S203" s="93"/>
      <c r="T203" s="93"/>
      <c r="U203" s="93">
        <v>0.2346</v>
      </c>
      <c r="V203" s="93">
        <v>0.23599999999999999</v>
      </c>
      <c r="W203" s="93"/>
      <c r="X203" s="93">
        <f t="shared" si="4"/>
        <v>1.3999999999999846E-3</v>
      </c>
      <c r="Y203" s="94"/>
      <c r="Z203" s="98">
        <f t="shared" si="7"/>
        <v>0</v>
      </c>
    </row>
    <row r="204" spans="1:26" x14ac:dyDescent="0.3">
      <c r="A204" s="90">
        <f t="shared" si="6"/>
        <v>201</v>
      </c>
      <c r="B204" s="70" t="s">
        <v>235</v>
      </c>
      <c r="C204" s="91" t="s">
        <v>27</v>
      </c>
      <c r="D204" s="92" t="s">
        <v>26</v>
      </c>
      <c r="E204" s="92" t="s">
        <v>26</v>
      </c>
      <c r="F204" s="93"/>
      <c r="G204" s="93"/>
      <c r="H204" s="93"/>
      <c r="I204" s="92" t="s">
        <v>31</v>
      </c>
      <c r="J204" s="92" t="s">
        <v>25</v>
      </c>
      <c r="K204" s="93"/>
      <c r="L204" s="94">
        <v>145</v>
      </c>
      <c r="M204" s="93"/>
      <c r="N204" s="93"/>
      <c r="O204" s="95">
        <v>45131</v>
      </c>
      <c r="P204" s="96">
        <v>3.1789999999999998</v>
      </c>
      <c r="Q204" s="97">
        <v>0.2</v>
      </c>
      <c r="R204" s="93"/>
      <c r="S204" s="93"/>
      <c r="T204" s="93"/>
      <c r="U204" s="93">
        <v>0.23710000000000001</v>
      </c>
      <c r="V204" s="93">
        <v>0.23849999999999999</v>
      </c>
      <c r="W204" s="93"/>
      <c r="X204" s="93">
        <f t="shared" si="4"/>
        <v>1.3999999999999846E-3</v>
      </c>
      <c r="Y204" s="94"/>
      <c r="Z204" s="98">
        <f t="shared" si="7"/>
        <v>0</v>
      </c>
    </row>
    <row r="205" spans="1:26" x14ac:dyDescent="0.3">
      <c r="A205" s="90">
        <f t="shared" si="6"/>
        <v>202</v>
      </c>
      <c r="B205" s="70" t="s">
        <v>236</v>
      </c>
      <c r="C205" s="91" t="s">
        <v>27</v>
      </c>
      <c r="D205" s="92" t="s">
        <v>26</v>
      </c>
      <c r="E205" s="92" t="s">
        <v>26</v>
      </c>
      <c r="F205" s="93"/>
      <c r="G205" s="93"/>
      <c r="H205" s="93"/>
      <c r="I205" s="92" t="s">
        <v>31</v>
      </c>
      <c r="J205" s="92" t="s">
        <v>25</v>
      </c>
      <c r="K205" s="93"/>
      <c r="L205" s="94">
        <v>150</v>
      </c>
      <c r="M205" s="93"/>
      <c r="N205" s="93"/>
      <c r="O205" s="95">
        <v>45131</v>
      </c>
      <c r="P205" s="96">
        <v>3.1110000000000002</v>
      </c>
      <c r="Q205" s="97">
        <v>0.2</v>
      </c>
      <c r="R205" s="93"/>
      <c r="S205" s="93"/>
      <c r="T205" s="93"/>
      <c r="U205" s="93">
        <v>0.23330000000000001</v>
      </c>
      <c r="V205" s="93">
        <v>0.2339</v>
      </c>
      <c r="W205" s="93"/>
      <c r="X205" s="93">
        <f t="shared" si="4"/>
        <v>5.9999999999998943E-4</v>
      </c>
      <c r="Y205" s="94"/>
      <c r="Z205" s="98">
        <f t="shared" si="7"/>
        <v>0</v>
      </c>
    </row>
    <row r="206" spans="1:26" x14ac:dyDescent="0.3">
      <c r="A206" s="90">
        <f t="shared" si="6"/>
        <v>203</v>
      </c>
      <c r="B206" s="70" t="s">
        <v>237</v>
      </c>
      <c r="C206" s="91" t="s">
        <v>27</v>
      </c>
      <c r="D206" s="92" t="s">
        <v>26</v>
      </c>
      <c r="E206" s="92" t="s">
        <v>26</v>
      </c>
      <c r="F206" s="93"/>
      <c r="G206" s="93"/>
      <c r="H206" s="93"/>
      <c r="I206" s="92" t="s">
        <v>31</v>
      </c>
      <c r="J206" s="92" t="s">
        <v>25</v>
      </c>
      <c r="K206" s="93"/>
      <c r="L206" s="94">
        <v>200</v>
      </c>
      <c r="M206" s="93"/>
      <c r="N206" s="93"/>
      <c r="O206" s="95">
        <v>45131</v>
      </c>
      <c r="P206" s="96">
        <v>3.0259999999999998</v>
      </c>
      <c r="Q206" s="97">
        <v>0.2</v>
      </c>
      <c r="R206" s="93"/>
      <c r="S206" s="93"/>
      <c r="T206" s="93"/>
      <c r="U206" s="93">
        <v>0.23630000000000001</v>
      </c>
      <c r="V206" s="93">
        <v>0.2366</v>
      </c>
      <c r="W206" s="93"/>
      <c r="X206" s="93">
        <f t="shared" si="4"/>
        <v>2.9999999999999472E-4</v>
      </c>
      <c r="Y206" s="94"/>
      <c r="Z206" s="98">
        <f t="shared" si="7"/>
        <v>0</v>
      </c>
    </row>
    <row r="207" spans="1:26" x14ac:dyDescent="0.3">
      <c r="A207" s="90">
        <f t="shared" si="6"/>
        <v>204</v>
      </c>
      <c r="B207" s="70" t="s">
        <v>238</v>
      </c>
      <c r="C207" s="91" t="s">
        <v>27</v>
      </c>
      <c r="D207" s="92" t="s">
        <v>26</v>
      </c>
      <c r="E207" s="92" t="s">
        <v>26</v>
      </c>
      <c r="F207" s="93"/>
      <c r="G207" s="93"/>
      <c r="H207" s="93"/>
      <c r="I207" s="92" t="s">
        <v>31</v>
      </c>
      <c r="J207" s="92" t="s">
        <v>25</v>
      </c>
      <c r="K207" s="93"/>
      <c r="L207" s="94">
        <v>200</v>
      </c>
      <c r="M207" s="93"/>
      <c r="N207" s="93"/>
      <c r="O207" s="95">
        <v>45131</v>
      </c>
      <c r="P207" s="96">
        <v>3.0910000000000002</v>
      </c>
      <c r="Q207" s="97">
        <v>0.2</v>
      </c>
      <c r="R207" s="93"/>
      <c r="S207" s="93"/>
      <c r="T207" s="93"/>
      <c r="U207" s="93">
        <v>0.23549999999999999</v>
      </c>
      <c r="V207" s="93">
        <v>0.2366</v>
      </c>
      <c r="W207" s="93"/>
      <c r="X207" s="93">
        <f t="shared" si="4"/>
        <v>1.1000000000000176E-3</v>
      </c>
      <c r="Y207" s="94"/>
      <c r="Z207" s="98">
        <f t="shared" si="7"/>
        <v>0</v>
      </c>
    </row>
    <row r="208" spans="1:26" x14ac:dyDescent="0.3">
      <c r="A208" s="90">
        <f t="shared" si="6"/>
        <v>205</v>
      </c>
      <c r="B208" s="70" t="s">
        <v>239</v>
      </c>
      <c r="C208" s="91" t="s">
        <v>27</v>
      </c>
      <c r="D208" s="92" t="s">
        <v>26</v>
      </c>
      <c r="E208" s="92" t="s">
        <v>26</v>
      </c>
      <c r="F208" s="93"/>
      <c r="G208" s="93"/>
      <c r="H208" s="93"/>
      <c r="I208" s="92" t="s">
        <v>31</v>
      </c>
      <c r="J208" s="92" t="s">
        <v>25</v>
      </c>
      <c r="K208" s="93"/>
      <c r="L208" s="94">
        <v>190</v>
      </c>
      <c r="M208" s="93"/>
      <c r="N208" s="93"/>
      <c r="O208" s="95">
        <v>45131</v>
      </c>
      <c r="P208" s="96">
        <v>3.5059999999999998</v>
      </c>
      <c r="Q208" s="97">
        <v>0.2</v>
      </c>
      <c r="R208" s="93"/>
      <c r="S208" s="93"/>
      <c r="T208" s="93"/>
      <c r="U208" s="93">
        <v>0.23780000000000001</v>
      </c>
      <c r="V208" s="93">
        <v>0.2422</v>
      </c>
      <c r="W208" s="93"/>
      <c r="X208" s="93">
        <f t="shared" si="4"/>
        <v>4.3999999999999873E-3</v>
      </c>
      <c r="Y208" s="94"/>
      <c r="Z208" s="98">
        <f t="shared" si="7"/>
        <v>0</v>
      </c>
    </row>
    <row r="209" spans="1:26" x14ac:dyDescent="0.3">
      <c r="A209" s="90">
        <f t="shared" si="6"/>
        <v>206</v>
      </c>
      <c r="B209" s="70" t="s">
        <v>240</v>
      </c>
      <c r="C209" s="91" t="s">
        <v>27</v>
      </c>
      <c r="D209" s="92" t="s">
        <v>26</v>
      </c>
      <c r="E209" s="92" t="s">
        <v>26</v>
      </c>
      <c r="F209" s="93"/>
      <c r="G209" s="93"/>
      <c r="H209" s="93"/>
      <c r="I209" s="92" t="s">
        <v>31</v>
      </c>
      <c r="J209" s="92" t="s">
        <v>25</v>
      </c>
      <c r="K209" s="93"/>
      <c r="L209" s="94">
        <v>200</v>
      </c>
      <c r="M209" s="93"/>
      <c r="N209" s="93"/>
      <c r="O209" s="95">
        <v>45131</v>
      </c>
      <c r="P209" s="96">
        <v>3.6629999999999998</v>
      </c>
      <c r="Q209" s="97">
        <v>0.2</v>
      </c>
      <c r="R209" s="93"/>
      <c r="S209" s="93"/>
      <c r="T209" s="93"/>
      <c r="U209" s="93">
        <v>0.23519999999999999</v>
      </c>
      <c r="V209" s="93">
        <v>0.2382</v>
      </c>
      <c r="W209" s="93"/>
      <c r="X209" s="93">
        <f t="shared" si="4"/>
        <v>3.0000000000000027E-3</v>
      </c>
      <c r="Y209" s="94"/>
      <c r="Z209" s="98">
        <f t="shared" si="7"/>
        <v>0</v>
      </c>
    </row>
    <row r="210" spans="1:26" x14ac:dyDescent="0.3">
      <c r="A210" s="90">
        <f t="shared" si="6"/>
        <v>207</v>
      </c>
      <c r="B210" s="70" t="s">
        <v>241</v>
      </c>
      <c r="C210" s="91" t="s">
        <v>27</v>
      </c>
      <c r="D210" s="92" t="s">
        <v>26</v>
      </c>
      <c r="E210" s="92" t="s">
        <v>26</v>
      </c>
      <c r="F210" s="93"/>
      <c r="G210" s="93"/>
      <c r="H210" s="93"/>
      <c r="I210" s="92" t="s">
        <v>31</v>
      </c>
      <c r="J210" s="92" t="s">
        <v>25</v>
      </c>
      <c r="K210" s="93"/>
      <c r="L210" s="94">
        <v>200</v>
      </c>
      <c r="M210" s="93"/>
      <c r="N210" s="93"/>
      <c r="O210" s="95">
        <v>45131</v>
      </c>
      <c r="P210" s="96">
        <v>3.391</v>
      </c>
      <c r="Q210" s="97">
        <v>0.2</v>
      </c>
      <c r="R210" s="93"/>
      <c r="S210" s="93"/>
      <c r="T210" s="93"/>
      <c r="U210" s="93">
        <v>0.2341</v>
      </c>
      <c r="V210" s="93">
        <v>0.23599999999999999</v>
      </c>
      <c r="W210" s="93"/>
      <c r="X210" s="93">
        <f t="shared" si="4"/>
        <v>1.899999999999985E-3</v>
      </c>
      <c r="Y210" s="94"/>
      <c r="Z210" s="98">
        <f t="shared" si="7"/>
        <v>0</v>
      </c>
    </row>
    <row r="211" spans="1:26" x14ac:dyDescent="0.3">
      <c r="A211" s="34">
        <f t="shared" si="6"/>
        <v>208</v>
      </c>
      <c r="B211" s="36" t="s">
        <v>242</v>
      </c>
      <c r="C211" s="19" t="s">
        <v>27</v>
      </c>
      <c r="D211" s="18" t="s">
        <v>26</v>
      </c>
      <c r="E211" s="18" t="s">
        <v>26</v>
      </c>
      <c r="F211" s="11"/>
      <c r="G211" s="11"/>
      <c r="H211" s="11"/>
      <c r="I211" s="18" t="s">
        <v>31</v>
      </c>
      <c r="J211" s="18" t="s">
        <v>25</v>
      </c>
      <c r="K211" s="11"/>
      <c r="L211" s="22">
        <v>220</v>
      </c>
      <c r="M211" s="11"/>
      <c r="N211" s="11"/>
      <c r="O211" s="26">
        <v>45131</v>
      </c>
      <c r="P211" s="55">
        <v>3.7360000000000002</v>
      </c>
      <c r="Q211" s="25">
        <v>0.2</v>
      </c>
      <c r="R211" s="11"/>
      <c r="S211" s="11"/>
      <c r="T211" s="11"/>
      <c r="U211" s="11">
        <v>0.23519999999999999</v>
      </c>
      <c r="V211" s="11">
        <v>0.23669999999999999</v>
      </c>
      <c r="W211" s="11"/>
      <c r="X211" s="64">
        <f t="shared" si="4"/>
        <v>1.5000000000000013E-3</v>
      </c>
      <c r="Y211" s="22"/>
      <c r="Z211" s="60">
        <f t="shared" si="7"/>
        <v>0</v>
      </c>
    </row>
    <row r="212" spans="1:26" x14ac:dyDescent="0.3">
      <c r="A212" s="34">
        <f t="shared" si="6"/>
        <v>209</v>
      </c>
      <c r="B212" s="36" t="s">
        <v>243</v>
      </c>
      <c r="C212" s="19" t="s">
        <v>27</v>
      </c>
      <c r="D212" s="18" t="s">
        <v>26</v>
      </c>
      <c r="E212" s="18" t="s">
        <v>26</v>
      </c>
      <c r="F212" s="11"/>
      <c r="G212" s="11"/>
      <c r="H212" s="11"/>
      <c r="I212" s="18" t="s">
        <v>31</v>
      </c>
      <c r="J212" s="18" t="s">
        <v>25</v>
      </c>
      <c r="K212" s="11"/>
      <c r="L212" s="22">
        <v>225</v>
      </c>
      <c r="M212" s="11"/>
      <c r="N212" s="11"/>
      <c r="O212" s="26">
        <v>45131</v>
      </c>
      <c r="P212" s="55">
        <v>3.359</v>
      </c>
      <c r="Q212" s="25">
        <v>0.2</v>
      </c>
      <c r="R212" s="11"/>
      <c r="S212" s="11"/>
      <c r="T212" s="11"/>
      <c r="U212" s="11">
        <v>0.2366</v>
      </c>
      <c r="V212" s="11">
        <v>0.24079999999999999</v>
      </c>
      <c r="W212" s="11"/>
      <c r="X212" s="64">
        <f t="shared" si="4"/>
        <v>4.1999999999999815E-3</v>
      </c>
      <c r="Y212" s="22"/>
      <c r="Z212" s="60">
        <f t="shared" si="7"/>
        <v>0</v>
      </c>
    </row>
    <row r="213" spans="1:26" x14ac:dyDescent="0.3">
      <c r="A213" s="34">
        <f t="shared" si="6"/>
        <v>210</v>
      </c>
      <c r="B213" s="36" t="s">
        <v>244</v>
      </c>
      <c r="C213" s="19" t="s">
        <v>27</v>
      </c>
      <c r="D213" s="18" t="s">
        <v>26</v>
      </c>
      <c r="E213" s="18" t="s">
        <v>26</v>
      </c>
      <c r="F213" s="11"/>
      <c r="G213" s="11"/>
      <c r="H213" s="11"/>
      <c r="I213" s="18" t="s">
        <v>31</v>
      </c>
      <c r="J213" s="18" t="s">
        <v>25</v>
      </c>
      <c r="K213" s="11"/>
      <c r="L213" s="22" t="s">
        <v>197</v>
      </c>
      <c r="M213" s="11"/>
      <c r="N213" s="11"/>
      <c r="O213" s="26">
        <v>45131</v>
      </c>
      <c r="P213" s="55">
        <v>4.1210000000000004</v>
      </c>
      <c r="Q213" s="25">
        <v>0.2</v>
      </c>
      <c r="R213" s="11"/>
      <c r="S213" s="11"/>
      <c r="T213" s="11"/>
      <c r="U213" s="11">
        <v>0.23169999999999999</v>
      </c>
      <c r="V213" s="11">
        <v>0.2349</v>
      </c>
      <c r="W213" s="11"/>
      <c r="X213" s="64">
        <f t="shared" si="4"/>
        <v>3.2000000000000084E-3</v>
      </c>
      <c r="Y213" s="22"/>
      <c r="Z213" s="60" t="e">
        <f t="shared" si="7"/>
        <v>#VALUE!</v>
      </c>
    </row>
    <row r="214" spans="1:26" x14ac:dyDescent="0.3">
      <c r="A214" s="34">
        <f t="shared" si="6"/>
        <v>211</v>
      </c>
      <c r="B214" s="99" t="s">
        <v>245</v>
      </c>
      <c r="C214" s="100" t="s">
        <v>27</v>
      </c>
      <c r="D214" s="101" t="s">
        <v>26</v>
      </c>
      <c r="E214" s="101" t="s">
        <v>26</v>
      </c>
      <c r="F214" s="102"/>
      <c r="G214" s="102"/>
      <c r="H214" s="102"/>
      <c r="I214" s="101" t="s">
        <v>31</v>
      </c>
      <c r="J214" s="101" t="s">
        <v>25</v>
      </c>
      <c r="K214" s="102"/>
      <c r="L214" s="103">
        <v>190</v>
      </c>
      <c r="M214" s="102"/>
      <c r="N214" s="102"/>
      <c r="O214" s="104">
        <v>45131</v>
      </c>
      <c r="P214" s="105">
        <v>3.2709999999999999</v>
      </c>
      <c r="Q214" s="106">
        <v>0.2</v>
      </c>
      <c r="R214" s="102"/>
      <c r="S214" s="102"/>
      <c r="T214" s="102"/>
      <c r="U214" s="102">
        <v>0.23039999999999999</v>
      </c>
      <c r="V214" s="102">
        <v>0.23230000000000001</v>
      </c>
      <c r="W214" s="102"/>
      <c r="X214" s="102">
        <f t="shared" si="4"/>
        <v>1.9000000000000128E-3</v>
      </c>
      <c r="Y214" s="103"/>
      <c r="Z214" s="107">
        <f t="shared" si="7"/>
        <v>0</v>
      </c>
    </row>
    <row r="215" spans="1:26" x14ac:dyDescent="0.3">
      <c r="A215" s="34">
        <f t="shared" si="6"/>
        <v>212</v>
      </c>
      <c r="B215" s="99" t="s">
        <v>246</v>
      </c>
      <c r="C215" s="100" t="s">
        <v>27</v>
      </c>
      <c r="D215" s="101" t="s">
        <v>26</v>
      </c>
      <c r="E215" s="101" t="s">
        <v>26</v>
      </c>
      <c r="F215" s="102"/>
      <c r="G215" s="102"/>
      <c r="H215" s="102"/>
      <c r="I215" s="101" t="s">
        <v>31</v>
      </c>
      <c r="J215" s="101" t="s">
        <v>25</v>
      </c>
      <c r="K215" s="102"/>
      <c r="L215" s="103">
        <v>220</v>
      </c>
      <c r="M215" s="102"/>
      <c r="N215" s="102"/>
      <c r="O215" s="104">
        <v>45131</v>
      </c>
      <c r="P215" s="105">
        <v>3.4089999999999998</v>
      </c>
      <c r="Q215" s="106">
        <v>0.2</v>
      </c>
      <c r="R215" s="102"/>
      <c r="S215" s="102"/>
      <c r="T215" s="102"/>
      <c r="U215" s="102">
        <v>0.22720000000000001</v>
      </c>
      <c r="V215" s="102">
        <v>0.22869999999999999</v>
      </c>
      <c r="W215" s="102"/>
      <c r="X215" s="102">
        <f t="shared" si="4"/>
        <v>1.4999999999999736E-3</v>
      </c>
      <c r="Y215" s="103"/>
      <c r="Z215" s="107">
        <f t="shared" si="7"/>
        <v>0</v>
      </c>
    </row>
    <row r="216" spans="1:26" x14ac:dyDescent="0.3">
      <c r="A216" s="34">
        <f t="shared" si="6"/>
        <v>213</v>
      </c>
      <c r="B216" s="99" t="s">
        <v>247</v>
      </c>
      <c r="C216" s="100" t="s">
        <v>27</v>
      </c>
      <c r="D216" s="101" t="s">
        <v>26</v>
      </c>
      <c r="E216" s="101" t="s">
        <v>26</v>
      </c>
      <c r="F216" s="102"/>
      <c r="G216" s="102"/>
      <c r="H216" s="102"/>
      <c r="I216" s="101" t="s">
        <v>31</v>
      </c>
      <c r="J216" s="101" t="s">
        <v>25</v>
      </c>
      <c r="K216" s="102"/>
      <c r="L216" s="103">
        <v>200</v>
      </c>
      <c r="M216" s="102"/>
      <c r="N216" s="102"/>
      <c r="O216" s="104">
        <v>45131</v>
      </c>
      <c r="P216" s="105">
        <v>4.6630000000000003</v>
      </c>
      <c r="Q216" s="106">
        <v>0.2</v>
      </c>
      <c r="R216" s="102"/>
      <c r="S216" s="102"/>
      <c r="T216" s="102"/>
      <c r="U216" s="102">
        <v>0.23100000000000001</v>
      </c>
      <c r="V216" s="102">
        <v>0.23530000000000001</v>
      </c>
      <c r="W216" s="102"/>
      <c r="X216" s="102">
        <f t="shared" si="4"/>
        <v>4.2999999999999983E-3</v>
      </c>
      <c r="Y216" s="103"/>
      <c r="Z216" s="107">
        <f t="shared" si="7"/>
        <v>0</v>
      </c>
    </row>
    <row r="217" spans="1:26" x14ac:dyDescent="0.3">
      <c r="A217" s="34">
        <f t="shared" si="6"/>
        <v>214</v>
      </c>
      <c r="B217" s="99" t="s">
        <v>248</v>
      </c>
      <c r="C217" s="100" t="s">
        <v>27</v>
      </c>
      <c r="D217" s="101" t="s">
        <v>26</v>
      </c>
      <c r="E217" s="101" t="s">
        <v>26</v>
      </c>
      <c r="F217" s="102"/>
      <c r="G217" s="102"/>
      <c r="H217" s="102"/>
      <c r="I217" s="101" t="s">
        <v>31</v>
      </c>
      <c r="J217" s="101" t="s">
        <v>25</v>
      </c>
      <c r="K217" s="102"/>
      <c r="L217" s="103">
        <v>190</v>
      </c>
      <c r="M217" s="102"/>
      <c r="N217" s="102"/>
      <c r="O217" s="104">
        <v>45131</v>
      </c>
      <c r="P217" s="105">
        <v>3.581</v>
      </c>
      <c r="Q217" s="106">
        <v>0.2</v>
      </c>
      <c r="R217" s="102"/>
      <c r="S217" s="102"/>
      <c r="T217" s="102"/>
      <c r="U217" s="102">
        <v>0.2281</v>
      </c>
      <c r="V217" s="102">
        <v>0.23019999999999999</v>
      </c>
      <c r="W217" s="102"/>
      <c r="X217" s="102">
        <f t="shared" si="4"/>
        <v>2.0999999999999908E-3</v>
      </c>
      <c r="Y217" s="103"/>
      <c r="Z217" s="107">
        <f t="shared" si="7"/>
        <v>0</v>
      </c>
    </row>
    <row r="218" spans="1:26" x14ac:dyDescent="0.3">
      <c r="A218" s="43">
        <f t="shared" si="6"/>
        <v>215</v>
      </c>
      <c r="B218" s="99" t="s">
        <v>249</v>
      </c>
      <c r="C218" s="100" t="s">
        <v>27</v>
      </c>
      <c r="D218" s="101" t="s">
        <v>26</v>
      </c>
      <c r="E218" s="101" t="s">
        <v>26</v>
      </c>
      <c r="F218" s="102"/>
      <c r="G218" s="102"/>
      <c r="H218" s="102"/>
      <c r="I218" s="101" t="s">
        <v>31</v>
      </c>
      <c r="J218" s="101" t="s">
        <v>25</v>
      </c>
      <c r="K218" s="102"/>
      <c r="L218" s="103">
        <v>200</v>
      </c>
      <c r="M218" s="102"/>
      <c r="N218" s="102"/>
      <c r="O218" s="104">
        <v>45131</v>
      </c>
      <c r="P218" s="105">
        <v>3.5859999999999999</v>
      </c>
      <c r="Q218" s="106">
        <v>0.2</v>
      </c>
      <c r="R218" s="102"/>
      <c r="S218" s="102"/>
      <c r="T218" s="102"/>
      <c r="U218" s="102">
        <v>0.22850000000000001</v>
      </c>
      <c r="V218" s="102">
        <v>0.2321</v>
      </c>
      <c r="W218" s="102"/>
      <c r="X218" s="102">
        <f t="shared" si="4"/>
        <v>3.5999999999999921E-3</v>
      </c>
      <c r="Y218" s="108">
        <v>1.1515777695E-2</v>
      </c>
      <c r="Z218" s="107">
        <f>Y218/(L218/1000)</f>
        <v>5.7578888474999999E-2</v>
      </c>
    </row>
    <row r="219" spans="1:26" x14ac:dyDescent="0.3">
      <c r="A219" s="34">
        <f t="shared" si="6"/>
        <v>216</v>
      </c>
      <c r="B219" s="99" t="s">
        <v>250</v>
      </c>
      <c r="C219" s="100" t="s">
        <v>27</v>
      </c>
      <c r="D219" s="101" t="s">
        <v>26</v>
      </c>
      <c r="E219" s="101" t="s">
        <v>26</v>
      </c>
      <c r="F219" s="102"/>
      <c r="G219" s="102"/>
      <c r="H219" s="102"/>
      <c r="I219" s="101" t="s">
        <v>31</v>
      </c>
      <c r="J219" s="101" t="s">
        <v>25</v>
      </c>
      <c r="K219" s="102"/>
      <c r="L219" s="103">
        <v>200</v>
      </c>
      <c r="M219" s="102"/>
      <c r="N219" s="102"/>
      <c r="O219" s="104">
        <v>45131</v>
      </c>
      <c r="P219" s="105">
        <v>3.4009999999999998</v>
      </c>
      <c r="Q219" s="106">
        <v>0.2</v>
      </c>
      <c r="R219" s="102"/>
      <c r="S219" s="102"/>
      <c r="T219" s="102"/>
      <c r="U219" s="102">
        <v>0.2339</v>
      </c>
      <c r="V219" s="102">
        <v>0.23519999999999999</v>
      </c>
      <c r="W219" s="102"/>
      <c r="X219" s="102">
        <f t="shared" si="4"/>
        <v>1.2999999999999956E-3</v>
      </c>
      <c r="Y219" s="103"/>
      <c r="Z219" s="107">
        <f t="shared" si="7"/>
        <v>0</v>
      </c>
    </row>
    <row r="220" spans="1:26" x14ac:dyDescent="0.3">
      <c r="A220" s="34">
        <f t="shared" si="6"/>
        <v>217</v>
      </c>
      <c r="B220" s="99" t="s">
        <v>251</v>
      </c>
      <c r="C220" s="100" t="s">
        <v>27</v>
      </c>
      <c r="D220" s="101" t="s">
        <v>26</v>
      </c>
      <c r="E220" s="101" t="s">
        <v>26</v>
      </c>
      <c r="F220" s="102"/>
      <c r="G220" s="102"/>
      <c r="H220" s="102"/>
      <c r="I220" s="101" t="s">
        <v>31</v>
      </c>
      <c r="J220" s="101" t="s">
        <v>25</v>
      </c>
      <c r="K220" s="102"/>
      <c r="L220" s="103">
        <v>200</v>
      </c>
      <c r="M220" s="102"/>
      <c r="N220" s="102"/>
      <c r="O220" s="104">
        <v>45131</v>
      </c>
      <c r="P220" s="105">
        <v>3.1459999999999999</v>
      </c>
      <c r="Q220" s="106">
        <v>0.2</v>
      </c>
      <c r="R220" s="102"/>
      <c r="S220" s="102"/>
      <c r="T220" s="102"/>
      <c r="U220" s="102">
        <v>0.23300000000000001</v>
      </c>
      <c r="V220" s="102">
        <v>0.2346</v>
      </c>
      <c r="W220" s="102"/>
      <c r="X220" s="102">
        <f t="shared" si="4"/>
        <v>1.5999999999999903E-3</v>
      </c>
      <c r="Y220" s="103"/>
      <c r="Z220" s="107">
        <f t="shared" si="7"/>
        <v>0</v>
      </c>
    </row>
    <row r="221" spans="1:26" x14ac:dyDescent="0.3">
      <c r="A221" s="34">
        <f t="shared" si="6"/>
        <v>218</v>
      </c>
      <c r="B221" s="99" t="s">
        <v>252</v>
      </c>
      <c r="C221" s="100" t="s">
        <v>27</v>
      </c>
      <c r="D221" s="101" t="s">
        <v>26</v>
      </c>
      <c r="E221" s="101" t="s">
        <v>26</v>
      </c>
      <c r="F221" s="102"/>
      <c r="G221" s="102"/>
      <c r="H221" s="102"/>
      <c r="I221" s="101" t="s">
        <v>31</v>
      </c>
      <c r="J221" s="101" t="s">
        <v>25</v>
      </c>
      <c r="K221" s="102"/>
      <c r="L221" s="103">
        <v>100</v>
      </c>
      <c r="M221" s="102"/>
      <c r="N221" s="102"/>
      <c r="O221" s="104">
        <v>45131</v>
      </c>
      <c r="P221" s="105">
        <v>3.9940000000000002</v>
      </c>
      <c r="Q221" s="106">
        <v>0.2</v>
      </c>
      <c r="R221" s="102"/>
      <c r="S221" s="102"/>
      <c r="T221" s="102"/>
      <c r="U221" s="102">
        <v>0.23480000000000001</v>
      </c>
      <c r="V221" s="102">
        <v>0.23599999999999999</v>
      </c>
      <c r="W221" s="102"/>
      <c r="X221" s="102">
        <f t="shared" si="4"/>
        <v>1.1999999999999789E-3</v>
      </c>
      <c r="Y221" s="103"/>
      <c r="Z221" s="107">
        <f t="shared" si="7"/>
        <v>0</v>
      </c>
    </row>
    <row r="222" spans="1:26" x14ac:dyDescent="0.3">
      <c r="A222" s="34">
        <f t="shared" si="6"/>
        <v>219</v>
      </c>
      <c r="B222" s="99" t="s">
        <v>253</v>
      </c>
      <c r="C222" s="100" t="s">
        <v>27</v>
      </c>
      <c r="D222" s="101" t="s">
        <v>26</v>
      </c>
      <c r="E222" s="101" t="s">
        <v>26</v>
      </c>
      <c r="F222" s="102"/>
      <c r="G222" s="102"/>
      <c r="H222" s="102"/>
      <c r="I222" s="101" t="s">
        <v>31</v>
      </c>
      <c r="J222" s="101" t="s">
        <v>25</v>
      </c>
      <c r="K222" s="102"/>
      <c r="L222" s="103">
        <v>100</v>
      </c>
      <c r="M222" s="102"/>
      <c r="N222" s="102"/>
      <c r="O222" s="104">
        <v>45131</v>
      </c>
      <c r="P222" s="105">
        <v>3.5329999999999999</v>
      </c>
      <c r="Q222" s="106">
        <v>0.2</v>
      </c>
      <c r="R222" s="102"/>
      <c r="S222" s="102"/>
      <c r="T222" s="102"/>
      <c r="U222" s="102">
        <v>0.23530000000000001</v>
      </c>
      <c r="V222" s="102">
        <v>0.2359</v>
      </c>
      <c r="W222" s="102"/>
      <c r="X222" s="102">
        <f t="shared" si="4"/>
        <v>5.9999999999998943E-4</v>
      </c>
      <c r="Y222" s="103"/>
      <c r="Z222" s="107">
        <f t="shared" si="7"/>
        <v>0</v>
      </c>
    </row>
    <row r="223" spans="1:26" x14ac:dyDescent="0.3">
      <c r="A223" s="34">
        <f t="shared" si="6"/>
        <v>220</v>
      </c>
      <c r="B223" s="99" t="s">
        <v>254</v>
      </c>
      <c r="C223" s="100" t="s">
        <v>27</v>
      </c>
      <c r="D223" s="101" t="s">
        <v>26</v>
      </c>
      <c r="E223" s="101" t="s">
        <v>26</v>
      </c>
      <c r="F223" s="102"/>
      <c r="G223" s="102"/>
      <c r="H223" s="102"/>
      <c r="I223" s="101" t="s">
        <v>31</v>
      </c>
      <c r="J223" s="101" t="s">
        <v>25</v>
      </c>
      <c r="K223" s="102"/>
      <c r="L223" s="103">
        <v>90</v>
      </c>
      <c r="M223" s="102"/>
      <c r="N223" s="102"/>
      <c r="O223" s="104">
        <v>45131</v>
      </c>
      <c r="P223" s="105">
        <v>3.4340000000000002</v>
      </c>
      <c r="Q223" s="106">
        <v>0.2</v>
      </c>
      <c r="R223" s="102"/>
      <c r="S223" s="102"/>
      <c r="T223" s="102"/>
      <c r="U223" s="102">
        <v>0.2346</v>
      </c>
      <c r="V223" s="102">
        <v>0.2354</v>
      </c>
      <c r="W223" s="102"/>
      <c r="X223" s="102">
        <f t="shared" si="4"/>
        <v>7.9999999999999516E-4</v>
      </c>
      <c r="Y223" s="103"/>
      <c r="Z223" s="107">
        <f t="shared" si="7"/>
        <v>0</v>
      </c>
    </row>
    <row r="224" spans="1:26" x14ac:dyDescent="0.3">
      <c r="A224" s="34">
        <f t="shared" si="6"/>
        <v>221</v>
      </c>
      <c r="B224" s="99" t="s">
        <v>255</v>
      </c>
      <c r="C224" s="100" t="s">
        <v>27</v>
      </c>
      <c r="D224" s="101" t="s">
        <v>26</v>
      </c>
      <c r="E224" s="101" t="s">
        <v>26</v>
      </c>
      <c r="F224" s="102"/>
      <c r="G224" s="102"/>
      <c r="H224" s="102"/>
      <c r="I224" s="101" t="s">
        <v>31</v>
      </c>
      <c r="J224" s="101" t="s">
        <v>25</v>
      </c>
      <c r="K224" s="102"/>
      <c r="L224" s="103">
        <v>90</v>
      </c>
      <c r="M224" s="102"/>
      <c r="N224" s="102"/>
      <c r="O224" s="104">
        <v>45131</v>
      </c>
      <c r="P224" s="105">
        <v>3.4279999999999999</v>
      </c>
      <c r="Q224" s="106">
        <v>0.2</v>
      </c>
      <c r="R224" s="102"/>
      <c r="S224" s="102"/>
      <c r="T224" s="102"/>
      <c r="U224" s="102">
        <v>0.2369</v>
      </c>
      <c r="V224" s="102">
        <v>0.23799999999999999</v>
      </c>
      <c r="W224" s="102"/>
      <c r="X224" s="102">
        <f t="shared" si="4"/>
        <v>1.0999999999999899E-3</v>
      </c>
      <c r="Y224" s="103"/>
      <c r="Z224" s="107">
        <f t="shared" si="7"/>
        <v>0</v>
      </c>
    </row>
    <row r="225" spans="1:26" x14ac:dyDescent="0.3">
      <c r="A225" s="43">
        <f t="shared" si="6"/>
        <v>222</v>
      </c>
      <c r="B225" s="42" t="s">
        <v>256</v>
      </c>
      <c r="C225" s="19" t="s">
        <v>27</v>
      </c>
      <c r="D225" s="18" t="s">
        <v>26</v>
      </c>
      <c r="E225" s="18" t="s">
        <v>26</v>
      </c>
      <c r="F225" s="11"/>
      <c r="G225" s="11"/>
      <c r="H225" s="11"/>
      <c r="I225" s="18" t="s">
        <v>31</v>
      </c>
      <c r="J225" s="18" t="s">
        <v>25</v>
      </c>
      <c r="K225" s="11"/>
      <c r="L225" s="22">
        <v>190</v>
      </c>
      <c r="M225" s="11"/>
      <c r="N225" s="11"/>
      <c r="O225" s="26">
        <v>45131</v>
      </c>
      <c r="P225" s="55">
        <v>3.806</v>
      </c>
      <c r="Q225" s="25">
        <v>0.2</v>
      </c>
      <c r="R225" s="11"/>
      <c r="S225" s="11"/>
      <c r="T225" s="11"/>
      <c r="U225" s="11">
        <v>0.23599999999999999</v>
      </c>
      <c r="V225" s="11">
        <v>0.23769999999999999</v>
      </c>
      <c r="W225" s="11"/>
      <c r="X225" s="64">
        <f>V225-U225</f>
        <v>1.7000000000000071E-3</v>
      </c>
      <c r="Y225" s="48">
        <v>9.6770277976250003E-3</v>
      </c>
      <c r="Z225" s="60">
        <f>Y225/(L225/1000)</f>
        <v>5.0931725250657894E-2</v>
      </c>
    </row>
    <row r="226" spans="1:26" x14ac:dyDescent="0.3">
      <c r="A226" s="34">
        <f t="shared" si="6"/>
        <v>223</v>
      </c>
      <c r="B226" s="36" t="s">
        <v>257</v>
      </c>
      <c r="C226" s="19" t="s">
        <v>27</v>
      </c>
      <c r="D226" s="18" t="s">
        <v>26</v>
      </c>
      <c r="E226" s="18" t="s">
        <v>26</v>
      </c>
      <c r="F226" s="11"/>
      <c r="G226" s="11"/>
      <c r="H226" s="11"/>
      <c r="I226" s="18" t="s">
        <v>31</v>
      </c>
      <c r="J226" s="18" t="s">
        <v>25</v>
      </c>
      <c r="K226" s="11"/>
      <c r="L226" s="22">
        <v>200</v>
      </c>
      <c r="M226" s="11"/>
      <c r="N226" s="11"/>
      <c r="O226" s="26">
        <v>45131</v>
      </c>
      <c r="P226" s="55">
        <v>3.3119999999999998</v>
      </c>
      <c r="Q226" s="25">
        <v>0.2</v>
      </c>
      <c r="R226" s="11"/>
      <c r="S226" s="11"/>
      <c r="T226" s="11"/>
      <c r="U226" s="11">
        <v>0.2311</v>
      </c>
      <c r="V226" s="11">
        <v>0.23200000000000001</v>
      </c>
      <c r="W226" s="11"/>
      <c r="X226" s="64">
        <f>V226-U226</f>
        <v>9.000000000000119E-4</v>
      </c>
      <c r="Y226" s="22"/>
      <c r="Z226" s="60">
        <f t="shared" si="7"/>
        <v>0</v>
      </c>
    </row>
    <row r="227" spans="1:26" x14ac:dyDescent="0.3">
      <c r="A227" s="34">
        <f t="shared" si="6"/>
        <v>224</v>
      </c>
      <c r="B227" s="36" t="s">
        <v>258</v>
      </c>
      <c r="C227" s="19" t="s">
        <v>27</v>
      </c>
      <c r="D227" s="18" t="s">
        <v>26</v>
      </c>
      <c r="E227" s="18" t="s">
        <v>26</v>
      </c>
      <c r="F227" s="11"/>
      <c r="G227" s="11"/>
      <c r="H227" s="11"/>
      <c r="I227" s="18" t="s">
        <v>31</v>
      </c>
      <c r="J227" s="18" t="s">
        <v>25</v>
      </c>
      <c r="K227" s="11"/>
      <c r="L227" s="22">
        <v>210</v>
      </c>
      <c r="M227" s="11"/>
      <c r="N227" s="11"/>
      <c r="O227" s="26">
        <v>45131</v>
      </c>
      <c r="P227" s="55">
        <v>3.3530000000000002</v>
      </c>
      <c r="Q227" s="25">
        <v>0.2</v>
      </c>
      <c r="R227" s="11"/>
      <c r="S227" s="11"/>
      <c r="T227" s="11"/>
      <c r="U227" s="11"/>
      <c r="V227" s="11"/>
      <c r="W227" s="11"/>
      <c r="X227" s="64"/>
      <c r="Y227" s="22"/>
      <c r="Z227" s="60">
        <f t="shared" si="7"/>
        <v>0</v>
      </c>
    </row>
    <row r="228" spans="1:26" x14ac:dyDescent="0.3">
      <c r="A228" s="34">
        <f t="shared" si="6"/>
        <v>225</v>
      </c>
      <c r="B228" s="36" t="s">
        <v>259</v>
      </c>
      <c r="C228" s="19" t="s">
        <v>27</v>
      </c>
      <c r="D228" s="18" t="s">
        <v>26</v>
      </c>
      <c r="E228" s="18" t="s">
        <v>26</v>
      </c>
      <c r="F228" s="11"/>
      <c r="G228" s="11"/>
      <c r="H228" s="11"/>
      <c r="I228" s="18" t="s">
        <v>31</v>
      </c>
      <c r="J228" s="18" t="s">
        <v>25</v>
      </c>
      <c r="K228" s="11"/>
      <c r="L228" s="22" t="s">
        <v>197</v>
      </c>
      <c r="M228" s="11"/>
      <c r="N228" s="11"/>
      <c r="O228" s="26">
        <v>45131</v>
      </c>
      <c r="P228" s="55">
        <v>3.5139999999999998</v>
      </c>
      <c r="Q228" s="25">
        <v>0.2</v>
      </c>
      <c r="R228" s="11"/>
      <c r="S228" s="11"/>
      <c r="T228" s="11"/>
      <c r="U228" s="11">
        <v>0.23069999999999999</v>
      </c>
      <c r="V228" s="11">
        <v>0.23530000000000001</v>
      </c>
      <c r="W228" s="11"/>
      <c r="X228" s="64">
        <f t="shared" ref="X228:X291" si="8">V228-U228</f>
        <v>4.6000000000000207E-3</v>
      </c>
      <c r="Y228" s="22"/>
      <c r="Z228" s="60" t="e">
        <f t="shared" si="7"/>
        <v>#VALUE!</v>
      </c>
    </row>
    <row r="229" spans="1:26" x14ac:dyDescent="0.3">
      <c r="A229" s="34">
        <f t="shared" si="6"/>
        <v>226</v>
      </c>
      <c r="B229" s="36" t="s">
        <v>260</v>
      </c>
      <c r="C229" s="19" t="s">
        <v>27</v>
      </c>
      <c r="D229" s="18" t="s">
        <v>26</v>
      </c>
      <c r="E229" s="18" t="s">
        <v>26</v>
      </c>
      <c r="F229" s="11"/>
      <c r="G229" s="11"/>
      <c r="H229" s="11"/>
      <c r="I229" s="18" t="s">
        <v>31</v>
      </c>
      <c r="J229" s="18" t="s">
        <v>25</v>
      </c>
      <c r="K229" s="11"/>
      <c r="L229" s="22">
        <v>200</v>
      </c>
      <c r="M229" s="11"/>
      <c r="N229" s="11"/>
      <c r="O229" s="26">
        <v>45131</v>
      </c>
      <c r="P229" s="55">
        <v>3.6539999999999999</v>
      </c>
      <c r="Q229" s="25">
        <v>0.2</v>
      </c>
      <c r="R229" s="11"/>
      <c r="S229" s="11"/>
      <c r="T229" s="11"/>
      <c r="U229" s="11">
        <v>0.22900000000000001</v>
      </c>
      <c r="V229" s="11">
        <v>0.23200000000000001</v>
      </c>
      <c r="W229" s="11"/>
      <c r="X229" s="64">
        <f t="shared" si="8"/>
        <v>3.0000000000000027E-3</v>
      </c>
      <c r="Y229" s="22"/>
      <c r="Z229" s="60">
        <f t="shared" si="7"/>
        <v>0</v>
      </c>
    </row>
    <row r="230" spans="1:26" x14ac:dyDescent="0.3">
      <c r="A230" s="34">
        <f t="shared" si="6"/>
        <v>227</v>
      </c>
      <c r="B230" s="36" t="s">
        <v>261</v>
      </c>
      <c r="C230" s="19" t="s">
        <v>27</v>
      </c>
      <c r="D230" s="18" t="s">
        <v>26</v>
      </c>
      <c r="E230" s="18" t="s">
        <v>26</v>
      </c>
      <c r="F230" s="11"/>
      <c r="G230" s="11"/>
      <c r="H230" s="11"/>
      <c r="I230" s="18" t="s">
        <v>31</v>
      </c>
      <c r="J230" s="18" t="s">
        <v>25</v>
      </c>
      <c r="K230" s="11"/>
      <c r="L230" s="22">
        <v>200</v>
      </c>
      <c r="M230" s="11"/>
      <c r="N230" s="11"/>
      <c r="O230" s="26">
        <v>45131</v>
      </c>
      <c r="P230" s="55">
        <v>3.5760000000000001</v>
      </c>
      <c r="Q230" s="25">
        <v>0.2</v>
      </c>
      <c r="R230" s="11"/>
      <c r="S230" s="11"/>
      <c r="T230" s="11"/>
      <c r="U230" s="11">
        <v>0.22850000000000001</v>
      </c>
      <c r="V230" s="11">
        <v>0.23050000000000001</v>
      </c>
      <c r="W230" s="11"/>
      <c r="X230" s="64">
        <f t="shared" si="8"/>
        <v>2.0000000000000018E-3</v>
      </c>
      <c r="Y230" s="22"/>
      <c r="Z230" s="60">
        <f t="shared" si="7"/>
        <v>0</v>
      </c>
    </row>
    <row r="231" spans="1:26" x14ac:dyDescent="0.3">
      <c r="A231" s="34">
        <f t="shared" si="6"/>
        <v>228</v>
      </c>
      <c r="B231" s="36" t="s">
        <v>262</v>
      </c>
      <c r="C231" s="19" t="s">
        <v>27</v>
      </c>
      <c r="D231" s="18" t="s">
        <v>26</v>
      </c>
      <c r="E231" s="18" t="s">
        <v>26</v>
      </c>
      <c r="F231" s="11"/>
      <c r="G231" s="11"/>
      <c r="H231" s="11"/>
      <c r="I231" s="18" t="s">
        <v>31</v>
      </c>
      <c r="J231" s="18" t="s">
        <v>25</v>
      </c>
      <c r="K231" s="11"/>
      <c r="L231" s="22">
        <v>220</v>
      </c>
      <c r="M231" s="11"/>
      <c r="N231" s="11"/>
      <c r="O231" s="26">
        <v>45131</v>
      </c>
      <c r="P231" s="55">
        <v>3.3889999999999998</v>
      </c>
      <c r="Q231" s="25">
        <v>0.2</v>
      </c>
      <c r="R231" s="11"/>
      <c r="S231" s="11"/>
      <c r="T231" s="11"/>
      <c r="U231" s="11">
        <v>0.23469999999999999</v>
      </c>
      <c r="V231" s="11">
        <v>0.23619999999999999</v>
      </c>
      <c r="W231" s="11"/>
      <c r="X231" s="64">
        <f t="shared" si="8"/>
        <v>1.5000000000000013E-3</v>
      </c>
      <c r="Y231" s="22"/>
      <c r="Z231" s="60">
        <f t="shared" si="7"/>
        <v>0</v>
      </c>
    </row>
    <row r="232" spans="1:26" x14ac:dyDescent="0.3">
      <c r="A232" s="34">
        <f t="shared" ref="A232:A295" si="9">A231+1</f>
        <v>229</v>
      </c>
      <c r="B232" s="36" t="s">
        <v>263</v>
      </c>
      <c r="C232" s="19" t="s">
        <v>27</v>
      </c>
      <c r="D232" s="18" t="s">
        <v>26</v>
      </c>
      <c r="E232" s="18" t="s">
        <v>26</v>
      </c>
      <c r="F232" s="11"/>
      <c r="G232" s="11"/>
      <c r="H232" s="11"/>
      <c r="I232" s="18" t="s">
        <v>31</v>
      </c>
      <c r="J232" s="18" t="s">
        <v>25</v>
      </c>
      <c r="K232" s="11"/>
      <c r="L232" s="22">
        <v>200</v>
      </c>
      <c r="M232" s="11"/>
      <c r="N232" s="11"/>
      <c r="O232" s="26">
        <v>45131</v>
      </c>
      <c r="P232" s="55">
        <v>3.226</v>
      </c>
      <c r="Q232" s="25">
        <v>0.2</v>
      </c>
      <c r="R232" s="11"/>
      <c r="S232" s="11"/>
      <c r="T232" s="11"/>
      <c r="U232" s="11">
        <v>0.2354</v>
      </c>
      <c r="V232" s="11">
        <v>0.2361</v>
      </c>
      <c r="W232" s="11"/>
      <c r="X232" s="64">
        <f t="shared" si="8"/>
        <v>7.0000000000000617E-4</v>
      </c>
      <c r="Y232" s="22"/>
      <c r="Z232" s="60">
        <f t="shared" si="7"/>
        <v>0</v>
      </c>
    </row>
    <row r="233" spans="1:26" x14ac:dyDescent="0.3">
      <c r="A233" s="34">
        <f t="shared" si="9"/>
        <v>230</v>
      </c>
      <c r="B233" s="36" t="s">
        <v>264</v>
      </c>
      <c r="C233" s="19" t="s">
        <v>27</v>
      </c>
      <c r="D233" s="18" t="s">
        <v>26</v>
      </c>
      <c r="E233" s="18" t="s">
        <v>26</v>
      </c>
      <c r="F233" s="11"/>
      <c r="G233" s="11"/>
      <c r="H233" s="11"/>
      <c r="I233" s="18" t="s">
        <v>31</v>
      </c>
      <c r="J233" s="18" t="s">
        <v>25</v>
      </c>
      <c r="K233" s="11"/>
      <c r="L233" s="22">
        <v>160</v>
      </c>
      <c r="M233" s="11"/>
      <c r="N233" s="11"/>
      <c r="O233" s="26">
        <v>45131</v>
      </c>
      <c r="P233" s="55">
        <v>3.552</v>
      </c>
      <c r="Q233" s="25">
        <v>0.2</v>
      </c>
      <c r="R233" s="11"/>
      <c r="S233" s="11"/>
      <c r="T233" s="11"/>
      <c r="U233" s="11">
        <v>0.23499999999999999</v>
      </c>
      <c r="V233" s="11"/>
      <c r="W233" s="11"/>
      <c r="X233" s="64">
        <f t="shared" si="8"/>
        <v>-0.23499999999999999</v>
      </c>
      <c r="Y233" s="22"/>
      <c r="Z233" s="60">
        <f t="shared" si="7"/>
        <v>0</v>
      </c>
    </row>
    <row r="234" spans="1:26" x14ac:dyDescent="0.3">
      <c r="A234" s="34">
        <f t="shared" si="9"/>
        <v>231</v>
      </c>
      <c r="B234" s="36" t="s">
        <v>265</v>
      </c>
      <c r="C234" s="19" t="s">
        <v>27</v>
      </c>
      <c r="D234" s="18" t="s">
        <v>26</v>
      </c>
      <c r="E234" s="18" t="s">
        <v>26</v>
      </c>
      <c r="F234" s="11"/>
      <c r="G234" s="11"/>
      <c r="H234" s="11"/>
      <c r="I234" s="18" t="s">
        <v>31</v>
      </c>
      <c r="J234" s="18" t="s">
        <v>25</v>
      </c>
      <c r="K234" s="11"/>
      <c r="L234" s="22">
        <v>150</v>
      </c>
      <c r="M234" s="11"/>
      <c r="N234" s="11"/>
      <c r="O234" s="26">
        <v>45131</v>
      </c>
      <c r="P234" s="55">
        <v>3.323</v>
      </c>
      <c r="Q234" s="25">
        <v>0.2</v>
      </c>
      <c r="R234" s="11"/>
      <c r="S234" s="11"/>
      <c r="T234" s="11"/>
      <c r="U234" s="11">
        <v>0.23730000000000001</v>
      </c>
      <c r="V234" s="11">
        <v>0.2382</v>
      </c>
      <c r="W234" s="11"/>
      <c r="X234" s="64">
        <f t="shared" si="8"/>
        <v>8.9999999999998415E-4</v>
      </c>
      <c r="Y234" s="22"/>
      <c r="Z234" s="60">
        <f t="shared" si="7"/>
        <v>0</v>
      </c>
    </row>
    <row r="235" spans="1:26" x14ac:dyDescent="0.3">
      <c r="A235" s="34">
        <f t="shared" si="9"/>
        <v>232</v>
      </c>
      <c r="B235" s="36" t="s">
        <v>266</v>
      </c>
      <c r="C235" s="19" t="s">
        <v>27</v>
      </c>
      <c r="D235" s="18" t="s">
        <v>26</v>
      </c>
      <c r="E235" s="18" t="s">
        <v>26</v>
      </c>
      <c r="F235" s="11"/>
      <c r="G235" s="11"/>
      <c r="H235" s="11"/>
      <c r="I235" s="18" t="s">
        <v>31</v>
      </c>
      <c r="J235" s="18" t="s">
        <v>25</v>
      </c>
      <c r="K235" s="11"/>
      <c r="L235" s="22">
        <v>160</v>
      </c>
      <c r="M235" s="11"/>
      <c r="N235" s="11"/>
      <c r="O235" s="26">
        <v>45131</v>
      </c>
      <c r="P235" s="55">
        <v>3.3159999999999998</v>
      </c>
      <c r="Q235" s="25">
        <v>0.2</v>
      </c>
      <c r="R235" s="11"/>
      <c r="S235" s="11"/>
      <c r="T235" s="11"/>
      <c r="U235" s="11">
        <v>0.23599999999999999</v>
      </c>
      <c r="V235" s="11">
        <v>0.23699999999999999</v>
      </c>
      <c r="W235" s="11"/>
      <c r="X235" s="64">
        <f t="shared" si="8"/>
        <v>1.0000000000000009E-3</v>
      </c>
      <c r="Y235" s="22"/>
      <c r="Z235" s="60">
        <f t="shared" si="7"/>
        <v>0</v>
      </c>
    </row>
    <row r="236" spans="1:26" x14ac:dyDescent="0.3">
      <c r="A236" s="34">
        <f t="shared" si="9"/>
        <v>233</v>
      </c>
      <c r="B236" s="36" t="s">
        <v>267</v>
      </c>
      <c r="C236" s="19" t="s">
        <v>27</v>
      </c>
      <c r="D236" s="18" t="s">
        <v>26</v>
      </c>
      <c r="E236" s="18" t="s">
        <v>26</v>
      </c>
      <c r="F236" s="11"/>
      <c r="G236" s="11"/>
      <c r="H236" s="11"/>
      <c r="I236" s="18" t="s">
        <v>31</v>
      </c>
      <c r="J236" s="18" t="s">
        <v>25</v>
      </c>
      <c r="K236" s="11"/>
      <c r="L236" s="22">
        <v>150</v>
      </c>
      <c r="M236" s="11"/>
      <c r="N236" s="11"/>
      <c r="O236" s="26">
        <v>45131</v>
      </c>
      <c r="P236" s="55">
        <v>3.2069999999999999</v>
      </c>
      <c r="Q236" s="25">
        <v>0.2</v>
      </c>
      <c r="R236" s="11"/>
      <c r="S236" s="11"/>
      <c r="T236" s="11"/>
      <c r="U236" s="11">
        <v>0.2349</v>
      </c>
      <c r="V236" s="11">
        <v>0.23580000000000001</v>
      </c>
      <c r="W236" s="11"/>
      <c r="X236" s="64">
        <f t="shared" si="8"/>
        <v>9.000000000000119E-4</v>
      </c>
      <c r="Y236" s="22"/>
      <c r="Z236" s="60">
        <f t="shared" si="7"/>
        <v>0</v>
      </c>
    </row>
    <row r="237" spans="1:26" x14ac:dyDescent="0.3">
      <c r="A237" s="34">
        <f t="shared" si="9"/>
        <v>234</v>
      </c>
      <c r="B237" s="36" t="s">
        <v>268</v>
      </c>
      <c r="C237" s="19" t="s">
        <v>27</v>
      </c>
      <c r="D237" s="18" t="s">
        <v>26</v>
      </c>
      <c r="E237" s="18" t="s">
        <v>26</v>
      </c>
      <c r="F237" s="11"/>
      <c r="G237" s="11"/>
      <c r="H237" s="11"/>
      <c r="I237" s="18" t="s">
        <v>31</v>
      </c>
      <c r="J237" s="18" t="s">
        <v>25</v>
      </c>
      <c r="K237" s="11"/>
      <c r="L237" s="22" t="s">
        <v>197</v>
      </c>
      <c r="M237" s="11"/>
      <c r="N237" s="11"/>
      <c r="O237" s="11"/>
      <c r="P237" s="55">
        <v>3.153</v>
      </c>
      <c r="Q237" s="25">
        <v>0.2</v>
      </c>
      <c r="R237" s="11"/>
      <c r="S237" s="11"/>
      <c r="T237" s="11"/>
      <c r="U237" s="11">
        <v>0.23780000000000001</v>
      </c>
      <c r="V237" s="11">
        <v>0.23880000000000001</v>
      </c>
      <c r="W237" s="11"/>
      <c r="X237" s="64">
        <f t="shared" si="8"/>
        <v>1.0000000000000009E-3</v>
      </c>
      <c r="Y237" s="22"/>
      <c r="Z237" s="60" t="e">
        <f t="shared" si="7"/>
        <v>#VALUE!</v>
      </c>
    </row>
    <row r="238" spans="1:26" x14ac:dyDescent="0.3">
      <c r="A238" s="34">
        <f t="shared" si="9"/>
        <v>235</v>
      </c>
      <c r="B238" s="36" t="s">
        <v>269</v>
      </c>
      <c r="C238" s="19" t="s">
        <v>27</v>
      </c>
      <c r="D238" s="18" t="s">
        <v>26</v>
      </c>
      <c r="E238" s="18" t="s">
        <v>26</v>
      </c>
      <c r="F238" s="11"/>
      <c r="G238" s="11"/>
      <c r="H238" s="11"/>
      <c r="I238" s="18" t="s">
        <v>31</v>
      </c>
      <c r="J238" s="18" t="s">
        <v>25</v>
      </c>
      <c r="K238" s="11"/>
      <c r="L238" s="22" t="s">
        <v>197</v>
      </c>
      <c r="M238" s="11"/>
      <c r="N238" s="11"/>
      <c r="O238" s="11"/>
      <c r="P238" s="55">
        <v>3.2869999999999999</v>
      </c>
      <c r="Q238" s="25">
        <v>0.2</v>
      </c>
      <c r="R238" s="11"/>
      <c r="S238" s="11"/>
      <c r="T238" s="11"/>
      <c r="U238" s="11">
        <v>0.23649999999999999</v>
      </c>
      <c r="V238" s="11">
        <v>0.23719999999999999</v>
      </c>
      <c r="W238" s="11"/>
      <c r="X238" s="64">
        <f t="shared" si="8"/>
        <v>7.0000000000000617E-4</v>
      </c>
      <c r="Y238" s="22"/>
      <c r="Z238" s="60" t="e">
        <f t="shared" si="7"/>
        <v>#VALUE!</v>
      </c>
    </row>
    <row r="239" spans="1:26" x14ac:dyDescent="0.3">
      <c r="A239" s="34">
        <f t="shared" si="9"/>
        <v>236</v>
      </c>
      <c r="B239" s="99" t="s">
        <v>270</v>
      </c>
      <c r="C239" s="100" t="s">
        <v>27</v>
      </c>
      <c r="D239" s="101" t="s">
        <v>26</v>
      </c>
      <c r="E239" s="101" t="s">
        <v>26</v>
      </c>
      <c r="F239" s="102"/>
      <c r="G239" s="102"/>
      <c r="H239" s="102"/>
      <c r="I239" s="101" t="s">
        <v>31</v>
      </c>
      <c r="J239" s="101" t="s">
        <v>25</v>
      </c>
      <c r="K239" s="102"/>
      <c r="L239" s="103">
        <v>160</v>
      </c>
      <c r="M239" s="102"/>
      <c r="N239" s="102"/>
      <c r="O239" s="102"/>
      <c r="P239" s="105">
        <v>3.4809999999999999</v>
      </c>
      <c r="Q239" s="106">
        <v>0.2</v>
      </c>
      <c r="R239" s="102"/>
      <c r="S239" s="102"/>
      <c r="T239" s="102"/>
      <c r="U239" s="102">
        <v>0.23549999999999999</v>
      </c>
      <c r="V239" s="102">
        <v>0.2366</v>
      </c>
      <c r="W239" s="102"/>
      <c r="X239" s="102">
        <f t="shared" si="8"/>
        <v>1.1000000000000176E-3</v>
      </c>
      <c r="Y239" s="103"/>
      <c r="Z239" s="107">
        <f t="shared" si="7"/>
        <v>0</v>
      </c>
    </row>
    <row r="240" spans="1:26" x14ac:dyDescent="0.3">
      <c r="A240" s="34">
        <f t="shared" si="9"/>
        <v>237</v>
      </c>
      <c r="B240" s="99" t="s">
        <v>271</v>
      </c>
      <c r="C240" s="100" t="s">
        <v>27</v>
      </c>
      <c r="D240" s="101" t="s">
        <v>26</v>
      </c>
      <c r="E240" s="101" t="s">
        <v>26</v>
      </c>
      <c r="F240" s="102"/>
      <c r="G240" s="102"/>
      <c r="H240" s="102"/>
      <c r="I240" s="101" t="s">
        <v>31</v>
      </c>
      <c r="J240" s="101" t="s">
        <v>25</v>
      </c>
      <c r="K240" s="102"/>
      <c r="L240" s="103">
        <v>150</v>
      </c>
      <c r="M240" s="102"/>
      <c r="N240" s="102"/>
      <c r="O240" s="102"/>
      <c r="P240" s="105">
        <v>3.2829999999999999</v>
      </c>
      <c r="Q240" s="106">
        <v>0.2</v>
      </c>
      <c r="R240" s="102"/>
      <c r="S240" s="102"/>
      <c r="T240" s="102"/>
      <c r="U240" s="102">
        <v>0.23280000000000001</v>
      </c>
      <c r="V240" s="102">
        <v>0.23350000000000001</v>
      </c>
      <c r="W240" s="102"/>
      <c r="X240" s="102">
        <f t="shared" si="8"/>
        <v>7.0000000000000617E-4</v>
      </c>
      <c r="Y240" s="103"/>
      <c r="Z240" s="107">
        <f t="shared" si="7"/>
        <v>0</v>
      </c>
    </row>
    <row r="241" spans="1:26" x14ac:dyDescent="0.3">
      <c r="A241" s="34">
        <f t="shared" si="9"/>
        <v>238</v>
      </c>
      <c r="B241" s="99" t="s">
        <v>272</v>
      </c>
      <c r="C241" s="100" t="s">
        <v>27</v>
      </c>
      <c r="D241" s="101" t="s">
        <v>26</v>
      </c>
      <c r="E241" s="101" t="s">
        <v>26</v>
      </c>
      <c r="F241" s="102"/>
      <c r="G241" s="102"/>
      <c r="H241" s="102"/>
      <c r="I241" s="101" t="s">
        <v>31</v>
      </c>
      <c r="J241" s="101" t="s">
        <v>25</v>
      </c>
      <c r="K241" s="102"/>
      <c r="L241" s="103">
        <v>150</v>
      </c>
      <c r="M241" s="102"/>
      <c r="N241" s="102"/>
      <c r="O241" s="102"/>
      <c r="P241" s="105">
        <v>3.0840000000000001</v>
      </c>
      <c r="Q241" s="106">
        <v>0.2</v>
      </c>
      <c r="R241" s="102"/>
      <c r="S241" s="102"/>
      <c r="T241" s="102"/>
      <c r="U241" s="102">
        <v>0.23530000000000001</v>
      </c>
      <c r="V241" s="102">
        <v>0.2361</v>
      </c>
      <c r="W241" s="102"/>
      <c r="X241" s="102">
        <f t="shared" si="8"/>
        <v>7.9999999999999516E-4</v>
      </c>
      <c r="Y241" s="103"/>
      <c r="Z241" s="107">
        <f t="shared" si="7"/>
        <v>0</v>
      </c>
    </row>
    <row r="242" spans="1:26" x14ac:dyDescent="0.3">
      <c r="A242" s="34">
        <f t="shared" si="9"/>
        <v>239</v>
      </c>
      <c r="B242" s="99" t="s">
        <v>273</v>
      </c>
      <c r="C242" s="100" t="s">
        <v>27</v>
      </c>
      <c r="D242" s="101" t="s">
        <v>26</v>
      </c>
      <c r="E242" s="101" t="s">
        <v>26</v>
      </c>
      <c r="F242" s="102"/>
      <c r="G242" s="102"/>
      <c r="H242" s="102"/>
      <c r="I242" s="101" t="s">
        <v>31</v>
      </c>
      <c r="J242" s="101" t="s">
        <v>25</v>
      </c>
      <c r="K242" s="102"/>
      <c r="L242" s="103">
        <v>150</v>
      </c>
      <c r="M242" s="102"/>
      <c r="N242" s="102"/>
      <c r="O242" s="102"/>
      <c r="P242" s="105">
        <v>3.2890000000000001</v>
      </c>
      <c r="Q242" s="106">
        <v>0.2</v>
      </c>
      <c r="R242" s="102"/>
      <c r="S242" s="102"/>
      <c r="T242" s="102"/>
      <c r="U242" s="102">
        <v>0.23719999999999999</v>
      </c>
      <c r="V242" s="102">
        <v>0.23810000000000001</v>
      </c>
      <c r="W242" s="102"/>
      <c r="X242" s="102">
        <f t="shared" si="8"/>
        <v>9.000000000000119E-4</v>
      </c>
      <c r="Y242" s="103"/>
      <c r="Z242" s="107">
        <f t="shared" si="7"/>
        <v>0</v>
      </c>
    </row>
    <row r="243" spans="1:26" x14ac:dyDescent="0.3">
      <c r="A243" s="34">
        <f t="shared" si="9"/>
        <v>240</v>
      </c>
      <c r="B243" s="99" t="s">
        <v>274</v>
      </c>
      <c r="C243" s="100" t="s">
        <v>27</v>
      </c>
      <c r="D243" s="101" t="s">
        <v>26</v>
      </c>
      <c r="E243" s="101" t="s">
        <v>26</v>
      </c>
      <c r="F243" s="102"/>
      <c r="G243" s="102"/>
      <c r="H243" s="102"/>
      <c r="I243" s="101" t="s">
        <v>31</v>
      </c>
      <c r="J243" s="101" t="s">
        <v>25</v>
      </c>
      <c r="K243" s="102"/>
      <c r="L243" s="103">
        <v>140</v>
      </c>
      <c r="M243" s="102"/>
      <c r="N243" s="102"/>
      <c r="O243" s="102"/>
      <c r="P243" s="105">
        <v>3.8639999999999999</v>
      </c>
      <c r="Q243" s="106">
        <v>0.2</v>
      </c>
      <c r="R243" s="102"/>
      <c r="S243" s="102"/>
      <c r="T243" s="102"/>
      <c r="U243" s="102">
        <v>0.23400000000000001</v>
      </c>
      <c r="V243" s="102">
        <v>0.23649999999999999</v>
      </c>
      <c r="W243" s="102"/>
      <c r="X243" s="102">
        <f t="shared" si="8"/>
        <v>2.4999999999999745E-3</v>
      </c>
      <c r="Y243" s="103"/>
      <c r="Z243" s="107">
        <f t="shared" si="7"/>
        <v>0</v>
      </c>
    </row>
    <row r="244" spans="1:26" x14ac:dyDescent="0.3">
      <c r="A244" s="34">
        <f t="shared" si="9"/>
        <v>241</v>
      </c>
      <c r="B244" s="99" t="s">
        <v>275</v>
      </c>
      <c r="C244" s="100" t="s">
        <v>27</v>
      </c>
      <c r="D244" s="101" t="s">
        <v>26</v>
      </c>
      <c r="E244" s="101" t="s">
        <v>26</v>
      </c>
      <c r="F244" s="102"/>
      <c r="G244" s="102"/>
      <c r="H244" s="102"/>
      <c r="I244" s="101" t="s">
        <v>31</v>
      </c>
      <c r="J244" s="101" t="s">
        <v>25</v>
      </c>
      <c r="K244" s="102"/>
      <c r="L244" s="103">
        <v>150</v>
      </c>
      <c r="M244" s="102"/>
      <c r="N244" s="102"/>
      <c r="O244" s="102"/>
      <c r="P244" s="105">
        <v>3.3439999999999999</v>
      </c>
      <c r="Q244" s="106">
        <v>0.2</v>
      </c>
      <c r="R244" s="102"/>
      <c r="S244" s="102"/>
      <c r="T244" s="102"/>
      <c r="U244" s="102">
        <v>0.2336</v>
      </c>
      <c r="V244" s="102">
        <v>0.23419999999999999</v>
      </c>
      <c r="W244" s="102"/>
      <c r="X244" s="102">
        <f t="shared" si="8"/>
        <v>5.9999999999998943E-4</v>
      </c>
      <c r="Y244" s="103"/>
      <c r="Z244" s="107">
        <f t="shared" si="7"/>
        <v>0</v>
      </c>
    </row>
    <row r="245" spans="1:26" x14ac:dyDescent="0.3">
      <c r="A245" s="43">
        <f t="shared" si="9"/>
        <v>242</v>
      </c>
      <c r="B245" s="99" t="s">
        <v>276</v>
      </c>
      <c r="C245" s="100" t="s">
        <v>27</v>
      </c>
      <c r="D245" s="101" t="s">
        <v>26</v>
      </c>
      <c r="E245" s="101" t="s">
        <v>26</v>
      </c>
      <c r="F245" s="102"/>
      <c r="G245" s="102"/>
      <c r="H245" s="102"/>
      <c r="I245" s="101" t="s">
        <v>31</v>
      </c>
      <c r="J245" s="101" t="s">
        <v>25</v>
      </c>
      <c r="K245" s="102"/>
      <c r="L245" s="103">
        <v>150</v>
      </c>
      <c r="M245" s="102"/>
      <c r="N245" s="102"/>
      <c r="O245" s="102"/>
      <c r="P245" s="105">
        <v>3.1840000000000002</v>
      </c>
      <c r="Q245" s="106">
        <v>0.2</v>
      </c>
      <c r="R245" s="102"/>
      <c r="S245" s="102"/>
      <c r="T245" s="102"/>
      <c r="U245" s="102">
        <v>0.23469999999999999</v>
      </c>
      <c r="V245" s="102">
        <v>0.23569999999999999</v>
      </c>
      <c r="W245" s="102"/>
      <c r="X245" s="102">
        <f t="shared" si="8"/>
        <v>1.0000000000000009E-3</v>
      </c>
      <c r="Y245" s="108">
        <v>5.8357639970625002E-3</v>
      </c>
      <c r="Z245" s="107">
        <f t="shared" si="7"/>
        <v>3.890509331375E-2</v>
      </c>
    </row>
    <row r="246" spans="1:26" x14ac:dyDescent="0.3">
      <c r="A246" s="34">
        <f t="shared" si="9"/>
        <v>243</v>
      </c>
      <c r="B246" s="99" t="s">
        <v>277</v>
      </c>
      <c r="C246" s="100" t="s">
        <v>27</v>
      </c>
      <c r="D246" s="101" t="s">
        <v>26</v>
      </c>
      <c r="E246" s="101" t="s">
        <v>26</v>
      </c>
      <c r="F246" s="102"/>
      <c r="G246" s="102"/>
      <c r="H246" s="102"/>
      <c r="I246" s="101" t="s">
        <v>31</v>
      </c>
      <c r="J246" s="101" t="s">
        <v>25</v>
      </c>
      <c r="K246" s="102"/>
      <c r="L246" s="103">
        <v>145</v>
      </c>
      <c r="M246" s="102"/>
      <c r="N246" s="102"/>
      <c r="O246" s="102"/>
      <c r="P246" s="105">
        <v>3.246</v>
      </c>
      <c r="Q246" s="106">
        <v>0.2</v>
      </c>
      <c r="R246" s="102"/>
      <c r="S246" s="102"/>
      <c r="T246" s="102"/>
      <c r="U246" s="102">
        <v>0.23680000000000001</v>
      </c>
      <c r="V246" s="102">
        <v>0.23760000000000001</v>
      </c>
      <c r="W246" s="102"/>
      <c r="X246" s="102">
        <f t="shared" si="8"/>
        <v>7.9999999999999516E-4</v>
      </c>
      <c r="Y246" s="103"/>
      <c r="Z246" s="107">
        <f t="shared" si="7"/>
        <v>0</v>
      </c>
    </row>
    <row r="247" spans="1:26" x14ac:dyDescent="0.3">
      <c r="A247" s="34">
        <f t="shared" si="9"/>
        <v>244</v>
      </c>
      <c r="B247" s="99" t="s">
        <v>278</v>
      </c>
      <c r="C247" s="100" t="s">
        <v>27</v>
      </c>
      <c r="D247" s="101" t="s">
        <v>26</v>
      </c>
      <c r="E247" s="101" t="s">
        <v>26</v>
      </c>
      <c r="F247" s="102"/>
      <c r="G247" s="102"/>
      <c r="H247" s="102"/>
      <c r="I247" s="101" t="s">
        <v>31</v>
      </c>
      <c r="J247" s="101" t="s">
        <v>25</v>
      </c>
      <c r="K247" s="102"/>
      <c r="L247" s="103">
        <v>150</v>
      </c>
      <c r="M247" s="102"/>
      <c r="N247" s="102"/>
      <c r="O247" s="102"/>
      <c r="P247" s="105">
        <v>3.8860000000000001</v>
      </c>
      <c r="Q247" s="106">
        <v>0.2</v>
      </c>
      <c r="R247" s="102"/>
      <c r="S247" s="102"/>
      <c r="T247" s="102"/>
      <c r="U247" s="102">
        <v>0.23799999999999999</v>
      </c>
      <c r="V247" s="102">
        <v>0.23880000000000001</v>
      </c>
      <c r="W247" s="102"/>
      <c r="X247" s="102">
        <f t="shared" si="8"/>
        <v>8.0000000000002292E-4</v>
      </c>
      <c r="Y247" s="103"/>
      <c r="Z247" s="107">
        <f t="shared" si="7"/>
        <v>0</v>
      </c>
    </row>
    <row r="248" spans="1:26" x14ac:dyDescent="0.3">
      <c r="A248" s="34">
        <f t="shared" si="9"/>
        <v>245</v>
      </c>
      <c r="B248" s="99" t="s">
        <v>279</v>
      </c>
      <c r="C248" s="100" t="s">
        <v>27</v>
      </c>
      <c r="D248" s="101" t="s">
        <v>26</v>
      </c>
      <c r="E248" s="101" t="s">
        <v>26</v>
      </c>
      <c r="F248" s="102"/>
      <c r="G248" s="102"/>
      <c r="H248" s="102"/>
      <c r="I248" s="101" t="s">
        <v>31</v>
      </c>
      <c r="J248" s="101" t="s">
        <v>25</v>
      </c>
      <c r="K248" s="102"/>
      <c r="L248" s="103">
        <v>150</v>
      </c>
      <c r="M248" s="102"/>
      <c r="N248" s="102"/>
      <c r="O248" s="102"/>
      <c r="P248" s="105">
        <v>3.4710000000000001</v>
      </c>
      <c r="Q248" s="106">
        <v>0.2</v>
      </c>
      <c r="R248" s="102"/>
      <c r="S248" s="102"/>
      <c r="T248" s="102"/>
      <c r="U248" s="102">
        <v>0.23319999999999999</v>
      </c>
      <c r="V248" s="102">
        <v>0.2344</v>
      </c>
      <c r="W248" s="102"/>
      <c r="X248" s="102">
        <f t="shared" si="8"/>
        <v>1.2000000000000066E-3</v>
      </c>
      <c r="Y248" s="103"/>
      <c r="Z248" s="107">
        <f t="shared" si="7"/>
        <v>0</v>
      </c>
    </row>
    <row r="249" spans="1:26" x14ac:dyDescent="0.3">
      <c r="A249" s="34">
        <f t="shared" si="9"/>
        <v>246</v>
      </c>
      <c r="B249" s="99" t="s">
        <v>280</v>
      </c>
      <c r="C249" s="100" t="s">
        <v>27</v>
      </c>
      <c r="D249" s="101" t="s">
        <v>26</v>
      </c>
      <c r="E249" s="101" t="s">
        <v>26</v>
      </c>
      <c r="F249" s="102"/>
      <c r="G249" s="102"/>
      <c r="H249" s="102"/>
      <c r="I249" s="101" t="s">
        <v>31</v>
      </c>
      <c r="J249" s="101" t="s">
        <v>25</v>
      </c>
      <c r="K249" s="102"/>
      <c r="L249" s="103">
        <v>150</v>
      </c>
      <c r="M249" s="102"/>
      <c r="N249" s="102"/>
      <c r="O249" s="102"/>
      <c r="P249" s="105">
        <v>3.3780000000000001</v>
      </c>
      <c r="Q249" s="106">
        <v>0.2</v>
      </c>
      <c r="R249" s="102"/>
      <c r="S249" s="102"/>
      <c r="T249" s="102"/>
      <c r="U249" s="102">
        <v>0.2382</v>
      </c>
      <c r="V249" s="102">
        <v>0.23930000000000001</v>
      </c>
      <c r="W249" s="102"/>
      <c r="X249" s="102">
        <f t="shared" si="8"/>
        <v>1.1000000000000176E-3</v>
      </c>
      <c r="Y249" s="103"/>
      <c r="Z249" s="107">
        <f t="shared" si="7"/>
        <v>0</v>
      </c>
    </row>
    <row r="250" spans="1:26" x14ac:dyDescent="0.3">
      <c r="A250" s="34">
        <f t="shared" si="9"/>
        <v>247</v>
      </c>
      <c r="B250" s="99" t="s">
        <v>281</v>
      </c>
      <c r="C250" s="100" t="s">
        <v>27</v>
      </c>
      <c r="D250" s="101" t="s">
        <v>26</v>
      </c>
      <c r="E250" s="101" t="s">
        <v>26</v>
      </c>
      <c r="F250" s="102"/>
      <c r="G250" s="102"/>
      <c r="H250" s="102"/>
      <c r="I250" s="101" t="s">
        <v>31</v>
      </c>
      <c r="J250" s="101" t="s">
        <v>25</v>
      </c>
      <c r="K250" s="102"/>
      <c r="L250" s="103" t="s">
        <v>197</v>
      </c>
      <c r="M250" s="102"/>
      <c r="N250" s="102"/>
      <c r="O250" s="102"/>
      <c r="P250" s="105">
        <v>3.1680000000000001</v>
      </c>
      <c r="Q250" s="106">
        <v>0.2</v>
      </c>
      <c r="R250" s="102"/>
      <c r="S250" s="102"/>
      <c r="T250" s="102"/>
      <c r="U250" s="102">
        <v>0.24210000000000001</v>
      </c>
      <c r="V250" s="102">
        <v>0.24349999999999999</v>
      </c>
      <c r="W250" s="102"/>
      <c r="X250" s="102">
        <f t="shared" si="8"/>
        <v>1.3999999999999846E-3</v>
      </c>
      <c r="Y250" s="103"/>
      <c r="Z250" s="107" t="e">
        <f t="shared" si="7"/>
        <v>#VALUE!</v>
      </c>
    </row>
    <row r="251" spans="1:26" x14ac:dyDescent="0.3">
      <c r="A251" s="34">
        <f t="shared" si="9"/>
        <v>248</v>
      </c>
      <c r="B251" s="99" t="s">
        <v>282</v>
      </c>
      <c r="C251" s="100" t="s">
        <v>27</v>
      </c>
      <c r="D251" s="101" t="s">
        <v>26</v>
      </c>
      <c r="E251" s="101" t="s">
        <v>26</v>
      </c>
      <c r="F251" s="102"/>
      <c r="G251" s="102"/>
      <c r="H251" s="102"/>
      <c r="I251" s="101" t="s">
        <v>31</v>
      </c>
      <c r="J251" s="101" t="s">
        <v>25</v>
      </c>
      <c r="K251" s="102"/>
      <c r="L251" s="103">
        <v>160</v>
      </c>
      <c r="M251" s="102"/>
      <c r="N251" s="102"/>
      <c r="O251" s="102"/>
      <c r="P251" s="105">
        <v>3.7970000000000002</v>
      </c>
      <c r="Q251" s="106">
        <v>0.2</v>
      </c>
      <c r="R251" s="102"/>
      <c r="S251" s="102"/>
      <c r="T251" s="102"/>
      <c r="U251" s="102">
        <v>0.22800000000000001</v>
      </c>
      <c r="V251" s="102">
        <v>0.2298</v>
      </c>
      <c r="W251" s="102"/>
      <c r="X251" s="102">
        <f t="shared" si="8"/>
        <v>1.799999999999996E-3</v>
      </c>
      <c r="Y251" s="103"/>
      <c r="Z251" s="107">
        <f t="shared" si="7"/>
        <v>0</v>
      </c>
    </row>
    <row r="252" spans="1:26" x14ac:dyDescent="0.3">
      <c r="A252" s="34">
        <f t="shared" si="9"/>
        <v>249</v>
      </c>
      <c r="B252" s="99" t="s">
        <v>283</v>
      </c>
      <c r="C252" s="100" t="s">
        <v>27</v>
      </c>
      <c r="D252" s="101" t="s">
        <v>26</v>
      </c>
      <c r="E252" s="101" t="s">
        <v>26</v>
      </c>
      <c r="F252" s="102"/>
      <c r="G252" s="102"/>
      <c r="H252" s="102"/>
      <c r="I252" s="101" t="s">
        <v>31</v>
      </c>
      <c r="J252" s="101" t="s">
        <v>25</v>
      </c>
      <c r="K252" s="102"/>
      <c r="L252" s="103">
        <v>155</v>
      </c>
      <c r="M252" s="102"/>
      <c r="N252" s="102"/>
      <c r="O252" s="102"/>
      <c r="P252" s="105">
        <v>3.1840000000000002</v>
      </c>
      <c r="Q252" s="106">
        <v>0.2</v>
      </c>
      <c r="R252" s="102"/>
      <c r="S252" s="102"/>
      <c r="T252" s="102"/>
      <c r="U252" s="102">
        <v>0.23250000000000001</v>
      </c>
      <c r="V252" s="102">
        <v>0.23330000000000001</v>
      </c>
      <c r="W252" s="102"/>
      <c r="X252" s="102">
        <f t="shared" si="8"/>
        <v>7.9999999999999516E-4</v>
      </c>
      <c r="Y252" s="103"/>
      <c r="Z252" s="107">
        <f t="shared" si="7"/>
        <v>0</v>
      </c>
    </row>
    <row r="253" spans="1:26" x14ac:dyDescent="0.3">
      <c r="A253" s="34">
        <f t="shared" si="9"/>
        <v>250</v>
      </c>
      <c r="B253" s="99" t="s">
        <v>284</v>
      </c>
      <c r="C253" s="100" t="s">
        <v>27</v>
      </c>
      <c r="D253" s="101" t="s">
        <v>26</v>
      </c>
      <c r="E253" s="101" t="s">
        <v>26</v>
      </c>
      <c r="F253" s="102"/>
      <c r="G253" s="102"/>
      <c r="H253" s="102"/>
      <c r="I253" s="101" t="s">
        <v>31</v>
      </c>
      <c r="J253" s="101" t="s">
        <v>25</v>
      </c>
      <c r="K253" s="102"/>
      <c r="L253" s="103">
        <v>150</v>
      </c>
      <c r="M253" s="102"/>
      <c r="N253" s="102"/>
      <c r="O253" s="102"/>
      <c r="P253" s="105">
        <v>3.399</v>
      </c>
      <c r="Q253" s="106">
        <v>0.2</v>
      </c>
      <c r="R253" s="102"/>
      <c r="S253" s="102"/>
      <c r="T253" s="102"/>
      <c r="U253" s="102">
        <v>0.23519999999999999</v>
      </c>
      <c r="V253" s="102">
        <v>0.23649999999999999</v>
      </c>
      <c r="W253" s="102"/>
      <c r="X253" s="102">
        <f t="shared" si="8"/>
        <v>1.2999999999999956E-3</v>
      </c>
      <c r="Y253" s="103"/>
      <c r="Z253" s="107">
        <f t="shared" si="7"/>
        <v>0</v>
      </c>
    </row>
    <row r="254" spans="1:26" x14ac:dyDescent="0.3">
      <c r="A254" s="34">
        <f t="shared" si="9"/>
        <v>251</v>
      </c>
      <c r="B254" s="99" t="s">
        <v>285</v>
      </c>
      <c r="C254" s="100" t="s">
        <v>27</v>
      </c>
      <c r="D254" s="101" t="s">
        <v>26</v>
      </c>
      <c r="E254" s="101" t="s">
        <v>26</v>
      </c>
      <c r="F254" s="102"/>
      <c r="G254" s="102"/>
      <c r="H254" s="102"/>
      <c r="I254" s="101" t="s">
        <v>31</v>
      </c>
      <c r="J254" s="101" t="s">
        <v>25</v>
      </c>
      <c r="K254" s="102"/>
      <c r="L254" s="103">
        <v>140</v>
      </c>
      <c r="M254" s="102"/>
      <c r="N254" s="102"/>
      <c r="O254" s="102"/>
      <c r="P254" s="105">
        <v>3.23</v>
      </c>
      <c r="Q254" s="106">
        <v>0.2</v>
      </c>
      <c r="R254" s="102"/>
      <c r="S254" s="102"/>
      <c r="T254" s="102"/>
      <c r="U254" s="102">
        <v>0.2288</v>
      </c>
      <c r="V254" s="102">
        <v>0.23</v>
      </c>
      <c r="W254" s="102"/>
      <c r="X254" s="102">
        <f t="shared" si="8"/>
        <v>1.2000000000000066E-3</v>
      </c>
      <c r="Y254" s="103"/>
      <c r="Z254" s="107">
        <f t="shared" si="7"/>
        <v>0</v>
      </c>
    </row>
    <row r="255" spans="1:26" x14ac:dyDescent="0.3">
      <c r="A255" s="43">
        <f t="shared" si="9"/>
        <v>252</v>
      </c>
      <c r="B255" s="99" t="s">
        <v>286</v>
      </c>
      <c r="C255" s="100" t="s">
        <v>27</v>
      </c>
      <c r="D255" s="101" t="s">
        <v>26</v>
      </c>
      <c r="E255" s="101" t="s">
        <v>26</v>
      </c>
      <c r="F255" s="102"/>
      <c r="G255" s="102"/>
      <c r="H255" s="102"/>
      <c r="I255" s="101" t="s">
        <v>31</v>
      </c>
      <c r="J255" s="101" t="s">
        <v>25</v>
      </c>
      <c r="K255" s="102"/>
      <c r="L255" s="103">
        <v>150</v>
      </c>
      <c r="M255" s="102"/>
      <c r="N255" s="102"/>
      <c r="O255" s="102"/>
      <c r="P255" s="105">
        <v>3.6640000000000001</v>
      </c>
      <c r="Q255" s="106">
        <v>0.2</v>
      </c>
      <c r="R255" s="102"/>
      <c r="S255" s="102"/>
      <c r="T255" s="102"/>
      <c r="U255" s="102">
        <v>0.23319999999999999</v>
      </c>
      <c r="V255" s="102"/>
      <c r="W255" s="102"/>
      <c r="X255" s="102">
        <f t="shared" si="8"/>
        <v>-0.23319999999999999</v>
      </c>
      <c r="Y255" s="108">
        <v>6.9204867741875006E-3</v>
      </c>
      <c r="Z255" s="107">
        <f t="shared" si="7"/>
        <v>4.6136578494583337E-2</v>
      </c>
    </row>
    <row r="256" spans="1:26" x14ac:dyDescent="0.3">
      <c r="A256" s="43">
        <f t="shared" si="9"/>
        <v>253</v>
      </c>
      <c r="B256" s="99" t="s">
        <v>287</v>
      </c>
      <c r="C256" s="100" t="s">
        <v>27</v>
      </c>
      <c r="D256" s="101" t="s">
        <v>26</v>
      </c>
      <c r="E256" s="101" t="s">
        <v>26</v>
      </c>
      <c r="F256" s="102"/>
      <c r="G256" s="102"/>
      <c r="H256" s="102"/>
      <c r="I256" s="101" t="s">
        <v>31</v>
      </c>
      <c r="J256" s="101" t="s">
        <v>25</v>
      </c>
      <c r="K256" s="102"/>
      <c r="L256" s="103">
        <v>160</v>
      </c>
      <c r="M256" s="102"/>
      <c r="N256" s="102"/>
      <c r="O256" s="102"/>
      <c r="P256" s="105">
        <v>4.5410000000000004</v>
      </c>
      <c r="Q256" s="106">
        <v>0.2</v>
      </c>
      <c r="R256" s="102"/>
      <c r="S256" s="102"/>
      <c r="T256" s="102"/>
      <c r="U256" s="102">
        <v>0.2311</v>
      </c>
      <c r="V256" s="102">
        <v>0.23350000000000001</v>
      </c>
      <c r="W256" s="102"/>
      <c r="X256" s="102">
        <f t="shared" si="8"/>
        <v>2.4000000000000132E-3</v>
      </c>
      <c r="Y256" s="108">
        <v>9.508337120500001E-3</v>
      </c>
      <c r="Z256" s="107">
        <f t="shared" si="7"/>
        <v>5.9427107003125007E-2</v>
      </c>
    </row>
    <row r="257" spans="1:26" x14ac:dyDescent="0.3">
      <c r="A257" s="34">
        <f t="shared" si="9"/>
        <v>254</v>
      </c>
      <c r="B257" s="70" t="s">
        <v>288</v>
      </c>
      <c r="C257" s="19" t="s">
        <v>27</v>
      </c>
      <c r="D257" s="18" t="s">
        <v>26</v>
      </c>
      <c r="E257" s="18" t="s">
        <v>26</v>
      </c>
      <c r="F257" s="11"/>
      <c r="G257" s="11"/>
      <c r="H257" s="11"/>
      <c r="I257" s="18" t="s">
        <v>31</v>
      </c>
      <c r="J257" s="18" t="s">
        <v>25</v>
      </c>
      <c r="K257" s="11"/>
      <c r="L257" s="22">
        <v>145</v>
      </c>
      <c r="M257" s="11"/>
      <c r="N257" s="11"/>
      <c r="O257" s="11"/>
      <c r="P257" s="55">
        <v>3.2440000000000002</v>
      </c>
      <c r="Q257" s="25">
        <v>0.2</v>
      </c>
      <c r="R257" s="11"/>
      <c r="S257" s="11"/>
      <c r="T257" s="11"/>
      <c r="U257" s="11">
        <v>0.2306</v>
      </c>
      <c r="V257" s="11">
        <v>0.2321</v>
      </c>
      <c r="W257" s="11"/>
      <c r="X257" s="64">
        <f t="shared" si="8"/>
        <v>1.5000000000000013E-3</v>
      </c>
      <c r="Y257" s="22"/>
      <c r="Z257" s="60">
        <f t="shared" si="7"/>
        <v>0</v>
      </c>
    </row>
    <row r="258" spans="1:26" x14ac:dyDescent="0.3">
      <c r="A258" s="34">
        <f t="shared" si="9"/>
        <v>255</v>
      </c>
      <c r="B258" s="70" t="s">
        <v>289</v>
      </c>
      <c r="C258" s="19" t="s">
        <v>27</v>
      </c>
      <c r="D258" s="18" t="s">
        <v>26</v>
      </c>
      <c r="E258" s="18" t="s">
        <v>26</v>
      </c>
      <c r="F258" s="11"/>
      <c r="G258" s="11"/>
      <c r="H258" s="11"/>
      <c r="I258" s="18" t="s">
        <v>31</v>
      </c>
      <c r="J258" s="18" t="s">
        <v>25</v>
      </c>
      <c r="K258" s="11"/>
      <c r="L258" s="22">
        <v>150</v>
      </c>
      <c r="M258" s="11"/>
      <c r="N258" s="11"/>
      <c r="O258" s="11"/>
      <c r="P258" s="55">
        <v>3.3380000000000001</v>
      </c>
      <c r="Q258" s="25">
        <v>0.2</v>
      </c>
      <c r="R258" s="11"/>
      <c r="S258" s="11"/>
      <c r="T258" s="11"/>
      <c r="U258" s="11">
        <v>0.2271</v>
      </c>
      <c r="V258" s="11">
        <v>0.22789999999999999</v>
      </c>
      <c r="W258" s="11"/>
      <c r="X258" s="64">
        <f t="shared" si="8"/>
        <v>7.9999999999999516E-4</v>
      </c>
      <c r="Y258" s="22"/>
      <c r="Z258" s="60">
        <f t="shared" si="7"/>
        <v>0</v>
      </c>
    </row>
    <row r="259" spans="1:26" x14ac:dyDescent="0.3">
      <c r="A259" s="34">
        <f t="shared" si="9"/>
        <v>256</v>
      </c>
      <c r="B259" s="70" t="s">
        <v>290</v>
      </c>
      <c r="C259" s="19" t="s">
        <v>27</v>
      </c>
      <c r="D259" s="18" t="s">
        <v>26</v>
      </c>
      <c r="E259" s="18" t="s">
        <v>26</v>
      </c>
      <c r="F259" s="11"/>
      <c r="G259" s="11"/>
      <c r="H259" s="11"/>
      <c r="I259" s="18" t="s">
        <v>31</v>
      </c>
      <c r="J259" s="18" t="s">
        <v>25</v>
      </c>
      <c r="K259" s="11"/>
      <c r="L259" s="22">
        <v>140</v>
      </c>
      <c r="M259" s="11"/>
      <c r="N259" s="11"/>
      <c r="O259" s="11"/>
      <c r="P259" s="55">
        <v>3.2010000000000001</v>
      </c>
      <c r="Q259" s="25">
        <v>0.2</v>
      </c>
      <c r="R259" s="11"/>
      <c r="S259" s="11"/>
      <c r="T259" s="11"/>
      <c r="U259" s="11">
        <v>0.2321</v>
      </c>
      <c r="V259" s="11">
        <v>0.23300000000000001</v>
      </c>
      <c r="W259" s="11"/>
      <c r="X259" s="64">
        <f t="shared" si="8"/>
        <v>9.000000000000119E-4</v>
      </c>
      <c r="Y259" s="22"/>
      <c r="Z259" s="60">
        <f t="shared" si="7"/>
        <v>0</v>
      </c>
    </row>
    <row r="260" spans="1:26" x14ac:dyDescent="0.3">
      <c r="A260" s="34">
        <f t="shared" si="9"/>
        <v>257</v>
      </c>
      <c r="B260" s="70" t="s">
        <v>291</v>
      </c>
      <c r="C260" s="19" t="s">
        <v>27</v>
      </c>
      <c r="D260" s="18" t="s">
        <v>26</v>
      </c>
      <c r="E260" s="18" t="s">
        <v>26</v>
      </c>
      <c r="F260" s="11"/>
      <c r="G260" s="11"/>
      <c r="H260" s="11"/>
      <c r="I260" s="18" t="s">
        <v>31</v>
      </c>
      <c r="J260" s="18" t="s">
        <v>25</v>
      </c>
      <c r="K260" s="11"/>
      <c r="L260" s="22">
        <v>140</v>
      </c>
      <c r="M260" s="11"/>
      <c r="N260" s="11"/>
      <c r="O260" s="11"/>
      <c r="P260" s="55">
        <v>3.056</v>
      </c>
      <c r="Q260" s="25">
        <v>0.2</v>
      </c>
      <c r="R260" s="11"/>
      <c r="S260" s="11"/>
      <c r="T260" s="11"/>
      <c r="U260" s="11">
        <v>0.23480000000000001</v>
      </c>
      <c r="V260" s="11">
        <v>0.23569999999999999</v>
      </c>
      <c r="W260" s="11"/>
      <c r="X260" s="64">
        <f t="shared" si="8"/>
        <v>8.9999999999998415E-4</v>
      </c>
      <c r="Y260" s="22"/>
      <c r="Z260" s="60">
        <f t="shared" si="7"/>
        <v>0</v>
      </c>
    </row>
    <row r="261" spans="1:26" x14ac:dyDescent="0.3">
      <c r="A261" s="34">
        <f t="shared" si="9"/>
        <v>258</v>
      </c>
      <c r="B261" s="70" t="s">
        <v>292</v>
      </c>
      <c r="C261" s="19" t="s">
        <v>27</v>
      </c>
      <c r="D261" s="18" t="s">
        <v>26</v>
      </c>
      <c r="E261" s="18" t="s">
        <v>26</v>
      </c>
      <c r="F261" s="11"/>
      <c r="G261" s="11"/>
      <c r="H261" s="11"/>
      <c r="I261" s="18" t="s">
        <v>31</v>
      </c>
      <c r="J261" s="18" t="s">
        <v>25</v>
      </c>
      <c r="K261" s="11"/>
      <c r="L261" s="22">
        <v>155</v>
      </c>
      <c r="M261" s="11"/>
      <c r="N261" s="11"/>
      <c r="O261" s="11"/>
      <c r="P261" s="55">
        <v>3.0910000000000002</v>
      </c>
      <c r="Q261" s="25">
        <v>0.2</v>
      </c>
      <c r="R261" s="11"/>
      <c r="S261" s="11"/>
      <c r="T261" s="11"/>
      <c r="U261" s="11">
        <v>0.2253</v>
      </c>
      <c r="V261" s="11">
        <v>0.22750000000000001</v>
      </c>
      <c r="W261" s="11"/>
      <c r="X261" s="64">
        <f t="shared" si="8"/>
        <v>2.2000000000000075E-3</v>
      </c>
      <c r="Y261" s="22"/>
      <c r="Z261" s="60">
        <f t="shared" si="7"/>
        <v>0</v>
      </c>
    </row>
    <row r="262" spans="1:26" x14ac:dyDescent="0.3">
      <c r="A262" s="34">
        <f t="shared" si="9"/>
        <v>259</v>
      </c>
      <c r="B262" s="70" t="s">
        <v>293</v>
      </c>
      <c r="C262" s="19" t="s">
        <v>27</v>
      </c>
      <c r="D262" s="18" t="s">
        <v>26</v>
      </c>
      <c r="E262" s="18" t="s">
        <v>26</v>
      </c>
      <c r="F262" s="11"/>
      <c r="G262" s="11"/>
      <c r="H262" s="11"/>
      <c r="I262" s="18" t="s">
        <v>31</v>
      </c>
      <c r="J262" s="18" t="s">
        <v>25</v>
      </c>
      <c r="K262" s="11"/>
      <c r="L262" s="22">
        <v>95</v>
      </c>
      <c r="M262" s="11"/>
      <c r="N262" s="11"/>
      <c r="O262" s="11"/>
      <c r="P262" s="55">
        <v>3.26</v>
      </c>
      <c r="Q262" s="25">
        <v>0.2</v>
      </c>
      <c r="R262" s="11"/>
      <c r="S262" s="11"/>
      <c r="T262" s="11"/>
      <c r="U262" s="11">
        <v>0.2382</v>
      </c>
      <c r="V262" s="11">
        <v>0.23960000000000001</v>
      </c>
      <c r="W262" s="11"/>
      <c r="X262" s="64">
        <f t="shared" si="8"/>
        <v>1.4000000000000123E-3</v>
      </c>
      <c r="Y262" s="22"/>
      <c r="Z262" s="60">
        <f t="shared" ref="Z262:Z325" si="10">Y262/(L262/1000)</f>
        <v>0</v>
      </c>
    </row>
    <row r="263" spans="1:26" x14ac:dyDescent="0.3">
      <c r="A263" s="34">
        <f t="shared" si="9"/>
        <v>260</v>
      </c>
      <c r="B263" s="70" t="s">
        <v>294</v>
      </c>
      <c r="C263" s="19" t="s">
        <v>27</v>
      </c>
      <c r="D263" s="18" t="s">
        <v>26</v>
      </c>
      <c r="E263" s="18" t="s">
        <v>26</v>
      </c>
      <c r="F263" s="11"/>
      <c r="G263" s="11"/>
      <c r="H263" s="11"/>
      <c r="I263" s="18" t="s">
        <v>31</v>
      </c>
      <c r="J263" s="18" t="s">
        <v>25</v>
      </c>
      <c r="K263" s="11"/>
      <c r="L263" s="22">
        <v>95</v>
      </c>
      <c r="M263" s="11"/>
      <c r="N263" s="11"/>
      <c r="O263" s="11"/>
      <c r="P263" s="55">
        <v>3.37</v>
      </c>
      <c r="Q263" s="25">
        <v>0.2</v>
      </c>
      <c r="R263" s="11"/>
      <c r="S263" s="11"/>
      <c r="T263" s="11"/>
      <c r="U263" s="11">
        <v>0.23219999999999999</v>
      </c>
      <c r="V263" s="11">
        <v>0.23400000000000001</v>
      </c>
      <c r="W263" s="11"/>
      <c r="X263" s="64">
        <f t="shared" si="8"/>
        <v>1.8000000000000238E-3</v>
      </c>
      <c r="Y263" s="22"/>
      <c r="Z263" s="60">
        <f t="shared" si="10"/>
        <v>0</v>
      </c>
    </row>
    <row r="264" spans="1:26" x14ac:dyDescent="0.3">
      <c r="A264" s="34">
        <f t="shared" si="9"/>
        <v>261</v>
      </c>
      <c r="B264" s="70" t="s">
        <v>295</v>
      </c>
      <c r="C264" s="19" t="s">
        <v>27</v>
      </c>
      <c r="D264" s="18" t="s">
        <v>26</v>
      </c>
      <c r="E264" s="18" t="s">
        <v>26</v>
      </c>
      <c r="F264" s="11"/>
      <c r="G264" s="11"/>
      <c r="H264" s="11"/>
      <c r="I264" s="18" t="s">
        <v>31</v>
      </c>
      <c r="J264" s="18" t="s">
        <v>25</v>
      </c>
      <c r="K264" s="11"/>
      <c r="L264" s="22">
        <v>115</v>
      </c>
      <c r="M264" s="11"/>
      <c r="N264" s="11"/>
      <c r="O264" s="11"/>
      <c r="P264" s="55">
        <v>3.246</v>
      </c>
      <c r="Q264" s="25">
        <v>0.2</v>
      </c>
      <c r="R264" s="11"/>
      <c r="S264" s="11"/>
      <c r="T264" s="11"/>
      <c r="U264" s="11">
        <v>0.2298</v>
      </c>
      <c r="V264" s="11">
        <v>0.23280000000000001</v>
      </c>
      <c r="W264" s="11"/>
      <c r="X264" s="64">
        <f t="shared" si="8"/>
        <v>3.0000000000000027E-3</v>
      </c>
      <c r="Y264" s="22"/>
      <c r="Z264" s="60">
        <f t="shared" si="10"/>
        <v>0</v>
      </c>
    </row>
    <row r="265" spans="1:26" x14ac:dyDescent="0.3">
      <c r="A265" s="34">
        <f t="shared" si="9"/>
        <v>262</v>
      </c>
      <c r="B265" s="70" t="s">
        <v>296</v>
      </c>
      <c r="C265" s="19" t="s">
        <v>27</v>
      </c>
      <c r="D265" s="18" t="s">
        <v>26</v>
      </c>
      <c r="E265" s="18" t="s">
        <v>26</v>
      </c>
      <c r="F265" s="11"/>
      <c r="G265" s="11"/>
      <c r="H265" s="11"/>
      <c r="I265" s="18" t="s">
        <v>31</v>
      </c>
      <c r="J265" s="18" t="s">
        <v>25</v>
      </c>
      <c r="K265" s="11"/>
      <c r="L265" s="22">
        <v>110</v>
      </c>
      <c r="M265" s="11"/>
      <c r="N265" s="11"/>
      <c r="O265" s="11"/>
      <c r="P265" s="55">
        <v>2.9489999999999998</v>
      </c>
      <c r="Q265" s="25">
        <v>0.2</v>
      </c>
      <c r="R265" s="11"/>
      <c r="S265" s="11"/>
      <c r="T265" s="11"/>
      <c r="U265" s="11">
        <v>0.23449999999999999</v>
      </c>
      <c r="V265" s="11">
        <v>0.23530000000000001</v>
      </c>
      <c r="W265" s="11"/>
      <c r="X265" s="64">
        <f t="shared" si="8"/>
        <v>8.0000000000002292E-4</v>
      </c>
      <c r="Y265" s="22"/>
      <c r="Z265" s="60">
        <f t="shared" si="10"/>
        <v>0</v>
      </c>
    </row>
    <row r="266" spans="1:26" x14ac:dyDescent="0.3">
      <c r="A266" s="34">
        <f t="shared" si="9"/>
        <v>263</v>
      </c>
      <c r="B266" s="70" t="s">
        <v>297</v>
      </c>
      <c r="C266" s="19" t="s">
        <v>27</v>
      </c>
      <c r="D266" s="18" t="s">
        <v>26</v>
      </c>
      <c r="E266" s="18" t="s">
        <v>26</v>
      </c>
      <c r="F266" s="11"/>
      <c r="G266" s="11"/>
      <c r="H266" s="11"/>
      <c r="I266" s="18" t="s">
        <v>31</v>
      </c>
      <c r="J266" s="18" t="s">
        <v>25</v>
      </c>
      <c r="K266" s="11"/>
      <c r="L266" s="22" t="s">
        <v>197</v>
      </c>
      <c r="M266" s="11"/>
      <c r="N266" s="11"/>
      <c r="O266" s="11"/>
      <c r="P266" s="55">
        <v>3.0939999999999999</v>
      </c>
      <c r="Q266" s="25">
        <v>0.2</v>
      </c>
      <c r="R266" s="11"/>
      <c r="S266" s="11"/>
      <c r="T266" s="11"/>
      <c r="U266" s="11">
        <v>0.2331</v>
      </c>
      <c r="V266" s="11">
        <v>0.23419999999999999</v>
      </c>
      <c r="W266" s="11"/>
      <c r="X266" s="64">
        <f t="shared" si="8"/>
        <v>1.0999999999999899E-3</v>
      </c>
      <c r="Y266" s="22"/>
      <c r="Z266" s="60" t="e">
        <f t="shared" si="10"/>
        <v>#VALUE!</v>
      </c>
    </row>
    <row r="267" spans="1:26" x14ac:dyDescent="0.3">
      <c r="A267" s="34">
        <f t="shared" si="9"/>
        <v>264</v>
      </c>
      <c r="B267" s="70" t="s">
        <v>298</v>
      </c>
      <c r="C267" s="19" t="s">
        <v>27</v>
      </c>
      <c r="D267" s="18" t="s">
        <v>26</v>
      </c>
      <c r="E267" s="18" t="s">
        <v>26</v>
      </c>
      <c r="F267" s="11"/>
      <c r="G267" s="11"/>
      <c r="H267" s="11"/>
      <c r="I267" s="18" t="s">
        <v>31</v>
      </c>
      <c r="J267" s="18" t="s">
        <v>25</v>
      </c>
      <c r="K267" s="11"/>
      <c r="L267" s="22">
        <v>150</v>
      </c>
      <c r="M267" s="11"/>
      <c r="N267" s="11"/>
      <c r="O267" s="11"/>
      <c r="P267" s="55">
        <v>3.32</v>
      </c>
      <c r="Q267" s="25">
        <v>0.2</v>
      </c>
      <c r="R267" s="11"/>
      <c r="S267" s="11"/>
      <c r="T267" s="11"/>
      <c r="U267" s="11">
        <v>0.23230000000000001</v>
      </c>
      <c r="V267" s="11">
        <v>0.2331</v>
      </c>
      <c r="W267" s="11"/>
      <c r="X267" s="64">
        <f t="shared" si="8"/>
        <v>7.9999999999999516E-4</v>
      </c>
      <c r="Y267" s="22"/>
      <c r="Z267" s="60">
        <f t="shared" si="10"/>
        <v>0</v>
      </c>
    </row>
    <row r="268" spans="1:26" x14ac:dyDescent="0.3">
      <c r="A268" s="34">
        <f t="shared" si="9"/>
        <v>265</v>
      </c>
      <c r="B268" s="70" t="s">
        <v>299</v>
      </c>
      <c r="C268" s="19" t="s">
        <v>27</v>
      </c>
      <c r="D268" s="18" t="s">
        <v>26</v>
      </c>
      <c r="E268" s="18" t="s">
        <v>26</v>
      </c>
      <c r="F268" s="11"/>
      <c r="G268" s="11"/>
      <c r="H268" s="11"/>
      <c r="I268" s="18" t="s">
        <v>31</v>
      </c>
      <c r="J268" s="18" t="s">
        <v>25</v>
      </c>
      <c r="K268" s="11"/>
      <c r="L268" s="22">
        <v>140</v>
      </c>
      <c r="M268" s="11"/>
      <c r="N268" s="11"/>
      <c r="O268" s="11"/>
      <c r="P268" s="55">
        <v>2.996</v>
      </c>
      <c r="Q268" s="25">
        <v>0.2</v>
      </c>
      <c r="R268" s="11"/>
      <c r="S268" s="11"/>
      <c r="T268" s="11"/>
      <c r="U268" s="11">
        <v>0.23569999999999999</v>
      </c>
      <c r="V268" s="11">
        <v>0.2364</v>
      </c>
      <c r="W268" s="11"/>
      <c r="X268" s="64">
        <f t="shared" si="8"/>
        <v>7.0000000000000617E-4</v>
      </c>
      <c r="Y268" s="22"/>
      <c r="Z268" s="60">
        <f t="shared" si="10"/>
        <v>0</v>
      </c>
    </row>
    <row r="269" spans="1:26" x14ac:dyDescent="0.3">
      <c r="A269" s="34">
        <f t="shared" si="9"/>
        <v>266</v>
      </c>
      <c r="B269" s="70" t="s">
        <v>300</v>
      </c>
      <c r="C269" s="19" t="s">
        <v>27</v>
      </c>
      <c r="D269" s="18" t="s">
        <v>26</v>
      </c>
      <c r="E269" s="18" t="s">
        <v>26</v>
      </c>
      <c r="F269" s="11"/>
      <c r="G269" s="11"/>
      <c r="H269" s="11"/>
      <c r="I269" s="18" t="s">
        <v>31</v>
      </c>
      <c r="J269" s="18" t="s">
        <v>25</v>
      </c>
      <c r="K269" s="11"/>
      <c r="L269" s="22">
        <v>150</v>
      </c>
      <c r="M269" s="11"/>
      <c r="N269" s="11"/>
      <c r="O269" s="11"/>
      <c r="P269" s="55">
        <v>2.8530000000000002</v>
      </c>
      <c r="Q269" s="25">
        <v>0.2</v>
      </c>
      <c r="R269" s="11"/>
      <c r="S269" s="11"/>
      <c r="T269" s="11"/>
      <c r="U269" s="11">
        <v>0.23880000000000001</v>
      </c>
      <c r="V269" s="11"/>
      <c r="W269" s="11"/>
      <c r="X269" s="64">
        <f t="shared" si="8"/>
        <v>-0.23880000000000001</v>
      </c>
      <c r="Y269" s="22"/>
      <c r="Z269" s="60">
        <f t="shared" si="10"/>
        <v>0</v>
      </c>
    </row>
    <row r="270" spans="1:26" x14ac:dyDescent="0.3">
      <c r="A270" s="34">
        <f t="shared" si="9"/>
        <v>267</v>
      </c>
      <c r="B270" s="70" t="s">
        <v>301</v>
      </c>
      <c r="C270" s="19" t="s">
        <v>27</v>
      </c>
      <c r="D270" s="18" t="s">
        <v>26</v>
      </c>
      <c r="E270" s="18" t="s">
        <v>26</v>
      </c>
      <c r="F270" s="11"/>
      <c r="G270" s="11"/>
      <c r="H270" s="11"/>
      <c r="I270" s="18" t="s">
        <v>31</v>
      </c>
      <c r="J270" s="18" t="s">
        <v>25</v>
      </c>
      <c r="K270" s="11"/>
      <c r="L270" s="22">
        <v>159</v>
      </c>
      <c r="M270" s="11"/>
      <c r="N270" s="11"/>
      <c r="O270" s="11"/>
      <c r="P270" s="55">
        <v>3.2490000000000001</v>
      </c>
      <c r="Q270" s="25">
        <v>0.2</v>
      </c>
      <c r="R270" s="11"/>
      <c r="S270" s="11"/>
      <c r="T270" s="11"/>
      <c r="U270" s="11">
        <v>0.23469999999999999</v>
      </c>
      <c r="V270" s="11">
        <v>0.23119999999999999</v>
      </c>
      <c r="W270" s="11"/>
      <c r="X270" s="64">
        <f t="shared" si="8"/>
        <v>-3.5000000000000031E-3</v>
      </c>
      <c r="Y270" s="22"/>
      <c r="Z270" s="60">
        <f t="shared" si="10"/>
        <v>0</v>
      </c>
    </row>
    <row r="271" spans="1:26" x14ac:dyDescent="0.3">
      <c r="A271" s="34">
        <f t="shared" si="9"/>
        <v>268</v>
      </c>
      <c r="B271" s="70" t="s">
        <v>302</v>
      </c>
      <c r="C271" s="19" t="s">
        <v>27</v>
      </c>
      <c r="D271" s="18" t="s">
        <v>26</v>
      </c>
      <c r="E271" s="18" t="s">
        <v>26</v>
      </c>
      <c r="F271" s="11"/>
      <c r="G271" s="11"/>
      <c r="H271" s="11"/>
      <c r="I271" s="18" t="s">
        <v>31</v>
      </c>
      <c r="J271" s="18" t="s">
        <v>25</v>
      </c>
      <c r="K271" s="11"/>
      <c r="L271" s="22">
        <v>140</v>
      </c>
      <c r="M271" s="11"/>
      <c r="N271" s="11"/>
      <c r="O271" s="11"/>
      <c r="P271" s="55">
        <v>3.1539999999999999</v>
      </c>
      <c r="Q271" s="25">
        <v>0.2</v>
      </c>
      <c r="R271" s="11"/>
      <c r="S271" s="11"/>
      <c r="T271" s="11"/>
      <c r="U271" s="11">
        <v>0.2361</v>
      </c>
      <c r="V271" s="11">
        <v>0.23780000000000001</v>
      </c>
      <c r="W271" s="11"/>
      <c r="X271" s="64">
        <f t="shared" si="8"/>
        <v>1.7000000000000071E-3</v>
      </c>
      <c r="Y271" s="22"/>
      <c r="Z271" s="60">
        <f t="shared" si="10"/>
        <v>0</v>
      </c>
    </row>
    <row r="272" spans="1:26" x14ac:dyDescent="0.3">
      <c r="A272" s="43">
        <f t="shared" si="9"/>
        <v>269</v>
      </c>
      <c r="B272" s="99" t="s">
        <v>303</v>
      </c>
      <c r="C272" s="100" t="s">
        <v>27</v>
      </c>
      <c r="D272" s="101" t="s">
        <v>26</v>
      </c>
      <c r="E272" s="101" t="s">
        <v>26</v>
      </c>
      <c r="F272" s="102"/>
      <c r="G272" s="102"/>
      <c r="H272" s="102"/>
      <c r="I272" s="101" t="s">
        <v>31</v>
      </c>
      <c r="J272" s="101" t="s">
        <v>25</v>
      </c>
      <c r="K272" s="102"/>
      <c r="L272" s="103">
        <v>140</v>
      </c>
      <c r="M272" s="102"/>
      <c r="N272" s="102"/>
      <c r="O272" s="102"/>
      <c r="P272" s="105">
        <v>3.4580000000000002</v>
      </c>
      <c r="Q272" s="106">
        <v>0.2</v>
      </c>
      <c r="R272" s="102"/>
      <c r="S272" s="102"/>
      <c r="T272" s="102"/>
      <c r="U272" s="102">
        <v>0.23089999999999999</v>
      </c>
      <c r="V272" s="102">
        <v>0.2319</v>
      </c>
      <c r="W272" s="102"/>
      <c r="X272" s="102">
        <f t="shared" si="8"/>
        <v>1.0000000000000009E-3</v>
      </c>
      <c r="Y272" s="108">
        <v>8.3706300997500004E-3</v>
      </c>
      <c r="Z272" s="107">
        <f t="shared" si="10"/>
        <v>5.9790214998214283E-2</v>
      </c>
    </row>
    <row r="273" spans="1:26" x14ac:dyDescent="0.3">
      <c r="A273" s="34">
        <f t="shared" si="9"/>
        <v>270</v>
      </c>
      <c r="B273" s="99" t="s">
        <v>304</v>
      </c>
      <c r="C273" s="100" t="s">
        <v>27</v>
      </c>
      <c r="D273" s="101" t="s">
        <v>26</v>
      </c>
      <c r="E273" s="101" t="s">
        <v>26</v>
      </c>
      <c r="F273" s="102"/>
      <c r="G273" s="102"/>
      <c r="H273" s="102"/>
      <c r="I273" s="101" t="s">
        <v>31</v>
      </c>
      <c r="J273" s="101" t="s">
        <v>25</v>
      </c>
      <c r="K273" s="102"/>
      <c r="L273" s="103">
        <v>170</v>
      </c>
      <c r="M273" s="102"/>
      <c r="N273" s="102"/>
      <c r="O273" s="102"/>
      <c r="P273" s="105">
        <v>3.2360000000000002</v>
      </c>
      <c r="Q273" s="106">
        <v>0.2</v>
      </c>
      <c r="R273" s="102"/>
      <c r="S273" s="102"/>
      <c r="T273" s="102"/>
      <c r="U273" s="102">
        <v>0.23269999999999999</v>
      </c>
      <c r="V273" s="102">
        <v>0.2334</v>
      </c>
      <c r="W273" s="102"/>
      <c r="X273" s="102">
        <f t="shared" si="8"/>
        <v>7.0000000000000617E-4</v>
      </c>
      <c r="Y273" s="103"/>
      <c r="Z273" s="107">
        <f t="shared" si="10"/>
        <v>0</v>
      </c>
    </row>
    <row r="274" spans="1:26" x14ac:dyDescent="0.3">
      <c r="A274" s="34">
        <f t="shared" si="9"/>
        <v>271</v>
      </c>
      <c r="B274" s="99" t="s">
        <v>305</v>
      </c>
      <c r="C274" s="100" t="s">
        <v>27</v>
      </c>
      <c r="D274" s="101" t="s">
        <v>26</v>
      </c>
      <c r="E274" s="101" t="s">
        <v>26</v>
      </c>
      <c r="F274" s="102"/>
      <c r="G274" s="102"/>
      <c r="H274" s="102"/>
      <c r="I274" s="101" t="s">
        <v>31</v>
      </c>
      <c r="J274" s="101" t="s">
        <v>25</v>
      </c>
      <c r="K274" s="102"/>
      <c r="L274" s="103">
        <v>140</v>
      </c>
      <c r="M274" s="102"/>
      <c r="N274" s="102"/>
      <c r="O274" s="102"/>
      <c r="P274" s="105">
        <v>3.2829999999999999</v>
      </c>
      <c r="Q274" s="106">
        <v>0.2</v>
      </c>
      <c r="R274" s="102"/>
      <c r="S274" s="102"/>
      <c r="T274" s="102"/>
      <c r="U274" s="102">
        <v>0.2359</v>
      </c>
      <c r="V274" s="102">
        <v>0.2369</v>
      </c>
      <c r="W274" s="102"/>
      <c r="X274" s="102">
        <f t="shared" si="8"/>
        <v>1.0000000000000009E-3</v>
      </c>
      <c r="Y274" s="103"/>
      <c r="Z274" s="107">
        <f t="shared" si="10"/>
        <v>0</v>
      </c>
    </row>
    <row r="275" spans="1:26" x14ac:dyDescent="0.3">
      <c r="A275" s="34">
        <f t="shared" si="9"/>
        <v>272</v>
      </c>
      <c r="B275" s="99" t="s">
        <v>306</v>
      </c>
      <c r="C275" s="100" t="s">
        <v>27</v>
      </c>
      <c r="D275" s="101" t="s">
        <v>26</v>
      </c>
      <c r="E275" s="101" t="s">
        <v>26</v>
      </c>
      <c r="F275" s="102"/>
      <c r="G275" s="102"/>
      <c r="H275" s="102"/>
      <c r="I275" s="101" t="s">
        <v>31</v>
      </c>
      <c r="J275" s="101" t="s">
        <v>25</v>
      </c>
      <c r="K275" s="102"/>
      <c r="L275" s="103" t="s">
        <v>197</v>
      </c>
      <c r="M275" s="102"/>
      <c r="N275" s="102"/>
      <c r="O275" s="102"/>
      <c r="P275" s="105">
        <v>3.1280000000000001</v>
      </c>
      <c r="Q275" s="106">
        <v>0.2</v>
      </c>
      <c r="R275" s="102"/>
      <c r="S275" s="102"/>
      <c r="T275" s="102"/>
      <c r="U275" s="102">
        <v>0.2306</v>
      </c>
      <c r="V275" s="102">
        <v>0.23139999999999999</v>
      </c>
      <c r="W275" s="102"/>
      <c r="X275" s="102">
        <f t="shared" si="8"/>
        <v>7.9999999999999516E-4</v>
      </c>
      <c r="Y275" s="103"/>
      <c r="Z275" s="107" t="e">
        <f t="shared" si="10"/>
        <v>#VALUE!</v>
      </c>
    </row>
    <row r="276" spans="1:26" x14ac:dyDescent="0.3">
      <c r="A276" s="34">
        <f t="shared" si="9"/>
        <v>273</v>
      </c>
      <c r="B276" s="99" t="s">
        <v>307</v>
      </c>
      <c r="C276" s="100" t="s">
        <v>27</v>
      </c>
      <c r="D276" s="101" t="s">
        <v>26</v>
      </c>
      <c r="E276" s="101" t="s">
        <v>26</v>
      </c>
      <c r="F276" s="102"/>
      <c r="G276" s="102"/>
      <c r="H276" s="102"/>
      <c r="I276" s="101" t="s">
        <v>31</v>
      </c>
      <c r="J276" s="101" t="s">
        <v>25</v>
      </c>
      <c r="K276" s="102"/>
      <c r="L276" s="103">
        <v>145</v>
      </c>
      <c r="M276" s="102"/>
      <c r="N276" s="102"/>
      <c r="O276" s="102"/>
      <c r="P276" s="105">
        <v>3.044</v>
      </c>
      <c r="Q276" s="106">
        <v>0.2</v>
      </c>
      <c r="R276" s="102"/>
      <c r="S276" s="102"/>
      <c r="T276" s="102"/>
      <c r="U276" s="102">
        <v>0.23280000000000001</v>
      </c>
      <c r="V276" s="102">
        <v>0.2336</v>
      </c>
      <c r="W276" s="102"/>
      <c r="X276" s="102">
        <f t="shared" si="8"/>
        <v>7.9999999999999516E-4</v>
      </c>
      <c r="Y276" s="103"/>
      <c r="Z276" s="107">
        <f t="shared" si="10"/>
        <v>0</v>
      </c>
    </row>
    <row r="277" spans="1:26" x14ac:dyDescent="0.3">
      <c r="A277" s="34">
        <f t="shared" si="9"/>
        <v>274</v>
      </c>
      <c r="B277" s="99" t="s">
        <v>308</v>
      </c>
      <c r="C277" s="100" t="s">
        <v>27</v>
      </c>
      <c r="D277" s="101" t="s">
        <v>26</v>
      </c>
      <c r="E277" s="101" t="s">
        <v>26</v>
      </c>
      <c r="F277" s="102"/>
      <c r="G277" s="102"/>
      <c r="H277" s="102"/>
      <c r="I277" s="101" t="s">
        <v>31</v>
      </c>
      <c r="J277" s="101" t="s">
        <v>25</v>
      </c>
      <c r="K277" s="102"/>
      <c r="L277" s="103">
        <v>150</v>
      </c>
      <c r="M277" s="102"/>
      <c r="N277" s="102"/>
      <c r="O277" s="102"/>
      <c r="P277" s="105">
        <v>3.0270000000000001</v>
      </c>
      <c r="Q277" s="106">
        <v>0.2</v>
      </c>
      <c r="R277" s="102"/>
      <c r="S277" s="102"/>
      <c r="T277" s="102"/>
      <c r="U277" s="102">
        <v>0.2356</v>
      </c>
      <c r="V277" s="102">
        <v>0.23730000000000001</v>
      </c>
      <c r="W277" s="102"/>
      <c r="X277" s="102">
        <f t="shared" si="8"/>
        <v>1.7000000000000071E-3</v>
      </c>
      <c r="Y277" s="103"/>
      <c r="Z277" s="107">
        <f t="shared" si="10"/>
        <v>0</v>
      </c>
    </row>
    <row r="278" spans="1:26" x14ac:dyDescent="0.3">
      <c r="A278" s="34">
        <f t="shared" si="9"/>
        <v>275</v>
      </c>
      <c r="B278" s="36" t="s">
        <v>309</v>
      </c>
      <c r="C278" s="19" t="s">
        <v>27</v>
      </c>
      <c r="D278" s="18" t="s">
        <v>26</v>
      </c>
      <c r="E278" s="18" t="s">
        <v>26</v>
      </c>
      <c r="F278" s="11"/>
      <c r="G278" s="11"/>
      <c r="H278" s="11"/>
      <c r="I278" s="18" t="s">
        <v>31</v>
      </c>
      <c r="J278" s="18" t="s">
        <v>25</v>
      </c>
      <c r="K278" s="11"/>
      <c r="L278" s="22">
        <v>190</v>
      </c>
      <c r="M278" s="11"/>
      <c r="N278" s="11"/>
      <c r="O278" s="11"/>
      <c r="P278" s="55">
        <v>4.8529999999999998</v>
      </c>
      <c r="Q278" s="25">
        <v>0.2</v>
      </c>
      <c r="R278" s="11"/>
      <c r="S278" s="11"/>
      <c r="T278" s="11"/>
      <c r="U278" s="11">
        <v>0.23699999999999999</v>
      </c>
      <c r="V278" s="11">
        <v>0.3029</v>
      </c>
      <c r="W278" s="11"/>
      <c r="X278" s="64">
        <f t="shared" si="8"/>
        <v>6.5900000000000014E-2</v>
      </c>
      <c r="Y278" s="22"/>
      <c r="Z278" s="60">
        <f t="shared" si="10"/>
        <v>0</v>
      </c>
    </row>
    <row r="279" spans="1:26" x14ac:dyDescent="0.3">
      <c r="A279" s="34">
        <f t="shared" si="9"/>
        <v>276</v>
      </c>
      <c r="B279" s="36" t="s">
        <v>310</v>
      </c>
      <c r="C279" s="19" t="s">
        <v>27</v>
      </c>
      <c r="D279" s="18" t="s">
        <v>26</v>
      </c>
      <c r="E279" s="18" t="s">
        <v>26</v>
      </c>
      <c r="F279" s="11"/>
      <c r="G279" s="11"/>
      <c r="H279" s="11"/>
      <c r="I279" s="18" t="s">
        <v>31</v>
      </c>
      <c r="J279" s="18" t="s">
        <v>25</v>
      </c>
      <c r="K279" s="11"/>
      <c r="L279" s="22">
        <v>100</v>
      </c>
      <c r="M279" s="11"/>
      <c r="N279" s="11"/>
      <c r="O279" s="11"/>
      <c r="P279" s="55">
        <v>2.794</v>
      </c>
      <c r="Q279" s="25">
        <v>0.2</v>
      </c>
      <c r="R279" s="11"/>
      <c r="S279" s="11"/>
      <c r="T279" s="11"/>
      <c r="U279" s="11">
        <v>0.23180000000000001</v>
      </c>
      <c r="V279" s="11">
        <v>0.43030000000000002</v>
      </c>
      <c r="W279" s="11"/>
      <c r="X279" s="64">
        <f t="shared" si="8"/>
        <v>0.19850000000000001</v>
      </c>
      <c r="Y279" s="22"/>
      <c r="Z279" s="60">
        <f t="shared" si="10"/>
        <v>0</v>
      </c>
    </row>
    <row r="280" spans="1:26" x14ac:dyDescent="0.3">
      <c r="A280" s="34">
        <f t="shared" si="9"/>
        <v>277</v>
      </c>
      <c r="B280" s="36" t="s">
        <v>311</v>
      </c>
      <c r="C280" s="19" t="s">
        <v>27</v>
      </c>
      <c r="D280" s="18" t="s">
        <v>26</v>
      </c>
      <c r="E280" s="18" t="s">
        <v>26</v>
      </c>
      <c r="F280" s="11"/>
      <c r="G280" s="11"/>
      <c r="H280" s="11"/>
      <c r="I280" s="18" t="s">
        <v>31</v>
      </c>
      <c r="J280" s="18" t="s">
        <v>25</v>
      </c>
      <c r="K280" s="11"/>
      <c r="L280" s="22">
        <v>140</v>
      </c>
      <c r="M280" s="11"/>
      <c r="N280" s="11"/>
      <c r="O280" s="11"/>
      <c r="P280" s="55">
        <v>2.3660000000000001</v>
      </c>
      <c r="Q280" s="25">
        <v>0.2</v>
      </c>
      <c r="R280" s="11"/>
      <c r="S280" s="11"/>
      <c r="T280" s="11"/>
      <c r="U280" s="11">
        <v>0.2311</v>
      </c>
      <c r="V280" s="11">
        <v>0.32240000000000002</v>
      </c>
      <c r="W280" s="11"/>
      <c r="X280" s="64">
        <f t="shared" si="8"/>
        <v>9.130000000000002E-2</v>
      </c>
      <c r="Y280" s="22"/>
      <c r="Z280" s="60">
        <f t="shared" si="10"/>
        <v>0</v>
      </c>
    </row>
    <row r="281" spans="1:26" x14ac:dyDescent="0.3">
      <c r="A281" s="34">
        <f t="shared" si="9"/>
        <v>278</v>
      </c>
      <c r="B281" s="36" t="s">
        <v>312</v>
      </c>
      <c r="C281" s="19" t="s">
        <v>27</v>
      </c>
      <c r="D281" s="18" t="s">
        <v>26</v>
      </c>
      <c r="E281" s="18" t="s">
        <v>26</v>
      </c>
      <c r="F281" s="11"/>
      <c r="G281" s="11"/>
      <c r="H281" s="11"/>
      <c r="I281" s="18" t="s">
        <v>31</v>
      </c>
      <c r="J281" s="18" t="s">
        <v>25</v>
      </c>
      <c r="K281" s="11"/>
      <c r="L281" s="22">
        <v>165</v>
      </c>
      <c r="M281" s="11"/>
      <c r="N281" s="11"/>
      <c r="O281" s="11"/>
      <c r="P281" s="55">
        <v>3.3809999999999998</v>
      </c>
      <c r="Q281" s="25">
        <v>0.2</v>
      </c>
      <c r="R281" s="11"/>
      <c r="S281" s="11"/>
      <c r="T281" s="11"/>
      <c r="U281" s="11">
        <v>0.23719999999999999</v>
      </c>
      <c r="V281" s="11">
        <v>0.26569999999999999</v>
      </c>
      <c r="W281" s="11"/>
      <c r="X281" s="64">
        <f t="shared" si="8"/>
        <v>2.8499999999999998E-2</v>
      </c>
      <c r="Y281" s="22"/>
      <c r="Z281" s="60">
        <f t="shared" si="10"/>
        <v>0</v>
      </c>
    </row>
    <row r="282" spans="1:26" x14ac:dyDescent="0.3">
      <c r="A282" s="34">
        <f t="shared" si="9"/>
        <v>279</v>
      </c>
      <c r="B282" s="36" t="s">
        <v>313</v>
      </c>
      <c r="C282" s="19" t="s">
        <v>27</v>
      </c>
      <c r="D282" s="18" t="s">
        <v>26</v>
      </c>
      <c r="E282" s="18" t="s">
        <v>26</v>
      </c>
      <c r="F282" s="11"/>
      <c r="G282" s="11"/>
      <c r="H282" s="11"/>
      <c r="I282" s="18" t="s">
        <v>31</v>
      </c>
      <c r="J282" s="18" t="s">
        <v>25</v>
      </c>
      <c r="K282" s="11"/>
      <c r="L282" s="22">
        <v>90</v>
      </c>
      <c r="M282" s="11"/>
      <c r="N282" s="11"/>
      <c r="O282" s="11"/>
      <c r="P282" s="55">
        <v>4.5750000000000002</v>
      </c>
      <c r="Q282" s="25">
        <v>0.2</v>
      </c>
      <c r="R282" s="11"/>
      <c r="S282" s="11"/>
      <c r="T282" s="11"/>
      <c r="U282" s="11">
        <v>0.23269999999999999</v>
      </c>
      <c r="V282" s="11">
        <v>0.24540000000000001</v>
      </c>
      <c r="W282" s="11"/>
      <c r="X282" s="64">
        <f t="shared" si="8"/>
        <v>1.2700000000000017E-2</v>
      </c>
      <c r="Y282" s="22"/>
      <c r="Z282" s="60">
        <f t="shared" si="10"/>
        <v>0</v>
      </c>
    </row>
    <row r="283" spans="1:26" x14ac:dyDescent="0.3">
      <c r="A283" s="34">
        <f t="shared" si="9"/>
        <v>280</v>
      </c>
      <c r="B283" s="36" t="s">
        <v>314</v>
      </c>
      <c r="C283" s="19" t="s">
        <v>27</v>
      </c>
      <c r="D283" s="18" t="s">
        <v>26</v>
      </c>
      <c r="E283" s="18" t="s">
        <v>26</v>
      </c>
      <c r="F283" s="11"/>
      <c r="G283" s="11"/>
      <c r="H283" s="11"/>
      <c r="I283" s="18" t="s">
        <v>31</v>
      </c>
      <c r="J283" s="18" t="s">
        <v>25</v>
      </c>
      <c r="K283" s="11"/>
      <c r="L283" s="22">
        <v>90</v>
      </c>
      <c r="M283" s="11"/>
      <c r="N283" s="11"/>
      <c r="O283" s="11"/>
      <c r="P283" s="55">
        <v>2.9180000000000001</v>
      </c>
      <c r="Q283" s="25">
        <v>0.2</v>
      </c>
      <c r="R283" s="11"/>
      <c r="S283" s="11"/>
      <c r="T283" s="11"/>
      <c r="U283" s="11">
        <v>0.2356</v>
      </c>
      <c r="V283" s="11">
        <v>0.28720000000000001</v>
      </c>
      <c r="W283" s="11"/>
      <c r="X283" s="64">
        <f t="shared" si="8"/>
        <v>5.1600000000000007E-2</v>
      </c>
      <c r="Y283" s="22"/>
      <c r="Z283" s="60">
        <f t="shared" si="10"/>
        <v>0</v>
      </c>
    </row>
    <row r="284" spans="1:26" x14ac:dyDescent="0.3">
      <c r="A284" s="34">
        <f t="shared" si="9"/>
        <v>281</v>
      </c>
      <c r="B284" s="36" t="s">
        <v>315</v>
      </c>
      <c r="C284" s="19" t="s">
        <v>27</v>
      </c>
      <c r="D284" s="18" t="s">
        <v>26</v>
      </c>
      <c r="E284" s="18" t="s">
        <v>26</v>
      </c>
      <c r="F284" s="11"/>
      <c r="G284" s="11"/>
      <c r="H284" s="11"/>
      <c r="I284" s="18" t="s">
        <v>31</v>
      </c>
      <c r="J284" s="18" t="s">
        <v>25</v>
      </c>
      <c r="K284" s="11"/>
      <c r="L284" s="22">
        <v>100</v>
      </c>
      <c r="M284" s="11"/>
      <c r="N284" s="11"/>
      <c r="O284" s="11"/>
      <c r="P284" s="55">
        <v>2.8660000000000001</v>
      </c>
      <c r="Q284" s="25">
        <v>0.2</v>
      </c>
      <c r="R284" s="11"/>
      <c r="S284" s="11"/>
      <c r="T284" s="11"/>
      <c r="U284" s="11">
        <v>0.22189999999999999</v>
      </c>
      <c r="V284" s="11">
        <v>0.2893</v>
      </c>
      <c r="W284" s="11"/>
      <c r="X284" s="64">
        <f t="shared" si="8"/>
        <v>6.7400000000000015E-2</v>
      </c>
      <c r="Y284" s="22"/>
      <c r="Z284" s="60">
        <f t="shared" si="10"/>
        <v>0</v>
      </c>
    </row>
    <row r="285" spans="1:26" x14ac:dyDescent="0.3">
      <c r="A285" s="34">
        <f t="shared" si="9"/>
        <v>282</v>
      </c>
      <c r="B285" s="36" t="s">
        <v>316</v>
      </c>
      <c r="C285" s="19" t="s">
        <v>27</v>
      </c>
      <c r="D285" s="18" t="s">
        <v>26</v>
      </c>
      <c r="E285" s="18" t="s">
        <v>26</v>
      </c>
      <c r="F285" s="11"/>
      <c r="G285" s="11"/>
      <c r="H285" s="11"/>
      <c r="I285" s="18" t="s">
        <v>31</v>
      </c>
      <c r="J285" s="18" t="s">
        <v>25</v>
      </c>
      <c r="K285" s="11"/>
      <c r="L285" s="22">
        <v>100</v>
      </c>
      <c r="M285" s="11"/>
      <c r="N285" s="11"/>
      <c r="O285" s="11"/>
      <c r="P285" s="55">
        <v>10.882999999999999</v>
      </c>
      <c r="Q285" s="25">
        <v>0.2</v>
      </c>
      <c r="R285" s="11"/>
      <c r="S285" s="11"/>
      <c r="T285" s="11"/>
      <c r="U285" s="11">
        <v>0.2354</v>
      </c>
      <c r="V285" s="11">
        <v>0.27360000000000001</v>
      </c>
      <c r="W285" s="11"/>
      <c r="X285" s="64">
        <f t="shared" si="8"/>
        <v>3.8200000000000012E-2</v>
      </c>
      <c r="Y285" s="22"/>
      <c r="Z285" s="60">
        <f t="shared" si="10"/>
        <v>0</v>
      </c>
    </row>
    <row r="286" spans="1:26" x14ac:dyDescent="0.3">
      <c r="A286" s="34">
        <f t="shared" si="9"/>
        <v>283</v>
      </c>
      <c r="B286" s="99" t="s">
        <v>318</v>
      </c>
      <c r="C286" s="100" t="s">
        <v>27</v>
      </c>
      <c r="D286" s="101" t="s">
        <v>26</v>
      </c>
      <c r="E286" s="101" t="s">
        <v>26</v>
      </c>
      <c r="F286" s="102"/>
      <c r="G286" s="102"/>
      <c r="H286" s="102"/>
      <c r="I286" s="101" t="s">
        <v>31</v>
      </c>
      <c r="J286" s="101" t="s">
        <v>25</v>
      </c>
      <c r="K286" s="102"/>
      <c r="L286" s="103">
        <v>150</v>
      </c>
      <c r="M286" s="102"/>
      <c r="N286" s="102"/>
      <c r="O286" s="102"/>
      <c r="P286" s="105">
        <v>2.9550000000000001</v>
      </c>
      <c r="Q286" s="106">
        <v>0.2</v>
      </c>
      <c r="R286" s="102"/>
      <c r="S286" s="102"/>
      <c r="T286" s="102"/>
      <c r="U286" s="102">
        <v>0.2394</v>
      </c>
      <c r="V286" s="102">
        <v>0.2404</v>
      </c>
      <c r="W286" s="102"/>
      <c r="X286" s="102">
        <f t="shared" si="8"/>
        <v>1.0000000000000009E-3</v>
      </c>
      <c r="Y286" s="103"/>
      <c r="Z286" s="107">
        <f t="shared" si="10"/>
        <v>0</v>
      </c>
    </row>
    <row r="287" spans="1:26" x14ac:dyDescent="0.3">
      <c r="A287" s="34">
        <f t="shared" si="9"/>
        <v>284</v>
      </c>
      <c r="B287" s="99" t="s">
        <v>319</v>
      </c>
      <c r="C287" s="100" t="s">
        <v>27</v>
      </c>
      <c r="D287" s="101" t="s">
        <v>26</v>
      </c>
      <c r="E287" s="101" t="s">
        <v>26</v>
      </c>
      <c r="F287" s="102"/>
      <c r="G287" s="102"/>
      <c r="H287" s="102"/>
      <c r="I287" s="101" t="s">
        <v>31</v>
      </c>
      <c r="J287" s="101" t="s">
        <v>25</v>
      </c>
      <c r="K287" s="102"/>
      <c r="L287" s="103">
        <v>170</v>
      </c>
      <c r="M287" s="102"/>
      <c r="N287" s="102"/>
      <c r="O287" s="102"/>
      <c r="P287" s="105">
        <v>2.5230000000000001</v>
      </c>
      <c r="Q287" s="106">
        <v>0.2</v>
      </c>
      <c r="R287" s="102"/>
      <c r="S287" s="102"/>
      <c r="T287" s="102"/>
      <c r="U287" s="102">
        <v>0.2349</v>
      </c>
      <c r="V287" s="102">
        <v>0.23580000000000001</v>
      </c>
      <c r="W287" s="102"/>
      <c r="X287" s="102">
        <f t="shared" si="8"/>
        <v>9.000000000000119E-4</v>
      </c>
      <c r="Y287" s="103"/>
      <c r="Z287" s="107">
        <f t="shared" si="10"/>
        <v>0</v>
      </c>
    </row>
    <row r="288" spans="1:26" x14ac:dyDescent="0.3">
      <c r="A288" s="34">
        <f t="shared" si="9"/>
        <v>285</v>
      </c>
      <c r="B288" s="99" t="s">
        <v>320</v>
      </c>
      <c r="C288" s="100" t="s">
        <v>27</v>
      </c>
      <c r="D288" s="101" t="s">
        <v>26</v>
      </c>
      <c r="E288" s="101" t="s">
        <v>26</v>
      </c>
      <c r="F288" s="102"/>
      <c r="G288" s="102"/>
      <c r="H288" s="102"/>
      <c r="I288" s="101" t="s">
        <v>31</v>
      </c>
      <c r="J288" s="101" t="s">
        <v>25</v>
      </c>
      <c r="K288" s="102"/>
      <c r="L288" s="103" t="s">
        <v>197</v>
      </c>
      <c r="M288" s="102"/>
      <c r="N288" s="102"/>
      <c r="O288" s="102"/>
      <c r="P288" s="105">
        <v>2.681</v>
      </c>
      <c r="Q288" s="106">
        <v>0.2</v>
      </c>
      <c r="R288" s="102"/>
      <c r="S288" s="102"/>
      <c r="T288" s="102"/>
      <c r="U288" s="102"/>
      <c r="V288" s="102"/>
      <c r="W288" s="102"/>
      <c r="X288" s="102">
        <f t="shared" si="8"/>
        <v>0</v>
      </c>
      <c r="Y288" s="103"/>
      <c r="Z288" s="107" t="e">
        <f t="shared" si="10"/>
        <v>#VALUE!</v>
      </c>
    </row>
    <row r="289" spans="1:26" x14ac:dyDescent="0.3">
      <c r="A289" s="34">
        <f t="shared" si="9"/>
        <v>286</v>
      </c>
      <c r="B289" s="99" t="s">
        <v>317</v>
      </c>
      <c r="C289" s="100" t="s">
        <v>27</v>
      </c>
      <c r="D289" s="101" t="s">
        <v>26</v>
      </c>
      <c r="E289" s="101" t="s">
        <v>26</v>
      </c>
      <c r="F289" s="102"/>
      <c r="G289" s="102"/>
      <c r="H289" s="102"/>
      <c r="I289" s="101" t="s">
        <v>31</v>
      </c>
      <c r="J289" s="101" t="s">
        <v>25</v>
      </c>
      <c r="K289" s="102"/>
      <c r="L289" s="103">
        <v>160</v>
      </c>
      <c r="M289" s="102"/>
      <c r="N289" s="102"/>
      <c r="O289" s="102"/>
      <c r="P289" s="105">
        <v>3.456</v>
      </c>
      <c r="Q289" s="106">
        <v>0.2</v>
      </c>
      <c r="R289" s="102"/>
      <c r="S289" s="102"/>
      <c r="T289" s="102"/>
      <c r="U289" s="102">
        <v>0.2339</v>
      </c>
      <c r="V289" s="102">
        <v>0.2351</v>
      </c>
      <c r="W289" s="102"/>
      <c r="X289" s="102">
        <f t="shared" si="8"/>
        <v>1.2000000000000066E-3</v>
      </c>
      <c r="Y289" s="103"/>
      <c r="Z289" s="107">
        <f t="shared" si="10"/>
        <v>0</v>
      </c>
    </row>
    <row r="290" spans="1:26" x14ac:dyDescent="0.3">
      <c r="A290" s="34">
        <f t="shared" si="9"/>
        <v>287</v>
      </c>
      <c r="B290" s="99" t="s">
        <v>321</v>
      </c>
      <c r="C290" s="100" t="s">
        <v>27</v>
      </c>
      <c r="D290" s="101" t="s">
        <v>26</v>
      </c>
      <c r="E290" s="101" t="s">
        <v>26</v>
      </c>
      <c r="F290" s="102"/>
      <c r="G290" s="102"/>
      <c r="H290" s="102"/>
      <c r="I290" s="101" t="s">
        <v>31</v>
      </c>
      <c r="J290" s="101" t="s">
        <v>25</v>
      </c>
      <c r="K290" s="102"/>
      <c r="L290" s="103" t="s">
        <v>197</v>
      </c>
      <c r="M290" s="102"/>
      <c r="N290" s="102"/>
      <c r="O290" s="102"/>
      <c r="P290" s="105">
        <v>3.1459999999999999</v>
      </c>
      <c r="Q290" s="106">
        <v>0.2</v>
      </c>
      <c r="R290" s="102"/>
      <c r="S290" s="102"/>
      <c r="T290" s="102"/>
      <c r="U290" s="102">
        <v>0.23080000000000001</v>
      </c>
      <c r="V290" s="102">
        <v>0.23230000000000001</v>
      </c>
      <c r="W290" s="102"/>
      <c r="X290" s="102">
        <f t="shared" si="8"/>
        <v>1.5000000000000013E-3</v>
      </c>
      <c r="Y290" s="103"/>
      <c r="Z290" s="107" t="e">
        <f t="shared" si="10"/>
        <v>#VALUE!</v>
      </c>
    </row>
    <row r="291" spans="1:26" x14ac:dyDescent="0.3">
      <c r="A291" s="34">
        <f t="shared" si="9"/>
        <v>288</v>
      </c>
      <c r="B291" s="99" t="s">
        <v>322</v>
      </c>
      <c r="C291" s="100" t="s">
        <v>27</v>
      </c>
      <c r="D291" s="101" t="s">
        <v>26</v>
      </c>
      <c r="E291" s="101" t="s">
        <v>26</v>
      </c>
      <c r="F291" s="102"/>
      <c r="G291" s="102"/>
      <c r="H291" s="102"/>
      <c r="I291" s="101" t="s">
        <v>31</v>
      </c>
      <c r="J291" s="101" t="s">
        <v>25</v>
      </c>
      <c r="K291" s="102"/>
      <c r="L291" s="103">
        <v>160</v>
      </c>
      <c r="M291" s="102"/>
      <c r="N291" s="102"/>
      <c r="O291" s="102"/>
      <c r="P291" s="105">
        <v>3.0259999999999998</v>
      </c>
      <c r="Q291" s="106">
        <v>0.2</v>
      </c>
      <c r="R291" s="102"/>
      <c r="S291" s="102"/>
      <c r="T291" s="102"/>
      <c r="U291" s="102">
        <v>0.2321</v>
      </c>
      <c r="V291" s="102">
        <v>0.2334</v>
      </c>
      <c r="W291" s="102"/>
      <c r="X291" s="102">
        <f t="shared" si="8"/>
        <v>1.2999999999999956E-3</v>
      </c>
      <c r="Y291" s="103"/>
      <c r="Z291" s="107">
        <f t="shared" si="10"/>
        <v>0</v>
      </c>
    </row>
    <row r="292" spans="1:26" x14ac:dyDescent="0.3">
      <c r="A292" s="34">
        <f t="shared" si="9"/>
        <v>289</v>
      </c>
      <c r="B292" s="99" t="s">
        <v>323</v>
      </c>
      <c r="C292" s="100" t="s">
        <v>27</v>
      </c>
      <c r="D292" s="101" t="s">
        <v>26</v>
      </c>
      <c r="E292" s="101" t="s">
        <v>26</v>
      </c>
      <c r="F292" s="102"/>
      <c r="G292" s="102"/>
      <c r="H292" s="102"/>
      <c r="I292" s="101" t="s">
        <v>31</v>
      </c>
      <c r="J292" s="101" t="s">
        <v>25</v>
      </c>
      <c r="K292" s="102"/>
      <c r="L292" s="103">
        <v>155</v>
      </c>
      <c r="M292" s="102"/>
      <c r="N292" s="102"/>
      <c r="O292" s="102"/>
      <c r="P292" s="105">
        <v>2.7909999999999999</v>
      </c>
      <c r="Q292" s="106">
        <v>0.2</v>
      </c>
      <c r="R292" s="102"/>
      <c r="S292" s="102"/>
      <c r="T292" s="102"/>
      <c r="U292" s="102">
        <v>0.2331</v>
      </c>
      <c r="V292" s="102">
        <v>0.2349</v>
      </c>
      <c r="W292" s="102"/>
      <c r="X292" s="102">
        <f t="shared" ref="X292:X345" si="11">V292-U292</f>
        <v>1.799999999999996E-3</v>
      </c>
      <c r="Y292" s="103"/>
      <c r="Z292" s="107">
        <f t="shared" si="10"/>
        <v>0</v>
      </c>
    </row>
    <row r="293" spans="1:26" x14ac:dyDescent="0.3">
      <c r="A293" s="34">
        <f t="shared" si="9"/>
        <v>290</v>
      </c>
      <c r="B293" s="99" t="s">
        <v>324</v>
      </c>
      <c r="C293" s="100" t="s">
        <v>27</v>
      </c>
      <c r="D293" s="101" t="s">
        <v>26</v>
      </c>
      <c r="E293" s="101" t="s">
        <v>26</v>
      </c>
      <c r="F293" s="102"/>
      <c r="G293" s="102"/>
      <c r="H293" s="102"/>
      <c r="I293" s="101" t="s">
        <v>31</v>
      </c>
      <c r="J293" s="101" t="s">
        <v>25</v>
      </c>
      <c r="K293" s="102"/>
      <c r="L293" s="103">
        <v>160</v>
      </c>
      <c r="M293" s="102"/>
      <c r="N293" s="102"/>
      <c r="O293" s="102"/>
      <c r="P293" s="105">
        <v>2.6970000000000001</v>
      </c>
      <c r="Q293" s="106">
        <v>0.2</v>
      </c>
      <c r="R293" s="102"/>
      <c r="S293" s="102"/>
      <c r="T293" s="102"/>
      <c r="U293" s="102">
        <v>0.23139999999999999</v>
      </c>
      <c r="V293" s="102">
        <v>0.23269999999999999</v>
      </c>
      <c r="W293" s="102"/>
      <c r="X293" s="102">
        <f t="shared" si="11"/>
        <v>1.2999999999999956E-3</v>
      </c>
      <c r="Y293" s="103"/>
      <c r="Z293" s="107">
        <f t="shared" si="10"/>
        <v>0</v>
      </c>
    </row>
    <row r="294" spans="1:26" x14ac:dyDescent="0.3">
      <c r="A294" s="34">
        <f t="shared" si="9"/>
        <v>291</v>
      </c>
      <c r="B294" s="99" t="s">
        <v>325</v>
      </c>
      <c r="C294" s="100" t="s">
        <v>27</v>
      </c>
      <c r="D294" s="101" t="s">
        <v>26</v>
      </c>
      <c r="E294" s="101" t="s">
        <v>26</v>
      </c>
      <c r="F294" s="102"/>
      <c r="G294" s="102"/>
      <c r="H294" s="102"/>
      <c r="I294" s="101" t="s">
        <v>31</v>
      </c>
      <c r="J294" s="101" t="s">
        <v>25</v>
      </c>
      <c r="K294" s="102"/>
      <c r="L294" s="103">
        <v>150</v>
      </c>
      <c r="M294" s="102"/>
      <c r="N294" s="102"/>
      <c r="O294" s="102"/>
      <c r="P294" s="105">
        <v>3.1160000000000001</v>
      </c>
      <c r="Q294" s="106">
        <v>0.2</v>
      </c>
      <c r="R294" s="102"/>
      <c r="S294" s="102"/>
      <c r="T294" s="102"/>
      <c r="U294" s="102">
        <v>0.2321</v>
      </c>
      <c r="V294" s="102">
        <v>0.2331</v>
      </c>
      <c r="W294" s="102"/>
      <c r="X294" s="102">
        <f t="shared" si="11"/>
        <v>1.0000000000000009E-3</v>
      </c>
      <c r="Y294" s="103"/>
      <c r="Z294" s="107">
        <f t="shared" si="10"/>
        <v>0</v>
      </c>
    </row>
    <row r="295" spans="1:26" x14ac:dyDescent="0.3">
      <c r="A295" s="34">
        <f t="shared" si="9"/>
        <v>292</v>
      </c>
      <c r="B295" s="70" t="s">
        <v>326</v>
      </c>
      <c r="C295" s="19" t="s">
        <v>27</v>
      </c>
      <c r="D295" s="18" t="s">
        <v>26</v>
      </c>
      <c r="E295" s="18" t="s">
        <v>26</v>
      </c>
      <c r="F295" s="11"/>
      <c r="G295" s="11"/>
      <c r="H295" s="11"/>
      <c r="I295" s="18" t="s">
        <v>31</v>
      </c>
      <c r="J295" s="18" t="s">
        <v>25</v>
      </c>
      <c r="K295" s="11"/>
      <c r="L295" s="22">
        <v>150</v>
      </c>
      <c r="M295" s="11"/>
      <c r="N295" s="11"/>
      <c r="O295" s="11"/>
      <c r="P295" s="55">
        <v>3.069</v>
      </c>
      <c r="Q295" s="25">
        <v>0.2</v>
      </c>
      <c r="R295" s="11"/>
      <c r="S295" s="11"/>
      <c r="T295" s="11"/>
      <c r="U295" s="11">
        <v>0.22950000000000001</v>
      </c>
      <c r="V295" s="11">
        <v>0.2311</v>
      </c>
      <c r="W295" s="11"/>
      <c r="X295" s="64">
        <f t="shared" si="11"/>
        <v>1.5999999999999903E-3</v>
      </c>
      <c r="Y295" s="22"/>
      <c r="Z295" s="60">
        <f t="shared" si="10"/>
        <v>0</v>
      </c>
    </row>
    <row r="296" spans="1:26" x14ac:dyDescent="0.3">
      <c r="A296" s="34">
        <f t="shared" ref="A296:A359" si="12">A295+1</f>
        <v>293</v>
      </c>
      <c r="B296" s="70" t="s">
        <v>327</v>
      </c>
      <c r="C296" s="19" t="s">
        <v>27</v>
      </c>
      <c r="D296" s="18" t="s">
        <v>26</v>
      </c>
      <c r="E296" s="18" t="s">
        <v>26</v>
      </c>
      <c r="F296" s="11"/>
      <c r="G296" s="11"/>
      <c r="H296" s="11"/>
      <c r="I296" s="18" t="s">
        <v>31</v>
      </c>
      <c r="J296" s="18" t="s">
        <v>25</v>
      </c>
      <c r="K296" s="11"/>
      <c r="L296" s="22">
        <v>170</v>
      </c>
      <c r="M296" s="11"/>
      <c r="N296" s="11"/>
      <c r="O296" s="11"/>
      <c r="P296" s="55">
        <v>2.8119999999999998</v>
      </c>
      <c r="Q296" s="25">
        <v>0.2</v>
      </c>
      <c r="R296" s="11"/>
      <c r="S296" s="11"/>
      <c r="T296" s="11"/>
      <c r="U296" s="11">
        <v>0.23169999999999999</v>
      </c>
      <c r="V296" s="11">
        <v>0.2326</v>
      </c>
      <c r="W296" s="11"/>
      <c r="X296" s="64">
        <f t="shared" si="11"/>
        <v>9.000000000000119E-4</v>
      </c>
      <c r="Y296" s="22"/>
      <c r="Z296" s="60">
        <f t="shared" si="10"/>
        <v>0</v>
      </c>
    </row>
    <row r="297" spans="1:26" x14ac:dyDescent="0.3">
      <c r="A297" s="34">
        <f t="shared" si="12"/>
        <v>294</v>
      </c>
      <c r="B297" s="70" t="s">
        <v>328</v>
      </c>
      <c r="C297" s="19" t="s">
        <v>27</v>
      </c>
      <c r="D297" s="18" t="s">
        <v>26</v>
      </c>
      <c r="E297" s="18" t="s">
        <v>26</v>
      </c>
      <c r="F297" s="11"/>
      <c r="G297" s="11"/>
      <c r="H297" s="11"/>
      <c r="I297" s="18" t="s">
        <v>31</v>
      </c>
      <c r="J297" s="18" t="s">
        <v>25</v>
      </c>
      <c r="K297" s="11"/>
      <c r="L297" s="22">
        <v>170</v>
      </c>
      <c r="M297" s="11"/>
      <c r="N297" s="11"/>
      <c r="O297" s="11"/>
      <c r="P297" s="55">
        <v>2.774</v>
      </c>
      <c r="Q297" s="25">
        <v>0.2</v>
      </c>
      <c r="R297" s="11"/>
      <c r="S297" s="11"/>
      <c r="T297" s="11"/>
      <c r="U297" s="11">
        <v>0.2336</v>
      </c>
      <c r="V297" s="11">
        <v>0.23430000000000001</v>
      </c>
      <c r="W297" s="11"/>
      <c r="X297" s="64">
        <f t="shared" si="11"/>
        <v>7.0000000000000617E-4</v>
      </c>
      <c r="Y297" s="22"/>
      <c r="Z297" s="60">
        <f t="shared" si="10"/>
        <v>0</v>
      </c>
    </row>
    <row r="298" spans="1:26" x14ac:dyDescent="0.3">
      <c r="A298" s="34">
        <f t="shared" si="12"/>
        <v>295</v>
      </c>
      <c r="B298" s="70" t="s">
        <v>329</v>
      </c>
      <c r="C298" s="19" t="s">
        <v>27</v>
      </c>
      <c r="D298" s="18" t="s">
        <v>26</v>
      </c>
      <c r="E298" s="18" t="s">
        <v>26</v>
      </c>
      <c r="F298" s="11"/>
      <c r="G298" s="11"/>
      <c r="H298" s="11"/>
      <c r="I298" s="18" t="s">
        <v>31</v>
      </c>
      <c r="J298" s="18" t="s">
        <v>25</v>
      </c>
      <c r="K298" s="11"/>
      <c r="L298" s="22">
        <v>160</v>
      </c>
      <c r="M298" s="11"/>
      <c r="N298" s="11"/>
      <c r="O298" s="11"/>
      <c r="P298" s="55">
        <v>3.0510000000000002</v>
      </c>
      <c r="Q298" s="25">
        <v>0.2</v>
      </c>
      <c r="R298" s="11"/>
      <c r="S298" s="11"/>
      <c r="T298" s="11"/>
      <c r="U298" s="11">
        <v>0.23549999999999999</v>
      </c>
      <c r="V298" s="11">
        <v>0.23680000000000001</v>
      </c>
      <c r="W298" s="11"/>
      <c r="X298" s="64">
        <f t="shared" si="11"/>
        <v>1.3000000000000234E-3</v>
      </c>
      <c r="Y298" s="22"/>
      <c r="Z298" s="60">
        <f t="shared" si="10"/>
        <v>0</v>
      </c>
    </row>
    <row r="299" spans="1:26" x14ac:dyDescent="0.3">
      <c r="A299" s="34">
        <f t="shared" si="12"/>
        <v>296</v>
      </c>
      <c r="B299" s="70" t="s">
        <v>330</v>
      </c>
      <c r="C299" s="19" t="s">
        <v>27</v>
      </c>
      <c r="D299" s="18" t="s">
        <v>26</v>
      </c>
      <c r="E299" s="18" t="s">
        <v>26</v>
      </c>
      <c r="F299" s="11"/>
      <c r="G299" s="11"/>
      <c r="H299" s="11"/>
      <c r="I299" s="18" t="s">
        <v>31</v>
      </c>
      <c r="J299" s="18" t="s">
        <v>25</v>
      </c>
      <c r="K299" s="11"/>
      <c r="L299" s="22">
        <v>160</v>
      </c>
      <c r="M299" s="11"/>
      <c r="N299" s="11"/>
      <c r="O299" s="11"/>
      <c r="P299" s="55">
        <v>3.2709999999999999</v>
      </c>
      <c r="Q299" s="25">
        <v>0.2</v>
      </c>
      <c r="R299" s="11"/>
      <c r="S299" s="11"/>
      <c r="T299" s="11"/>
      <c r="U299" s="11">
        <v>0.2319</v>
      </c>
      <c r="V299" s="11">
        <v>0.23300000000000001</v>
      </c>
      <c r="W299" s="11"/>
      <c r="X299" s="64">
        <f t="shared" si="11"/>
        <v>1.1000000000000176E-3</v>
      </c>
      <c r="Y299" s="22"/>
      <c r="Z299" s="60">
        <f t="shared" si="10"/>
        <v>0</v>
      </c>
    </row>
    <row r="300" spans="1:26" x14ac:dyDescent="0.3">
      <c r="A300" s="34">
        <f t="shared" si="12"/>
        <v>297</v>
      </c>
      <c r="B300" s="70" t="s">
        <v>331</v>
      </c>
      <c r="C300" s="19" t="s">
        <v>27</v>
      </c>
      <c r="D300" s="18" t="s">
        <v>26</v>
      </c>
      <c r="E300" s="18" t="s">
        <v>26</v>
      </c>
      <c r="F300" s="11"/>
      <c r="G300" s="11"/>
      <c r="H300" s="11"/>
      <c r="I300" s="18" t="s">
        <v>31</v>
      </c>
      <c r="J300" s="18" t="s">
        <v>25</v>
      </c>
      <c r="K300" s="11"/>
      <c r="L300" s="22">
        <v>145</v>
      </c>
      <c r="M300" s="11"/>
      <c r="N300" s="11"/>
      <c r="O300" s="11"/>
      <c r="P300" s="55">
        <v>3.2989999999999999</v>
      </c>
      <c r="Q300" s="25">
        <v>0.2</v>
      </c>
      <c r="R300" s="11"/>
      <c r="S300" s="11"/>
      <c r="T300" s="11"/>
      <c r="U300" s="11">
        <v>0.23230000000000001</v>
      </c>
      <c r="V300" s="11">
        <v>0.23300000000000001</v>
      </c>
      <c r="W300" s="11"/>
      <c r="X300" s="64">
        <f t="shared" si="11"/>
        <v>7.0000000000000617E-4</v>
      </c>
      <c r="Y300" s="22"/>
      <c r="Z300" s="60">
        <f t="shared" si="10"/>
        <v>0</v>
      </c>
    </row>
    <row r="301" spans="1:26" x14ac:dyDescent="0.3">
      <c r="A301" s="34">
        <f t="shared" si="12"/>
        <v>298</v>
      </c>
      <c r="B301" s="70" t="s">
        <v>332</v>
      </c>
      <c r="C301" s="19" t="s">
        <v>27</v>
      </c>
      <c r="D301" s="18" t="s">
        <v>26</v>
      </c>
      <c r="E301" s="18" t="s">
        <v>26</v>
      </c>
      <c r="F301" s="11"/>
      <c r="G301" s="11"/>
      <c r="H301" s="11"/>
      <c r="I301" s="18" t="s">
        <v>31</v>
      </c>
      <c r="J301" s="18" t="s">
        <v>25</v>
      </c>
      <c r="K301" s="11"/>
      <c r="L301" s="22">
        <v>170</v>
      </c>
      <c r="M301" s="11"/>
      <c r="N301" s="11"/>
      <c r="O301" s="11"/>
      <c r="P301" s="55">
        <v>2.8559999999999999</v>
      </c>
      <c r="Q301" s="25">
        <v>0.2</v>
      </c>
      <c r="R301" s="11"/>
      <c r="S301" s="11"/>
      <c r="T301" s="11"/>
      <c r="U301" s="11">
        <v>0.2339</v>
      </c>
      <c r="V301" s="11">
        <v>0.23430000000000001</v>
      </c>
      <c r="W301" s="11"/>
      <c r="X301" s="64">
        <f t="shared" si="11"/>
        <v>4.0000000000001146E-4</v>
      </c>
      <c r="Y301" s="22"/>
      <c r="Z301" s="60">
        <f t="shared" si="10"/>
        <v>0</v>
      </c>
    </row>
    <row r="302" spans="1:26" x14ac:dyDescent="0.3">
      <c r="A302" s="34">
        <f t="shared" si="12"/>
        <v>299</v>
      </c>
      <c r="B302" s="70" t="s">
        <v>333</v>
      </c>
      <c r="C302" s="19" t="s">
        <v>27</v>
      </c>
      <c r="D302" s="18" t="s">
        <v>26</v>
      </c>
      <c r="E302" s="18" t="s">
        <v>26</v>
      </c>
      <c r="F302" s="11"/>
      <c r="G302" s="11"/>
      <c r="H302" s="11"/>
      <c r="I302" s="18" t="s">
        <v>31</v>
      </c>
      <c r="J302" s="18" t="s">
        <v>25</v>
      </c>
      <c r="K302" s="11"/>
      <c r="L302" s="22">
        <v>150</v>
      </c>
      <c r="M302" s="11"/>
      <c r="N302" s="11"/>
      <c r="O302" s="11"/>
      <c r="P302" s="55">
        <v>2.7429999999999999</v>
      </c>
      <c r="Q302" s="25">
        <v>0.2</v>
      </c>
      <c r="R302" s="11"/>
      <c r="S302" s="11"/>
      <c r="T302" s="11"/>
      <c r="U302" s="11">
        <v>0.23330000000000001</v>
      </c>
      <c r="V302" s="11">
        <v>0.2341</v>
      </c>
      <c r="W302" s="11"/>
      <c r="X302" s="64">
        <f t="shared" si="11"/>
        <v>7.9999999999999516E-4</v>
      </c>
      <c r="Y302" s="22"/>
      <c r="Z302" s="60">
        <f t="shared" si="10"/>
        <v>0</v>
      </c>
    </row>
    <row r="303" spans="1:26" x14ac:dyDescent="0.3">
      <c r="A303" s="34">
        <f t="shared" si="12"/>
        <v>300</v>
      </c>
      <c r="B303" s="70" t="s">
        <v>334</v>
      </c>
      <c r="C303" s="19" t="s">
        <v>27</v>
      </c>
      <c r="D303" s="18" t="s">
        <v>26</v>
      </c>
      <c r="E303" s="18" t="s">
        <v>26</v>
      </c>
      <c r="F303" s="11"/>
      <c r="G303" s="11"/>
      <c r="H303" s="11"/>
      <c r="I303" s="18" t="s">
        <v>31</v>
      </c>
      <c r="J303" s="18" t="s">
        <v>25</v>
      </c>
      <c r="K303" s="11"/>
      <c r="L303" s="22">
        <v>170</v>
      </c>
      <c r="M303" s="11"/>
      <c r="N303" s="11"/>
      <c r="O303" s="11"/>
      <c r="P303" s="55">
        <v>2.7890000000000001</v>
      </c>
      <c r="Q303" s="25">
        <v>0.2</v>
      </c>
      <c r="R303" s="11"/>
      <c r="S303" s="11"/>
      <c r="T303" s="11"/>
      <c r="U303" s="11">
        <v>0.23350000000000001</v>
      </c>
      <c r="V303" s="11">
        <v>0.2344</v>
      </c>
      <c r="W303" s="11"/>
      <c r="X303" s="64">
        <f t="shared" si="11"/>
        <v>8.9999999999998415E-4</v>
      </c>
      <c r="Y303" s="22"/>
      <c r="Z303" s="60">
        <f t="shared" si="10"/>
        <v>0</v>
      </c>
    </row>
    <row r="304" spans="1:26" x14ac:dyDescent="0.3">
      <c r="A304" s="34">
        <f t="shared" si="12"/>
        <v>301</v>
      </c>
      <c r="B304" s="70" t="s">
        <v>335</v>
      </c>
      <c r="C304" s="19" t="s">
        <v>27</v>
      </c>
      <c r="D304" s="18" t="s">
        <v>26</v>
      </c>
      <c r="E304" s="18" t="s">
        <v>26</v>
      </c>
      <c r="F304" s="11"/>
      <c r="G304" s="11"/>
      <c r="H304" s="11"/>
      <c r="I304" s="18" t="s">
        <v>31</v>
      </c>
      <c r="J304" s="18" t="s">
        <v>25</v>
      </c>
      <c r="K304" s="11"/>
      <c r="L304" s="22">
        <v>155</v>
      </c>
      <c r="M304" s="11"/>
      <c r="N304" s="11"/>
      <c r="O304" s="11"/>
      <c r="P304" s="55">
        <v>2.8090000000000002</v>
      </c>
      <c r="Q304" s="25">
        <v>0.2</v>
      </c>
      <c r="R304" s="11"/>
      <c r="S304" s="11"/>
      <c r="T304" s="11"/>
      <c r="U304" s="11">
        <v>0.2349</v>
      </c>
      <c r="V304" s="11">
        <v>0.2354</v>
      </c>
      <c r="W304" s="11"/>
      <c r="X304" s="64">
        <f t="shared" si="11"/>
        <v>5.0000000000000044E-4</v>
      </c>
      <c r="Y304" s="22"/>
      <c r="Z304" s="60">
        <f t="shared" si="10"/>
        <v>0</v>
      </c>
    </row>
    <row r="305" spans="1:26" x14ac:dyDescent="0.3">
      <c r="A305" s="34">
        <f t="shared" si="12"/>
        <v>302</v>
      </c>
      <c r="B305" s="99" t="s">
        <v>337</v>
      </c>
      <c r="C305" s="19" t="s">
        <v>27</v>
      </c>
      <c r="D305" s="18" t="s">
        <v>26</v>
      </c>
      <c r="E305" s="18" t="s">
        <v>26</v>
      </c>
      <c r="F305" s="11"/>
      <c r="G305" s="11"/>
      <c r="H305" s="11"/>
      <c r="I305" s="18" t="s">
        <v>31</v>
      </c>
      <c r="J305" s="18" t="s">
        <v>25</v>
      </c>
      <c r="K305" s="11"/>
      <c r="L305" s="22">
        <v>160</v>
      </c>
      <c r="M305" s="11"/>
      <c r="N305" s="11"/>
      <c r="O305" s="11"/>
      <c r="P305" s="55">
        <v>2.9769999999999999</v>
      </c>
      <c r="Q305" s="25">
        <v>0.2</v>
      </c>
      <c r="R305" s="11"/>
      <c r="S305" s="11"/>
      <c r="T305" s="11"/>
      <c r="U305" s="11">
        <v>0.2354</v>
      </c>
      <c r="V305" s="11">
        <v>0.23599999999999999</v>
      </c>
      <c r="W305" s="11"/>
      <c r="X305" s="64">
        <f t="shared" si="11"/>
        <v>5.9999999999998943E-4</v>
      </c>
      <c r="Y305" s="22"/>
      <c r="Z305" s="60">
        <f t="shared" si="10"/>
        <v>0</v>
      </c>
    </row>
    <row r="306" spans="1:26" x14ac:dyDescent="0.3">
      <c r="A306" s="34">
        <f t="shared" si="12"/>
        <v>303</v>
      </c>
      <c r="B306" s="99" t="s">
        <v>338</v>
      </c>
      <c r="C306" s="19" t="s">
        <v>27</v>
      </c>
      <c r="D306" s="18" t="s">
        <v>26</v>
      </c>
      <c r="E306" s="18" t="s">
        <v>26</v>
      </c>
      <c r="F306" s="11"/>
      <c r="G306" s="11"/>
      <c r="H306" s="11"/>
      <c r="I306" s="18" t="s">
        <v>31</v>
      </c>
      <c r="J306" s="18" t="s">
        <v>25</v>
      </c>
      <c r="K306" s="11"/>
      <c r="L306" s="22">
        <v>160</v>
      </c>
      <c r="M306" s="11"/>
      <c r="N306" s="11"/>
      <c r="O306" s="11"/>
      <c r="P306" s="55">
        <v>2.8260000000000001</v>
      </c>
      <c r="Q306" s="25">
        <v>0.2</v>
      </c>
      <c r="R306" s="11"/>
      <c r="S306" s="11"/>
      <c r="T306" s="11"/>
      <c r="U306" s="11">
        <v>0.23300000000000001</v>
      </c>
      <c r="V306" s="11">
        <v>0.23480000000000001</v>
      </c>
      <c r="W306" s="11"/>
      <c r="X306" s="64">
        <f t="shared" si="11"/>
        <v>1.799999999999996E-3</v>
      </c>
      <c r="Y306" s="22"/>
      <c r="Z306" s="60">
        <f t="shared" si="10"/>
        <v>0</v>
      </c>
    </row>
    <row r="307" spans="1:26" x14ac:dyDescent="0.3">
      <c r="A307" s="34">
        <f t="shared" si="12"/>
        <v>304</v>
      </c>
      <c r="B307" s="99" t="s">
        <v>339</v>
      </c>
      <c r="C307" s="19" t="s">
        <v>27</v>
      </c>
      <c r="D307" s="18" t="s">
        <v>26</v>
      </c>
      <c r="E307" s="18" t="s">
        <v>26</v>
      </c>
      <c r="F307" s="11"/>
      <c r="G307" s="11"/>
      <c r="H307" s="11"/>
      <c r="I307" s="18" t="s">
        <v>31</v>
      </c>
      <c r="J307" s="18" t="s">
        <v>25</v>
      </c>
      <c r="K307" s="11"/>
      <c r="L307" s="22">
        <v>150</v>
      </c>
      <c r="M307" s="11"/>
      <c r="N307" s="11"/>
      <c r="O307" s="11"/>
      <c r="P307" s="55">
        <v>2.944</v>
      </c>
      <c r="Q307" s="25">
        <v>0.2</v>
      </c>
      <c r="R307" s="11"/>
      <c r="S307" s="11"/>
      <c r="T307" s="11"/>
      <c r="U307" s="11">
        <v>0.23630000000000001</v>
      </c>
      <c r="V307" s="11">
        <v>0.23699999999999999</v>
      </c>
      <c r="W307" s="11"/>
      <c r="X307" s="64">
        <f t="shared" si="11"/>
        <v>6.9999999999997842E-4</v>
      </c>
      <c r="Y307" s="22"/>
      <c r="Z307" s="60">
        <f t="shared" si="10"/>
        <v>0</v>
      </c>
    </row>
    <row r="308" spans="1:26" x14ac:dyDescent="0.3">
      <c r="A308" s="34">
        <f t="shared" si="12"/>
        <v>305</v>
      </c>
      <c r="B308" s="99" t="s">
        <v>340</v>
      </c>
      <c r="C308" s="19" t="s">
        <v>27</v>
      </c>
      <c r="D308" s="18" t="s">
        <v>26</v>
      </c>
      <c r="E308" s="18" t="s">
        <v>26</v>
      </c>
      <c r="F308" s="11"/>
      <c r="G308" s="11"/>
      <c r="H308" s="11"/>
      <c r="I308" s="18" t="s">
        <v>31</v>
      </c>
      <c r="J308" s="18" t="s">
        <v>25</v>
      </c>
      <c r="K308" s="11"/>
      <c r="L308" s="22">
        <v>165</v>
      </c>
      <c r="M308" s="11"/>
      <c r="N308" s="11"/>
      <c r="O308" s="11"/>
      <c r="P308" s="55">
        <v>4.681</v>
      </c>
      <c r="Q308" s="25">
        <v>0.2</v>
      </c>
      <c r="R308" s="11"/>
      <c r="S308" s="11"/>
      <c r="T308" s="11"/>
      <c r="U308" s="11">
        <v>0.2321</v>
      </c>
      <c r="V308" s="11">
        <v>0.23449999999999999</v>
      </c>
      <c r="W308" s="11"/>
      <c r="X308" s="64">
        <f t="shared" si="11"/>
        <v>2.3999999999999855E-3</v>
      </c>
      <c r="Y308" s="22"/>
      <c r="Z308" s="60">
        <f t="shared" si="10"/>
        <v>0</v>
      </c>
    </row>
    <row r="309" spans="1:26" x14ac:dyDescent="0.3">
      <c r="A309" s="34">
        <f t="shared" si="12"/>
        <v>306</v>
      </c>
      <c r="B309" s="99" t="s">
        <v>341</v>
      </c>
      <c r="C309" s="19" t="s">
        <v>27</v>
      </c>
      <c r="D309" s="18" t="s">
        <v>26</v>
      </c>
      <c r="E309" s="18" t="s">
        <v>26</v>
      </c>
      <c r="F309" s="11"/>
      <c r="G309" s="11"/>
      <c r="H309" s="11"/>
      <c r="I309" s="18" t="s">
        <v>31</v>
      </c>
      <c r="J309" s="18" t="s">
        <v>25</v>
      </c>
      <c r="K309" s="11"/>
      <c r="L309" s="22">
        <v>140</v>
      </c>
      <c r="M309" s="11"/>
      <c r="N309" s="11"/>
      <c r="O309" s="11"/>
      <c r="P309" s="55">
        <v>3.395</v>
      </c>
      <c r="Q309" s="25">
        <v>0.2</v>
      </c>
      <c r="R309" s="11"/>
      <c r="S309" s="11"/>
      <c r="T309" s="11"/>
      <c r="U309" s="11">
        <v>0.2331</v>
      </c>
      <c r="V309" s="11">
        <v>0.2344</v>
      </c>
      <c r="W309" s="11"/>
      <c r="X309" s="64">
        <f t="shared" si="11"/>
        <v>1.2999999999999956E-3</v>
      </c>
      <c r="Y309" s="22"/>
      <c r="Z309" s="60">
        <f t="shared" si="10"/>
        <v>0</v>
      </c>
    </row>
    <row r="310" spans="1:26" x14ac:dyDescent="0.3">
      <c r="A310" s="34">
        <f t="shared" si="12"/>
        <v>307</v>
      </c>
      <c r="B310" s="99" t="s">
        <v>342</v>
      </c>
      <c r="C310" s="19" t="s">
        <v>27</v>
      </c>
      <c r="D310" s="18" t="s">
        <v>26</v>
      </c>
      <c r="E310" s="18" t="s">
        <v>26</v>
      </c>
      <c r="F310" s="11"/>
      <c r="G310" s="11"/>
      <c r="H310" s="11"/>
      <c r="I310" s="18" t="s">
        <v>31</v>
      </c>
      <c r="J310" s="18" t="s">
        <v>25</v>
      </c>
      <c r="K310" s="11"/>
      <c r="L310" s="22">
        <v>160</v>
      </c>
      <c r="M310" s="11"/>
      <c r="N310" s="11"/>
      <c r="O310" s="11"/>
      <c r="P310" s="55">
        <v>3.1139999999999999</v>
      </c>
      <c r="Q310" s="25">
        <v>0.2</v>
      </c>
      <c r="R310" s="11"/>
      <c r="S310" s="11"/>
      <c r="T310" s="11"/>
      <c r="U310" s="11">
        <v>0.23719999999999999</v>
      </c>
      <c r="V310" s="11">
        <v>0.23830000000000001</v>
      </c>
      <c r="W310" s="11"/>
      <c r="X310" s="64">
        <f t="shared" si="11"/>
        <v>1.1000000000000176E-3</v>
      </c>
      <c r="Y310" s="22"/>
      <c r="Z310" s="60">
        <f t="shared" si="10"/>
        <v>0</v>
      </c>
    </row>
    <row r="311" spans="1:26" x14ac:dyDescent="0.3">
      <c r="A311" s="34">
        <f t="shared" si="12"/>
        <v>308</v>
      </c>
      <c r="B311" s="99" t="s">
        <v>343</v>
      </c>
      <c r="C311" s="19" t="s">
        <v>27</v>
      </c>
      <c r="D311" s="18" t="s">
        <v>26</v>
      </c>
      <c r="E311" s="18" t="s">
        <v>26</v>
      </c>
      <c r="F311" s="11"/>
      <c r="G311" s="11"/>
      <c r="H311" s="11"/>
      <c r="I311" s="18" t="s">
        <v>31</v>
      </c>
      <c r="J311" s="18" t="s">
        <v>25</v>
      </c>
      <c r="K311" s="11"/>
      <c r="L311" s="22">
        <v>160</v>
      </c>
      <c r="M311" s="11"/>
      <c r="N311" s="11"/>
      <c r="O311" s="11"/>
      <c r="P311" s="55">
        <v>2.9430000000000001</v>
      </c>
      <c r="Q311" s="25">
        <v>0.2</v>
      </c>
      <c r="R311" s="11"/>
      <c r="S311" s="11"/>
      <c r="T311" s="11"/>
      <c r="U311" s="11">
        <v>0.23089999999999999</v>
      </c>
      <c r="V311" s="11">
        <v>0.23130000000000001</v>
      </c>
      <c r="W311" s="11"/>
      <c r="X311" s="64">
        <f t="shared" si="11"/>
        <v>4.0000000000001146E-4</v>
      </c>
      <c r="Y311" s="22"/>
      <c r="Z311" s="60">
        <f t="shared" si="10"/>
        <v>0</v>
      </c>
    </row>
    <row r="312" spans="1:26" x14ac:dyDescent="0.3">
      <c r="A312" s="34">
        <f t="shared" si="12"/>
        <v>309</v>
      </c>
      <c r="B312" s="99" t="s">
        <v>344</v>
      </c>
      <c r="C312" s="19" t="s">
        <v>27</v>
      </c>
      <c r="D312" s="18" t="s">
        <v>26</v>
      </c>
      <c r="E312" s="18" t="s">
        <v>26</v>
      </c>
      <c r="F312" s="11"/>
      <c r="G312" s="11"/>
      <c r="H312" s="11"/>
      <c r="I312" s="18" t="s">
        <v>31</v>
      </c>
      <c r="J312" s="18" t="s">
        <v>25</v>
      </c>
      <c r="K312" s="11"/>
      <c r="L312" s="22">
        <v>150</v>
      </c>
      <c r="M312" s="11"/>
      <c r="N312" s="11"/>
      <c r="O312" s="11"/>
      <c r="P312" s="55">
        <v>4.1040000000000001</v>
      </c>
      <c r="Q312" s="25">
        <v>0.2</v>
      </c>
      <c r="R312" s="11"/>
      <c r="S312" s="11"/>
      <c r="T312" s="11"/>
      <c r="U312" s="11">
        <v>0.2354</v>
      </c>
      <c r="V312" s="11">
        <v>0.23730000000000001</v>
      </c>
      <c r="W312" s="11"/>
      <c r="X312" s="64">
        <f t="shared" si="11"/>
        <v>1.9000000000000128E-3</v>
      </c>
      <c r="Y312" s="22"/>
      <c r="Z312" s="60">
        <f t="shared" si="10"/>
        <v>0</v>
      </c>
    </row>
    <row r="313" spans="1:26" x14ac:dyDescent="0.3">
      <c r="A313" s="34">
        <f t="shared" si="12"/>
        <v>310</v>
      </c>
      <c r="B313" s="99" t="s">
        <v>345</v>
      </c>
      <c r="C313" s="19" t="s">
        <v>27</v>
      </c>
      <c r="D313" s="18" t="s">
        <v>26</v>
      </c>
      <c r="E313" s="18" t="s">
        <v>26</v>
      </c>
      <c r="F313" s="11"/>
      <c r="G313" s="11"/>
      <c r="H313" s="11"/>
      <c r="I313" s="18" t="s">
        <v>31</v>
      </c>
      <c r="J313" s="18" t="s">
        <v>25</v>
      </c>
      <c r="K313" s="11"/>
      <c r="L313" s="22">
        <v>140</v>
      </c>
      <c r="M313" s="11"/>
      <c r="N313" s="11"/>
      <c r="O313" s="11"/>
      <c r="P313" s="55">
        <v>4.9790000000000001</v>
      </c>
      <c r="Q313" s="25">
        <v>0.2</v>
      </c>
      <c r="R313" s="11"/>
      <c r="S313" s="11"/>
      <c r="T313" s="11"/>
      <c r="U313" s="11">
        <v>0.2351</v>
      </c>
      <c r="V313" s="11">
        <v>0.2414</v>
      </c>
      <c r="W313" s="11"/>
      <c r="X313" s="64">
        <f t="shared" si="11"/>
        <v>6.3E-3</v>
      </c>
      <c r="Y313" s="22"/>
      <c r="Z313" s="60">
        <f t="shared" si="10"/>
        <v>0</v>
      </c>
    </row>
    <row r="314" spans="1:26" x14ac:dyDescent="0.3">
      <c r="A314" s="34">
        <f t="shared" si="12"/>
        <v>311</v>
      </c>
      <c r="B314" s="99" t="s">
        <v>346</v>
      </c>
      <c r="C314" s="19" t="s">
        <v>27</v>
      </c>
      <c r="D314" s="18" t="s">
        <v>26</v>
      </c>
      <c r="E314" s="18" t="s">
        <v>26</v>
      </c>
      <c r="F314" s="11"/>
      <c r="G314" s="11"/>
      <c r="H314" s="11"/>
      <c r="I314" s="18" t="s">
        <v>31</v>
      </c>
      <c r="J314" s="18" t="s">
        <v>25</v>
      </c>
      <c r="K314" s="11"/>
      <c r="L314" s="22">
        <v>150</v>
      </c>
      <c r="M314" s="11"/>
      <c r="N314" s="11"/>
      <c r="O314" s="11"/>
      <c r="P314" s="55">
        <v>3.871</v>
      </c>
      <c r="Q314" s="25">
        <v>0.2</v>
      </c>
      <c r="R314" s="11"/>
      <c r="S314" s="11"/>
      <c r="T314" s="11"/>
      <c r="U314" s="11">
        <v>0.2346</v>
      </c>
      <c r="V314" s="11">
        <v>0.23669999999999999</v>
      </c>
      <c r="W314" s="11"/>
      <c r="X314" s="64">
        <f t="shared" si="11"/>
        <v>2.0999999999999908E-3</v>
      </c>
      <c r="Y314" s="22"/>
      <c r="Z314" s="60">
        <f t="shared" si="10"/>
        <v>0</v>
      </c>
    </row>
    <row r="315" spans="1:26" x14ac:dyDescent="0.3">
      <c r="A315" s="34">
        <f t="shared" si="12"/>
        <v>312</v>
      </c>
      <c r="B315" s="99" t="s">
        <v>347</v>
      </c>
      <c r="C315" s="19" t="s">
        <v>27</v>
      </c>
      <c r="D315" s="18" t="s">
        <v>26</v>
      </c>
      <c r="E315" s="18" t="s">
        <v>26</v>
      </c>
      <c r="F315" s="11"/>
      <c r="G315" s="11"/>
      <c r="H315" s="11"/>
      <c r="I315" s="18" t="s">
        <v>31</v>
      </c>
      <c r="J315" s="18" t="s">
        <v>25</v>
      </c>
      <c r="K315" s="11"/>
      <c r="L315" s="22">
        <v>150</v>
      </c>
      <c r="M315" s="11"/>
      <c r="N315" s="11"/>
      <c r="O315" s="11"/>
      <c r="P315" s="55">
        <v>3.4740000000000002</v>
      </c>
      <c r="Q315" s="25">
        <v>0.2</v>
      </c>
      <c r="R315" s="11"/>
      <c r="S315" s="11"/>
      <c r="T315" s="11"/>
      <c r="U315" s="11">
        <v>0.23499999999999999</v>
      </c>
      <c r="V315" s="11">
        <v>0.23649999999999999</v>
      </c>
      <c r="W315" s="11"/>
      <c r="X315" s="64">
        <f t="shared" si="11"/>
        <v>1.5000000000000013E-3</v>
      </c>
      <c r="Y315" s="22"/>
      <c r="Z315" s="60">
        <f t="shared" si="10"/>
        <v>0</v>
      </c>
    </row>
    <row r="316" spans="1:26" x14ac:dyDescent="0.3">
      <c r="A316" s="34">
        <f t="shared" si="12"/>
        <v>313</v>
      </c>
      <c r="B316" s="99" t="s">
        <v>348</v>
      </c>
      <c r="C316" s="19" t="s">
        <v>27</v>
      </c>
      <c r="D316" s="18" t="s">
        <v>26</v>
      </c>
      <c r="E316" s="18" t="s">
        <v>26</v>
      </c>
      <c r="F316" s="11"/>
      <c r="G316" s="11"/>
      <c r="H316" s="11"/>
      <c r="I316" s="18" t="s">
        <v>31</v>
      </c>
      <c r="J316" s="18" t="s">
        <v>25</v>
      </c>
      <c r="K316" s="11"/>
      <c r="L316" s="22">
        <v>160</v>
      </c>
      <c r="M316" s="11"/>
      <c r="N316" s="11"/>
      <c r="O316" s="11"/>
      <c r="P316" s="55">
        <v>3.2690000000000001</v>
      </c>
      <c r="Q316" s="25">
        <v>0.2</v>
      </c>
      <c r="R316" s="11"/>
      <c r="S316" s="11"/>
      <c r="T316" s="11"/>
      <c r="U316" s="11">
        <v>0.2334</v>
      </c>
      <c r="V316" s="11">
        <v>0.23469999999999999</v>
      </c>
      <c r="W316" s="11"/>
      <c r="X316" s="64">
        <f t="shared" si="11"/>
        <v>1.2999999999999956E-3</v>
      </c>
      <c r="Y316" s="22"/>
      <c r="Z316" s="60">
        <f t="shared" si="10"/>
        <v>0</v>
      </c>
    </row>
    <row r="317" spans="1:26" x14ac:dyDescent="0.3">
      <c r="A317" s="34">
        <f t="shared" si="12"/>
        <v>314</v>
      </c>
      <c r="B317" s="99" t="s">
        <v>349</v>
      </c>
      <c r="C317" s="19" t="s">
        <v>27</v>
      </c>
      <c r="D317" s="18" t="s">
        <v>26</v>
      </c>
      <c r="E317" s="18" t="s">
        <v>26</v>
      </c>
      <c r="F317" s="11"/>
      <c r="G317" s="11"/>
      <c r="H317" s="11"/>
      <c r="I317" s="18" t="s">
        <v>31</v>
      </c>
      <c r="J317" s="18" t="s">
        <v>25</v>
      </c>
      <c r="K317" s="11"/>
      <c r="L317" s="22">
        <v>170</v>
      </c>
      <c r="M317" s="11"/>
      <c r="N317" s="11"/>
      <c r="O317" s="11"/>
      <c r="P317" s="55">
        <v>4.6879999999999997</v>
      </c>
      <c r="Q317" s="25">
        <v>0.2</v>
      </c>
      <c r="R317" s="11"/>
      <c r="S317" s="11"/>
      <c r="T317" s="11"/>
      <c r="U317" s="11">
        <v>0.2359</v>
      </c>
      <c r="V317" s="11">
        <v>0.2382</v>
      </c>
      <c r="W317" s="11"/>
      <c r="X317" s="64">
        <f t="shared" si="11"/>
        <v>2.2999999999999965E-3</v>
      </c>
      <c r="Y317" s="22"/>
      <c r="Z317" s="60">
        <f t="shared" si="10"/>
        <v>0</v>
      </c>
    </row>
    <row r="318" spans="1:26" x14ac:dyDescent="0.3">
      <c r="A318" s="34">
        <f t="shared" si="12"/>
        <v>315</v>
      </c>
      <c r="B318" s="70" t="s">
        <v>350</v>
      </c>
      <c r="C318" s="19" t="s">
        <v>27</v>
      </c>
      <c r="D318" s="18" t="s">
        <v>26</v>
      </c>
      <c r="E318" s="18" t="s">
        <v>26</v>
      </c>
      <c r="F318" s="11"/>
      <c r="G318" s="11"/>
      <c r="H318" s="11"/>
      <c r="I318" s="18" t="s">
        <v>31</v>
      </c>
      <c r="J318" s="18" t="s">
        <v>25</v>
      </c>
      <c r="K318" s="11"/>
      <c r="L318" s="22">
        <v>160</v>
      </c>
      <c r="M318" s="11"/>
      <c r="N318" s="11"/>
      <c r="O318" s="11"/>
      <c r="P318" s="55">
        <v>2.6989999999999998</v>
      </c>
      <c r="Q318" s="25">
        <v>0.2</v>
      </c>
      <c r="R318" s="11"/>
      <c r="S318" s="11"/>
      <c r="T318" s="11"/>
      <c r="U318" s="11">
        <v>0.23569999999999999</v>
      </c>
      <c r="V318" s="11">
        <v>0.23569999999999999</v>
      </c>
      <c r="W318" s="11"/>
      <c r="X318" s="64">
        <f t="shared" si="11"/>
        <v>0</v>
      </c>
      <c r="Y318" s="22"/>
      <c r="Z318" s="60">
        <f t="shared" si="10"/>
        <v>0</v>
      </c>
    </row>
    <row r="319" spans="1:26" x14ac:dyDescent="0.3">
      <c r="A319" s="34">
        <f t="shared" si="12"/>
        <v>316</v>
      </c>
      <c r="B319" s="70" t="s">
        <v>351</v>
      </c>
      <c r="C319" s="19" t="s">
        <v>27</v>
      </c>
      <c r="D319" s="18" t="s">
        <v>26</v>
      </c>
      <c r="E319" s="18" t="s">
        <v>26</v>
      </c>
      <c r="F319" s="11"/>
      <c r="G319" s="11"/>
      <c r="H319" s="11"/>
      <c r="I319" s="18" t="s">
        <v>31</v>
      </c>
      <c r="J319" s="18" t="s">
        <v>25</v>
      </c>
      <c r="K319" s="11"/>
      <c r="L319" s="22">
        <v>150</v>
      </c>
      <c r="M319" s="11"/>
      <c r="N319" s="11"/>
      <c r="O319" s="11"/>
      <c r="P319" s="55">
        <v>2.8239999999999998</v>
      </c>
      <c r="Q319" s="25">
        <v>0.2</v>
      </c>
      <c r="R319" s="11"/>
      <c r="S319" s="11"/>
      <c r="T319" s="11"/>
      <c r="U319" s="11">
        <v>0.23780000000000001</v>
      </c>
      <c r="V319" s="11">
        <v>0.23830000000000001</v>
      </c>
      <c r="W319" s="11"/>
      <c r="X319" s="64">
        <f t="shared" si="11"/>
        <v>5.0000000000000044E-4</v>
      </c>
      <c r="Y319" s="22"/>
      <c r="Z319" s="60">
        <f t="shared" si="10"/>
        <v>0</v>
      </c>
    </row>
    <row r="320" spans="1:26" x14ac:dyDescent="0.3">
      <c r="A320" s="34">
        <f t="shared" si="12"/>
        <v>317</v>
      </c>
      <c r="B320" s="70" t="s">
        <v>352</v>
      </c>
      <c r="C320" s="19" t="s">
        <v>27</v>
      </c>
      <c r="D320" s="18" t="s">
        <v>26</v>
      </c>
      <c r="E320" s="18" t="s">
        <v>26</v>
      </c>
      <c r="F320" s="11"/>
      <c r="G320" s="11"/>
      <c r="H320" s="11"/>
      <c r="I320" s="18" t="s">
        <v>31</v>
      </c>
      <c r="J320" s="18" t="s">
        <v>25</v>
      </c>
      <c r="K320" s="11"/>
      <c r="L320" s="22">
        <v>150</v>
      </c>
      <c r="M320" s="11"/>
      <c r="N320" s="11"/>
      <c r="O320" s="11"/>
      <c r="P320" s="55">
        <v>2.6429999999999998</v>
      </c>
      <c r="Q320" s="25">
        <v>0.2</v>
      </c>
      <c r="R320" s="11"/>
      <c r="S320" s="11"/>
      <c r="T320" s="11"/>
      <c r="U320" s="11">
        <v>0.2339</v>
      </c>
      <c r="V320" s="11">
        <v>0.23469999999999999</v>
      </c>
      <c r="W320" s="11"/>
      <c r="X320" s="64">
        <f t="shared" si="11"/>
        <v>7.9999999999999516E-4</v>
      </c>
      <c r="Y320" s="22"/>
      <c r="Z320" s="60">
        <f t="shared" si="10"/>
        <v>0</v>
      </c>
    </row>
    <row r="321" spans="1:26" x14ac:dyDescent="0.3">
      <c r="A321" s="34">
        <f t="shared" si="12"/>
        <v>318</v>
      </c>
      <c r="B321" s="70" t="s">
        <v>353</v>
      </c>
      <c r="C321" s="19" t="s">
        <v>27</v>
      </c>
      <c r="D321" s="18" t="s">
        <v>26</v>
      </c>
      <c r="E321" s="18" t="s">
        <v>26</v>
      </c>
      <c r="F321" s="11"/>
      <c r="G321" s="11"/>
      <c r="H321" s="11"/>
      <c r="I321" s="18" t="s">
        <v>31</v>
      </c>
      <c r="J321" s="18" t="s">
        <v>25</v>
      </c>
      <c r="K321" s="11"/>
      <c r="L321" s="22">
        <v>150</v>
      </c>
      <c r="M321" s="11"/>
      <c r="N321" s="11"/>
      <c r="O321" s="11"/>
      <c r="P321" s="55">
        <v>2.9510000000000001</v>
      </c>
      <c r="Q321" s="25">
        <v>0.2</v>
      </c>
      <c r="R321" s="11"/>
      <c r="S321" s="11"/>
      <c r="T321" s="11"/>
      <c r="U321" s="11">
        <v>0.23230000000000001</v>
      </c>
      <c r="V321" s="11">
        <v>0.23419999999999999</v>
      </c>
      <c r="W321" s="11"/>
      <c r="X321" s="64">
        <f t="shared" si="11"/>
        <v>1.899999999999985E-3</v>
      </c>
      <c r="Y321" s="22"/>
      <c r="Z321" s="60">
        <f t="shared" si="10"/>
        <v>0</v>
      </c>
    </row>
    <row r="322" spans="1:26" x14ac:dyDescent="0.3">
      <c r="A322" s="34">
        <f t="shared" si="12"/>
        <v>319</v>
      </c>
      <c r="B322" s="70" t="s">
        <v>354</v>
      </c>
      <c r="C322" s="19" t="s">
        <v>27</v>
      </c>
      <c r="D322" s="18" t="s">
        <v>26</v>
      </c>
      <c r="E322" s="18" t="s">
        <v>26</v>
      </c>
      <c r="F322" s="11"/>
      <c r="G322" s="11"/>
      <c r="H322" s="11"/>
      <c r="I322" s="18" t="s">
        <v>31</v>
      </c>
      <c r="J322" s="18" t="s">
        <v>25</v>
      </c>
      <c r="K322" s="11"/>
      <c r="L322" s="22">
        <v>150</v>
      </c>
      <c r="M322" s="11"/>
      <c r="N322" s="11"/>
      <c r="O322" s="11"/>
      <c r="P322" s="55">
        <v>3.1309999999999998</v>
      </c>
      <c r="Q322" s="25">
        <v>0.2</v>
      </c>
      <c r="R322" s="11"/>
      <c r="S322" s="11"/>
      <c r="T322" s="11"/>
      <c r="U322" s="11">
        <v>0.23669999999999999</v>
      </c>
      <c r="V322" s="11">
        <v>0.23830000000000001</v>
      </c>
      <c r="W322" s="11"/>
      <c r="X322" s="64">
        <f t="shared" si="11"/>
        <v>1.6000000000000181E-3</v>
      </c>
      <c r="Y322" s="22"/>
      <c r="Z322" s="60">
        <f t="shared" si="10"/>
        <v>0</v>
      </c>
    </row>
    <row r="323" spans="1:26" x14ac:dyDescent="0.3">
      <c r="A323" s="34">
        <f t="shared" si="12"/>
        <v>320</v>
      </c>
      <c r="B323" s="70" t="s">
        <v>355</v>
      </c>
      <c r="C323" s="19" t="s">
        <v>27</v>
      </c>
      <c r="D323" s="18" t="s">
        <v>26</v>
      </c>
      <c r="E323" s="18" t="s">
        <v>26</v>
      </c>
      <c r="F323" s="11"/>
      <c r="G323" s="11"/>
      <c r="H323" s="11"/>
      <c r="I323" s="18" t="s">
        <v>31</v>
      </c>
      <c r="J323" s="18" t="s">
        <v>25</v>
      </c>
      <c r="K323" s="11"/>
      <c r="L323" s="22">
        <v>140</v>
      </c>
      <c r="M323" s="11"/>
      <c r="N323" s="11"/>
      <c r="O323" s="11"/>
      <c r="P323" s="55">
        <v>2.8330000000000002</v>
      </c>
      <c r="Q323" s="25">
        <v>0.2</v>
      </c>
      <c r="R323" s="11"/>
      <c r="S323" s="11"/>
      <c r="T323" s="11"/>
      <c r="U323" s="11">
        <v>0.23100000000000001</v>
      </c>
      <c r="V323" s="11">
        <v>0.2321</v>
      </c>
      <c r="W323" s="11"/>
      <c r="X323" s="64">
        <f t="shared" si="11"/>
        <v>1.0999999999999899E-3</v>
      </c>
      <c r="Y323" s="22"/>
      <c r="Z323" s="60">
        <f t="shared" si="10"/>
        <v>0</v>
      </c>
    </row>
    <row r="324" spans="1:26" x14ac:dyDescent="0.3">
      <c r="A324" s="34">
        <f t="shared" si="12"/>
        <v>321</v>
      </c>
      <c r="B324" s="70" t="s">
        <v>356</v>
      </c>
      <c r="C324" s="19" t="s">
        <v>27</v>
      </c>
      <c r="D324" s="18" t="s">
        <v>26</v>
      </c>
      <c r="E324" s="18" t="s">
        <v>26</v>
      </c>
      <c r="F324" s="11"/>
      <c r="G324" s="11"/>
      <c r="H324" s="11"/>
      <c r="I324" s="18" t="s">
        <v>31</v>
      </c>
      <c r="J324" s="18" t="s">
        <v>25</v>
      </c>
      <c r="K324" s="11"/>
      <c r="L324" s="22">
        <v>150</v>
      </c>
      <c r="M324" s="11"/>
      <c r="N324" s="11"/>
      <c r="O324" s="11"/>
      <c r="P324" s="55">
        <v>2.7509999999999999</v>
      </c>
      <c r="Q324" s="25">
        <v>0.2</v>
      </c>
      <c r="R324" s="11"/>
      <c r="S324" s="11"/>
      <c r="T324" s="11"/>
      <c r="U324" s="11">
        <v>0.2351</v>
      </c>
      <c r="V324" s="11">
        <v>0.2364</v>
      </c>
      <c r="W324" s="11"/>
      <c r="X324" s="64">
        <f t="shared" si="11"/>
        <v>1.2999999999999956E-3</v>
      </c>
      <c r="Y324" s="22"/>
      <c r="Z324" s="60">
        <f t="shared" si="10"/>
        <v>0</v>
      </c>
    </row>
    <row r="325" spans="1:26" x14ac:dyDescent="0.3">
      <c r="A325" s="34">
        <f t="shared" si="12"/>
        <v>322</v>
      </c>
      <c r="B325" s="70" t="s">
        <v>357</v>
      </c>
      <c r="C325" s="19" t="s">
        <v>27</v>
      </c>
      <c r="D325" s="18" t="s">
        <v>26</v>
      </c>
      <c r="E325" s="18" t="s">
        <v>26</v>
      </c>
      <c r="F325" s="11"/>
      <c r="G325" s="11"/>
      <c r="H325" s="11"/>
      <c r="I325" s="18" t="s">
        <v>31</v>
      </c>
      <c r="J325" s="18" t="s">
        <v>25</v>
      </c>
      <c r="K325" s="11"/>
      <c r="L325" s="22">
        <v>160</v>
      </c>
      <c r="M325" s="11"/>
      <c r="N325" s="11"/>
      <c r="O325" s="11"/>
      <c r="P325" s="55">
        <v>2.8889999999999998</v>
      </c>
      <c r="Q325" s="25">
        <v>0.2</v>
      </c>
      <c r="R325" s="11"/>
      <c r="S325" s="11"/>
      <c r="T325" s="11"/>
      <c r="U325" s="11">
        <v>0.2311</v>
      </c>
      <c r="V325" s="11">
        <v>0.2326</v>
      </c>
      <c r="W325" s="11"/>
      <c r="X325" s="64">
        <f t="shared" si="11"/>
        <v>1.5000000000000013E-3</v>
      </c>
      <c r="Y325" s="22"/>
      <c r="Z325" s="60">
        <f t="shared" si="10"/>
        <v>0</v>
      </c>
    </row>
    <row r="326" spans="1:26" x14ac:dyDescent="0.3">
      <c r="A326" s="34">
        <f t="shared" si="12"/>
        <v>323</v>
      </c>
      <c r="B326" s="70" t="s">
        <v>358</v>
      </c>
      <c r="C326" s="19" t="s">
        <v>27</v>
      </c>
      <c r="D326" s="18" t="s">
        <v>26</v>
      </c>
      <c r="E326" s="18" t="s">
        <v>26</v>
      </c>
      <c r="F326" s="11"/>
      <c r="G326" s="11"/>
      <c r="H326" s="11"/>
      <c r="I326" s="18" t="s">
        <v>31</v>
      </c>
      <c r="J326" s="18" t="s">
        <v>25</v>
      </c>
      <c r="K326" s="11"/>
      <c r="L326" s="22">
        <v>150</v>
      </c>
      <c r="M326" s="11"/>
      <c r="N326" s="11"/>
      <c r="O326" s="11"/>
      <c r="P326" s="55">
        <v>3.7759999999999998</v>
      </c>
      <c r="Q326" s="25">
        <v>0.2</v>
      </c>
      <c r="R326" s="11"/>
      <c r="S326" s="11"/>
      <c r="T326" s="11"/>
      <c r="U326" s="11">
        <v>0.2293</v>
      </c>
      <c r="V326" s="11">
        <v>0.2356</v>
      </c>
      <c r="W326" s="11"/>
      <c r="X326" s="64">
        <f t="shared" si="11"/>
        <v>6.3E-3</v>
      </c>
      <c r="Y326" s="22"/>
      <c r="Z326" s="60">
        <f t="shared" ref="Z326:Z389" si="13">Y326/(L326/1000)</f>
        <v>0</v>
      </c>
    </row>
    <row r="327" spans="1:26" x14ac:dyDescent="0.3">
      <c r="A327" s="34">
        <f t="shared" si="12"/>
        <v>324</v>
      </c>
      <c r="B327" s="70" t="s">
        <v>359</v>
      </c>
      <c r="C327" s="19" t="s">
        <v>27</v>
      </c>
      <c r="D327" s="18" t="s">
        <v>26</v>
      </c>
      <c r="E327" s="18" t="s">
        <v>26</v>
      </c>
      <c r="F327" s="11"/>
      <c r="G327" s="11"/>
      <c r="H327" s="11"/>
      <c r="I327" s="18" t="s">
        <v>31</v>
      </c>
      <c r="J327" s="18" t="s">
        <v>25</v>
      </c>
      <c r="K327" s="11"/>
      <c r="L327" s="22">
        <v>155</v>
      </c>
      <c r="M327" s="11"/>
      <c r="N327" s="11"/>
      <c r="O327" s="11"/>
      <c r="P327" s="55">
        <v>3.4470000000000001</v>
      </c>
      <c r="Q327" s="25">
        <v>0.2</v>
      </c>
      <c r="R327" s="11"/>
      <c r="S327" s="11"/>
      <c r="T327" s="11"/>
      <c r="U327" s="11">
        <v>0.2301</v>
      </c>
      <c r="V327" s="11">
        <v>0.23280000000000001</v>
      </c>
      <c r="W327" s="11"/>
      <c r="X327" s="64">
        <f t="shared" si="11"/>
        <v>2.7000000000000079E-3</v>
      </c>
      <c r="Y327" s="22"/>
      <c r="Z327" s="60">
        <f t="shared" si="13"/>
        <v>0</v>
      </c>
    </row>
    <row r="328" spans="1:26" x14ac:dyDescent="0.3">
      <c r="A328" s="34">
        <f t="shared" si="12"/>
        <v>325</v>
      </c>
      <c r="B328" s="70" t="s">
        <v>360</v>
      </c>
      <c r="C328" s="19" t="s">
        <v>27</v>
      </c>
      <c r="D328" s="18" t="s">
        <v>26</v>
      </c>
      <c r="E328" s="18" t="s">
        <v>26</v>
      </c>
      <c r="F328" s="11"/>
      <c r="G328" s="11"/>
      <c r="H328" s="11"/>
      <c r="I328" s="18" t="s">
        <v>31</v>
      </c>
      <c r="J328" s="18" t="s">
        <v>25</v>
      </c>
      <c r="K328" s="11"/>
      <c r="L328" s="22">
        <v>150</v>
      </c>
      <c r="M328" s="11"/>
      <c r="N328" s="11"/>
      <c r="O328" s="11"/>
      <c r="P328" s="55">
        <v>3.1629999999999998</v>
      </c>
      <c r="Q328" s="25">
        <v>0.2</v>
      </c>
      <c r="R328" s="11"/>
      <c r="S328" s="11"/>
      <c r="T328" s="11"/>
      <c r="U328" s="11">
        <v>0.2205</v>
      </c>
      <c r="V328" s="11">
        <v>0.2215</v>
      </c>
      <c r="W328" s="11"/>
      <c r="X328" s="64">
        <f t="shared" si="11"/>
        <v>1.0000000000000009E-3</v>
      </c>
      <c r="Y328" s="22"/>
      <c r="Z328" s="60">
        <f t="shared" si="13"/>
        <v>0</v>
      </c>
    </row>
    <row r="329" spans="1:26" x14ac:dyDescent="0.3">
      <c r="A329" s="34">
        <f t="shared" si="12"/>
        <v>326</v>
      </c>
      <c r="B329" s="70" t="s">
        <v>361</v>
      </c>
      <c r="C329" s="19" t="s">
        <v>27</v>
      </c>
      <c r="D329" s="18" t="s">
        <v>26</v>
      </c>
      <c r="E329" s="18" t="s">
        <v>26</v>
      </c>
      <c r="F329" s="11"/>
      <c r="G329" s="11"/>
      <c r="H329" s="11"/>
      <c r="I329" s="18" t="s">
        <v>31</v>
      </c>
      <c r="J329" s="18" t="s">
        <v>25</v>
      </c>
      <c r="K329" s="11"/>
      <c r="L329" s="22">
        <v>160</v>
      </c>
      <c r="M329" s="11"/>
      <c r="N329" s="11"/>
      <c r="O329" s="11"/>
      <c r="P329" s="55">
        <v>2.9590000000000001</v>
      </c>
      <c r="Q329" s="25">
        <v>0.2</v>
      </c>
      <c r="R329" s="11"/>
      <c r="S329" s="11"/>
      <c r="T329" s="11"/>
      <c r="U329" s="11">
        <v>0.2316</v>
      </c>
      <c r="V329" s="11">
        <v>0.23200000000000001</v>
      </c>
      <c r="W329" s="11"/>
      <c r="X329" s="64">
        <f t="shared" si="11"/>
        <v>4.0000000000001146E-4</v>
      </c>
      <c r="Y329" s="22"/>
      <c r="Z329" s="60">
        <f t="shared" si="13"/>
        <v>0</v>
      </c>
    </row>
    <row r="330" spans="1:26" x14ac:dyDescent="0.3">
      <c r="A330" s="34">
        <f t="shared" si="12"/>
        <v>327</v>
      </c>
      <c r="B330" s="70" t="s">
        <v>362</v>
      </c>
      <c r="C330" s="19" t="s">
        <v>27</v>
      </c>
      <c r="D330" s="18" t="s">
        <v>26</v>
      </c>
      <c r="E330" s="18" t="s">
        <v>26</v>
      </c>
      <c r="F330" s="11"/>
      <c r="G330" s="11"/>
      <c r="H330" s="11"/>
      <c r="I330" s="18" t="s">
        <v>31</v>
      </c>
      <c r="J330" s="18" t="s">
        <v>25</v>
      </c>
      <c r="K330" s="11"/>
      <c r="L330" s="22">
        <v>150</v>
      </c>
      <c r="M330" s="11"/>
      <c r="N330" s="11"/>
      <c r="O330" s="11"/>
      <c r="P330" s="55">
        <v>3.1480000000000001</v>
      </c>
      <c r="Q330" s="25">
        <v>0.2</v>
      </c>
      <c r="R330" s="11"/>
      <c r="S330" s="11"/>
      <c r="T330" s="11"/>
      <c r="U330" s="11">
        <v>0.23319999999999999</v>
      </c>
      <c r="V330" s="11">
        <v>0.2341</v>
      </c>
      <c r="W330" s="11"/>
      <c r="X330" s="64">
        <f t="shared" si="11"/>
        <v>9.000000000000119E-4</v>
      </c>
      <c r="Y330" s="22"/>
      <c r="Z330" s="60">
        <f t="shared" si="13"/>
        <v>0</v>
      </c>
    </row>
    <row r="331" spans="1:26" x14ac:dyDescent="0.3">
      <c r="A331" s="34">
        <f t="shared" si="12"/>
        <v>328</v>
      </c>
      <c r="B331" s="99" t="s">
        <v>385</v>
      </c>
      <c r="C331" s="100" t="s">
        <v>27</v>
      </c>
      <c r="D331" s="101" t="s">
        <v>26</v>
      </c>
      <c r="E331" s="101" t="s">
        <v>26</v>
      </c>
      <c r="F331" s="102"/>
      <c r="G331" s="102"/>
      <c r="H331" s="102"/>
      <c r="I331" s="101" t="s">
        <v>31</v>
      </c>
      <c r="J331" s="101" t="s">
        <v>25</v>
      </c>
      <c r="K331" s="102"/>
      <c r="L331" s="103">
        <v>150</v>
      </c>
      <c r="M331" s="102"/>
      <c r="N331" s="102"/>
      <c r="O331" s="102"/>
      <c r="P331" s="105">
        <v>3.9550000000000001</v>
      </c>
      <c r="Q331" s="106">
        <v>0.2</v>
      </c>
      <c r="R331" s="102"/>
      <c r="S331" s="102"/>
      <c r="T331" s="102"/>
      <c r="U331" s="102">
        <v>0.23849999999999999</v>
      </c>
      <c r="V331" s="102">
        <v>0.24149999999999999</v>
      </c>
      <c r="W331" s="102"/>
      <c r="X331" s="102">
        <f t="shared" si="11"/>
        <v>3.0000000000000027E-3</v>
      </c>
      <c r="Y331" s="103"/>
      <c r="Z331" s="107">
        <f t="shared" si="13"/>
        <v>0</v>
      </c>
    </row>
    <row r="332" spans="1:26" x14ac:dyDescent="0.3">
      <c r="A332" s="34">
        <f t="shared" si="12"/>
        <v>329</v>
      </c>
      <c r="B332" s="99" t="s">
        <v>386</v>
      </c>
      <c r="C332" s="100" t="s">
        <v>27</v>
      </c>
      <c r="D332" s="101" t="s">
        <v>26</v>
      </c>
      <c r="E332" s="101" t="s">
        <v>26</v>
      </c>
      <c r="F332" s="102"/>
      <c r="G332" s="102"/>
      <c r="H332" s="102"/>
      <c r="I332" s="101" t="s">
        <v>31</v>
      </c>
      <c r="J332" s="101" t="s">
        <v>25</v>
      </c>
      <c r="K332" s="102"/>
      <c r="L332" s="103">
        <v>160</v>
      </c>
      <c r="M332" s="102"/>
      <c r="N332" s="102"/>
      <c r="O332" s="102"/>
      <c r="P332" s="105">
        <v>3.2229999999999999</v>
      </c>
      <c r="Q332" s="106">
        <v>0.2</v>
      </c>
      <c r="R332" s="102"/>
      <c r="S332" s="102"/>
      <c r="T332" s="102"/>
      <c r="U332" s="102">
        <v>0.24010000000000001</v>
      </c>
      <c r="V332" s="102">
        <v>0.2417</v>
      </c>
      <c r="W332" s="102"/>
      <c r="X332" s="102">
        <f t="shared" si="11"/>
        <v>1.5999999999999903E-3</v>
      </c>
      <c r="Y332" s="103"/>
      <c r="Z332" s="107">
        <f t="shared" si="13"/>
        <v>0</v>
      </c>
    </row>
    <row r="333" spans="1:26" x14ac:dyDescent="0.3">
      <c r="A333" s="34">
        <f t="shared" si="12"/>
        <v>330</v>
      </c>
      <c r="B333" s="99" t="s">
        <v>387</v>
      </c>
      <c r="C333" s="100" t="s">
        <v>27</v>
      </c>
      <c r="D333" s="101" t="s">
        <v>26</v>
      </c>
      <c r="E333" s="101" t="s">
        <v>26</v>
      </c>
      <c r="F333" s="102"/>
      <c r="G333" s="102"/>
      <c r="H333" s="102"/>
      <c r="I333" s="101" t="s">
        <v>31</v>
      </c>
      <c r="J333" s="101" t="s">
        <v>25</v>
      </c>
      <c r="K333" s="102"/>
      <c r="L333" s="103">
        <v>160</v>
      </c>
      <c r="M333" s="102"/>
      <c r="N333" s="102"/>
      <c r="O333" s="102"/>
      <c r="P333" s="105">
        <v>3.044</v>
      </c>
      <c r="Q333" s="106">
        <v>0.2</v>
      </c>
      <c r="R333" s="102"/>
      <c r="S333" s="102"/>
      <c r="T333" s="102"/>
      <c r="U333" s="102">
        <v>0.2366</v>
      </c>
      <c r="V333" s="102">
        <v>0.23649999999999999</v>
      </c>
      <c r="W333" s="102"/>
      <c r="X333" s="102">
        <f t="shared" si="11"/>
        <v>-1.0000000000001674E-4</v>
      </c>
      <c r="Y333" s="103"/>
      <c r="Z333" s="107">
        <f t="shared" si="13"/>
        <v>0</v>
      </c>
    </row>
    <row r="334" spans="1:26" x14ac:dyDescent="0.3">
      <c r="A334" s="34">
        <f t="shared" si="12"/>
        <v>331</v>
      </c>
      <c r="B334" s="99" t="s">
        <v>388</v>
      </c>
      <c r="C334" s="100" t="s">
        <v>27</v>
      </c>
      <c r="D334" s="101" t="s">
        <v>26</v>
      </c>
      <c r="E334" s="101" t="s">
        <v>26</v>
      </c>
      <c r="F334" s="102"/>
      <c r="G334" s="102"/>
      <c r="H334" s="102"/>
      <c r="I334" s="101" t="s">
        <v>31</v>
      </c>
      <c r="J334" s="101" t="s">
        <v>25</v>
      </c>
      <c r="K334" s="102"/>
      <c r="L334" s="103">
        <v>160</v>
      </c>
      <c r="M334" s="102"/>
      <c r="N334" s="102"/>
      <c r="O334" s="102"/>
      <c r="P334" s="105">
        <v>3.4780000000000002</v>
      </c>
      <c r="Q334" s="106">
        <v>0.2</v>
      </c>
      <c r="R334" s="102"/>
      <c r="S334" s="102"/>
      <c r="T334" s="102"/>
      <c r="U334" s="102">
        <v>0.2344</v>
      </c>
      <c r="V334" s="102">
        <v>0.2351</v>
      </c>
      <c r="W334" s="102"/>
      <c r="X334" s="102">
        <f t="shared" si="11"/>
        <v>7.0000000000000617E-4</v>
      </c>
      <c r="Y334" s="103"/>
      <c r="Z334" s="107">
        <f t="shared" si="13"/>
        <v>0</v>
      </c>
    </row>
    <row r="335" spans="1:26" x14ac:dyDescent="0.3">
      <c r="A335" s="34">
        <f t="shared" si="12"/>
        <v>332</v>
      </c>
      <c r="B335" s="99" t="s">
        <v>389</v>
      </c>
      <c r="C335" s="100" t="s">
        <v>27</v>
      </c>
      <c r="D335" s="101" t="s">
        <v>26</v>
      </c>
      <c r="E335" s="101" t="s">
        <v>26</v>
      </c>
      <c r="F335" s="102"/>
      <c r="G335" s="102"/>
      <c r="H335" s="102"/>
      <c r="I335" s="101" t="s">
        <v>31</v>
      </c>
      <c r="J335" s="101" t="s">
        <v>25</v>
      </c>
      <c r="K335" s="102"/>
      <c r="L335" s="103">
        <v>150</v>
      </c>
      <c r="M335" s="102"/>
      <c r="N335" s="102"/>
      <c r="O335" s="102"/>
      <c r="P335" s="105">
        <v>3.1890000000000001</v>
      </c>
      <c r="Q335" s="106">
        <v>0.2</v>
      </c>
      <c r="R335" s="102"/>
      <c r="S335" s="102"/>
      <c r="T335" s="102"/>
      <c r="U335" s="102">
        <v>0.23019999999999999</v>
      </c>
      <c r="V335" s="102">
        <v>0.23069999999999999</v>
      </c>
      <c r="W335" s="102"/>
      <c r="X335" s="102">
        <f t="shared" si="11"/>
        <v>5.0000000000000044E-4</v>
      </c>
      <c r="Y335" s="103"/>
      <c r="Z335" s="107">
        <f t="shared" si="13"/>
        <v>0</v>
      </c>
    </row>
    <row r="336" spans="1:26" x14ac:dyDescent="0.3">
      <c r="A336" s="34">
        <f t="shared" si="12"/>
        <v>333</v>
      </c>
      <c r="B336" s="99" t="s">
        <v>390</v>
      </c>
      <c r="C336" s="100" t="s">
        <v>27</v>
      </c>
      <c r="D336" s="101" t="s">
        <v>26</v>
      </c>
      <c r="E336" s="101" t="s">
        <v>26</v>
      </c>
      <c r="F336" s="102"/>
      <c r="G336" s="102"/>
      <c r="H336" s="102"/>
      <c r="I336" s="101" t="s">
        <v>31</v>
      </c>
      <c r="J336" s="101" t="s">
        <v>25</v>
      </c>
      <c r="K336" s="102"/>
      <c r="L336" s="103">
        <v>140</v>
      </c>
      <c r="M336" s="102"/>
      <c r="N336" s="102"/>
      <c r="O336" s="102"/>
      <c r="P336" s="105">
        <v>2.7290000000000001</v>
      </c>
      <c r="Q336" s="106">
        <v>0.2</v>
      </c>
      <c r="R336" s="102"/>
      <c r="S336" s="102"/>
      <c r="T336" s="102"/>
      <c r="U336" s="102">
        <v>0.22739999999999999</v>
      </c>
      <c r="V336" s="102">
        <v>0.2281</v>
      </c>
      <c r="W336" s="102"/>
      <c r="X336" s="102">
        <f t="shared" si="11"/>
        <v>7.0000000000000617E-4</v>
      </c>
      <c r="Y336" s="103"/>
      <c r="Z336" s="107">
        <f t="shared" si="13"/>
        <v>0</v>
      </c>
    </row>
    <row r="337" spans="1:26" x14ac:dyDescent="0.3">
      <c r="A337" s="34">
        <f t="shared" si="12"/>
        <v>334</v>
      </c>
      <c r="B337" s="99" t="s">
        <v>363</v>
      </c>
      <c r="C337" s="100" t="s">
        <v>27</v>
      </c>
      <c r="D337" s="101" t="s">
        <v>26</v>
      </c>
      <c r="E337" s="101" t="s">
        <v>26</v>
      </c>
      <c r="F337" s="102"/>
      <c r="G337" s="102"/>
      <c r="H337" s="102"/>
      <c r="I337" s="101" t="s">
        <v>31</v>
      </c>
      <c r="J337" s="101" t="s">
        <v>25</v>
      </c>
      <c r="K337" s="102"/>
      <c r="L337" s="103">
        <v>150</v>
      </c>
      <c r="M337" s="102"/>
      <c r="N337" s="102"/>
      <c r="O337" s="102"/>
      <c r="P337" s="105">
        <v>3.419</v>
      </c>
      <c r="Q337" s="106">
        <v>0.2</v>
      </c>
      <c r="R337" s="102"/>
      <c r="S337" s="102"/>
      <c r="T337" s="102"/>
      <c r="U337" s="102">
        <v>0.23150000000000001</v>
      </c>
      <c r="V337" s="102">
        <v>0.2331</v>
      </c>
      <c r="W337" s="102"/>
      <c r="X337" s="102">
        <f t="shared" si="11"/>
        <v>1.5999999999999903E-3</v>
      </c>
      <c r="Y337" s="103"/>
      <c r="Z337" s="107">
        <f t="shared" si="13"/>
        <v>0</v>
      </c>
    </row>
    <row r="338" spans="1:26" x14ac:dyDescent="0.3">
      <c r="A338" s="34">
        <f t="shared" si="12"/>
        <v>335</v>
      </c>
      <c r="B338" s="99" t="s">
        <v>364</v>
      </c>
      <c r="C338" s="100" t="s">
        <v>27</v>
      </c>
      <c r="D338" s="101" t="s">
        <v>26</v>
      </c>
      <c r="E338" s="101" t="s">
        <v>26</v>
      </c>
      <c r="F338" s="102"/>
      <c r="G338" s="102"/>
      <c r="H338" s="102"/>
      <c r="I338" s="101" t="s">
        <v>31</v>
      </c>
      <c r="J338" s="101" t="s">
        <v>25</v>
      </c>
      <c r="K338" s="102"/>
      <c r="L338" s="103">
        <v>160</v>
      </c>
      <c r="M338" s="102"/>
      <c r="N338" s="102"/>
      <c r="O338" s="102"/>
      <c r="P338" s="105">
        <v>4.0039999999999996</v>
      </c>
      <c r="Q338" s="106">
        <v>0.2</v>
      </c>
      <c r="R338" s="102"/>
      <c r="S338" s="102"/>
      <c r="T338" s="102"/>
      <c r="U338" s="102">
        <v>0.23280000000000001</v>
      </c>
      <c r="V338" s="102">
        <v>0.23669999999999999</v>
      </c>
      <c r="W338" s="102"/>
      <c r="X338" s="102">
        <f t="shared" si="11"/>
        <v>3.8999999999999868E-3</v>
      </c>
      <c r="Y338" s="103"/>
      <c r="Z338" s="107">
        <f t="shared" si="13"/>
        <v>0</v>
      </c>
    </row>
    <row r="339" spans="1:26" x14ac:dyDescent="0.3">
      <c r="A339" s="34">
        <f t="shared" si="12"/>
        <v>336</v>
      </c>
      <c r="B339" s="99" t="s">
        <v>365</v>
      </c>
      <c r="C339" s="100" t="s">
        <v>27</v>
      </c>
      <c r="D339" s="101" t="s">
        <v>26</v>
      </c>
      <c r="E339" s="101" t="s">
        <v>26</v>
      </c>
      <c r="F339" s="102"/>
      <c r="G339" s="102"/>
      <c r="H339" s="102"/>
      <c r="I339" s="101" t="s">
        <v>31</v>
      </c>
      <c r="J339" s="101" t="s">
        <v>25</v>
      </c>
      <c r="K339" s="102"/>
      <c r="L339" s="103">
        <v>160</v>
      </c>
      <c r="M339" s="102"/>
      <c r="N339" s="102"/>
      <c r="O339" s="102"/>
      <c r="P339" s="105">
        <v>2.944</v>
      </c>
      <c r="Q339" s="106">
        <v>0.2</v>
      </c>
      <c r="R339" s="102"/>
      <c r="S339" s="102"/>
      <c r="T339" s="102"/>
      <c r="U339" s="102">
        <v>0.2341</v>
      </c>
      <c r="V339" s="102">
        <v>0.23499999999999999</v>
      </c>
      <c r="W339" s="102"/>
      <c r="X339" s="102">
        <f t="shared" si="11"/>
        <v>8.9999999999998415E-4</v>
      </c>
      <c r="Y339" s="103"/>
      <c r="Z339" s="107">
        <f t="shared" si="13"/>
        <v>0</v>
      </c>
    </row>
    <row r="340" spans="1:26" x14ac:dyDescent="0.3">
      <c r="A340" s="34">
        <f t="shared" si="12"/>
        <v>337</v>
      </c>
      <c r="B340" s="99" t="s">
        <v>366</v>
      </c>
      <c r="C340" s="100" t="s">
        <v>27</v>
      </c>
      <c r="D340" s="101" t="s">
        <v>26</v>
      </c>
      <c r="E340" s="101" t="s">
        <v>26</v>
      </c>
      <c r="F340" s="102"/>
      <c r="G340" s="102"/>
      <c r="H340" s="102"/>
      <c r="I340" s="101" t="s">
        <v>31</v>
      </c>
      <c r="J340" s="101" t="s">
        <v>25</v>
      </c>
      <c r="K340" s="102"/>
      <c r="L340" s="103">
        <v>155</v>
      </c>
      <c r="M340" s="102"/>
      <c r="N340" s="102"/>
      <c r="O340" s="102"/>
      <c r="P340" s="105">
        <v>3.504</v>
      </c>
      <c r="Q340" s="106">
        <v>0.2</v>
      </c>
      <c r="R340" s="102"/>
      <c r="S340" s="102"/>
      <c r="T340" s="102"/>
      <c r="U340" s="102">
        <v>0.222</v>
      </c>
      <c r="V340" s="102">
        <v>0.22220000000000001</v>
      </c>
      <c r="W340" s="102"/>
      <c r="X340" s="102">
        <f t="shared" si="11"/>
        <v>2.0000000000000573E-4</v>
      </c>
      <c r="Y340" s="103"/>
      <c r="Z340" s="107">
        <f t="shared" si="13"/>
        <v>0</v>
      </c>
    </row>
    <row r="341" spans="1:26" x14ac:dyDescent="0.3">
      <c r="A341" s="43">
        <f t="shared" si="12"/>
        <v>338</v>
      </c>
      <c r="B341" s="99" t="s">
        <v>367</v>
      </c>
      <c r="C341" s="100" t="s">
        <v>27</v>
      </c>
      <c r="D341" s="101" t="s">
        <v>26</v>
      </c>
      <c r="E341" s="101" t="s">
        <v>26</v>
      </c>
      <c r="F341" s="102"/>
      <c r="G341" s="102"/>
      <c r="H341" s="102"/>
      <c r="I341" s="101" t="s">
        <v>31</v>
      </c>
      <c r="J341" s="101" t="s">
        <v>25</v>
      </c>
      <c r="K341" s="102"/>
      <c r="L341" s="103">
        <v>140</v>
      </c>
      <c r="M341" s="102"/>
      <c r="N341" s="102"/>
      <c r="O341" s="102"/>
      <c r="P341" s="105">
        <v>3.5750000000000002</v>
      </c>
      <c r="Q341" s="106">
        <v>0.2</v>
      </c>
      <c r="R341" s="102"/>
      <c r="S341" s="102"/>
      <c r="T341" s="102"/>
      <c r="U341" s="102">
        <v>0.23089999999999999</v>
      </c>
      <c r="V341" s="102">
        <v>0.23100000000000001</v>
      </c>
      <c r="W341" s="102"/>
      <c r="X341" s="102">
        <f t="shared" si="11"/>
        <v>1.0000000000001674E-4</v>
      </c>
      <c r="Y341" s="108">
        <v>1.17180656445E-2</v>
      </c>
      <c r="Z341" s="107">
        <f t="shared" si="13"/>
        <v>8.3700468889285701E-2</v>
      </c>
    </row>
    <row r="342" spans="1:26" x14ac:dyDescent="0.3">
      <c r="A342" s="43">
        <f t="shared" si="12"/>
        <v>339</v>
      </c>
      <c r="B342" s="99" t="s">
        <v>336</v>
      </c>
      <c r="C342" s="100" t="s">
        <v>27</v>
      </c>
      <c r="D342" s="101" t="s">
        <v>26</v>
      </c>
      <c r="E342" s="101" t="s">
        <v>26</v>
      </c>
      <c r="F342" s="102"/>
      <c r="G342" s="102"/>
      <c r="H342" s="102"/>
      <c r="I342" s="101" t="s">
        <v>31</v>
      </c>
      <c r="J342" s="101" t="s">
        <v>25</v>
      </c>
      <c r="K342" s="102"/>
      <c r="L342" s="103">
        <v>140</v>
      </c>
      <c r="M342" s="102"/>
      <c r="N342" s="102"/>
      <c r="O342" s="102"/>
      <c r="P342" s="105">
        <v>3.2189999999999999</v>
      </c>
      <c r="Q342" s="106">
        <v>0.2</v>
      </c>
      <c r="R342" s="102"/>
      <c r="S342" s="102"/>
      <c r="T342" s="102"/>
      <c r="U342" s="102">
        <v>0.23549999999999999</v>
      </c>
      <c r="V342" s="102">
        <v>0.23469999999999999</v>
      </c>
      <c r="W342" s="102"/>
      <c r="X342" s="102">
        <f t="shared" si="11"/>
        <v>-7.9999999999999516E-4</v>
      </c>
      <c r="Y342" s="108">
        <v>8.6452595395000009E-3</v>
      </c>
      <c r="Z342" s="107">
        <f t="shared" si="13"/>
        <v>6.1751853853571431E-2</v>
      </c>
    </row>
    <row r="343" spans="1:26" x14ac:dyDescent="0.3">
      <c r="A343" s="34">
        <f t="shared" si="12"/>
        <v>340</v>
      </c>
      <c r="B343" s="99" t="s">
        <v>368</v>
      </c>
      <c r="C343" s="100" t="s">
        <v>27</v>
      </c>
      <c r="D343" s="101" t="s">
        <v>26</v>
      </c>
      <c r="E343" s="101" t="s">
        <v>26</v>
      </c>
      <c r="F343" s="102"/>
      <c r="G343" s="102"/>
      <c r="H343" s="102"/>
      <c r="I343" s="101" t="s">
        <v>31</v>
      </c>
      <c r="J343" s="101" t="s">
        <v>25</v>
      </c>
      <c r="K343" s="102"/>
      <c r="L343" s="103">
        <v>140</v>
      </c>
      <c r="M343" s="102"/>
      <c r="N343" s="102"/>
      <c r="O343" s="102"/>
      <c r="P343" s="105">
        <v>2.7109999999999999</v>
      </c>
      <c r="Q343" s="106">
        <v>0.2</v>
      </c>
      <c r="R343" s="102"/>
      <c r="S343" s="102"/>
      <c r="T343" s="102"/>
      <c r="U343" s="102">
        <v>0.23580000000000001</v>
      </c>
      <c r="V343" s="102">
        <v>0.2361</v>
      </c>
      <c r="W343" s="102"/>
      <c r="X343" s="102">
        <f t="shared" si="11"/>
        <v>2.9999999999999472E-4</v>
      </c>
      <c r="Y343" s="103"/>
      <c r="Z343" s="107">
        <f t="shared" si="13"/>
        <v>0</v>
      </c>
    </row>
    <row r="344" spans="1:26" x14ac:dyDescent="0.3">
      <c r="A344" s="43">
        <f t="shared" si="12"/>
        <v>341</v>
      </c>
      <c r="B344" s="99" t="s">
        <v>369</v>
      </c>
      <c r="C344" s="100" t="s">
        <v>27</v>
      </c>
      <c r="D344" s="101" t="s">
        <v>26</v>
      </c>
      <c r="E344" s="101" t="s">
        <v>26</v>
      </c>
      <c r="F344" s="102"/>
      <c r="G344" s="102"/>
      <c r="H344" s="102"/>
      <c r="I344" s="101" t="s">
        <v>31</v>
      </c>
      <c r="J344" s="101" t="s">
        <v>25</v>
      </c>
      <c r="K344" s="102"/>
      <c r="L344" s="103">
        <v>150</v>
      </c>
      <c r="M344" s="102"/>
      <c r="N344" s="102"/>
      <c r="O344" s="102"/>
      <c r="P344" s="105">
        <v>2.7170000000000001</v>
      </c>
      <c r="Q344" s="106">
        <v>0.2</v>
      </c>
      <c r="R344" s="102"/>
      <c r="S344" s="102"/>
      <c r="T344" s="102"/>
      <c r="U344" s="102">
        <v>0.2329</v>
      </c>
      <c r="V344" s="102">
        <v>0.23300000000000001</v>
      </c>
      <c r="W344" s="102"/>
      <c r="X344" s="102">
        <f t="shared" si="11"/>
        <v>1.0000000000001674E-4</v>
      </c>
      <c r="Y344" s="108">
        <v>7.4314243210000007E-3</v>
      </c>
      <c r="Z344" s="107">
        <f t="shared" si="13"/>
        <v>4.9542828806666675E-2</v>
      </c>
    </row>
    <row r="345" spans="1:26" x14ac:dyDescent="0.3">
      <c r="A345" s="43">
        <f t="shared" si="12"/>
        <v>342</v>
      </c>
      <c r="B345" s="99" t="s">
        <v>370</v>
      </c>
      <c r="C345" s="100" t="s">
        <v>27</v>
      </c>
      <c r="D345" s="101" t="s">
        <v>26</v>
      </c>
      <c r="E345" s="101" t="s">
        <v>26</v>
      </c>
      <c r="F345" s="102"/>
      <c r="G345" s="102"/>
      <c r="H345" s="102"/>
      <c r="I345" s="101" t="s">
        <v>31</v>
      </c>
      <c r="J345" s="101" t="s">
        <v>25</v>
      </c>
      <c r="K345" s="102"/>
      <c r="L345" s="103" t="s">
        <v>197</v>
      </c>
      <c r="M345" s="102"/>
      <c r="N345" s="102"/>
      <c r="O345" s="102"/>
      <c r="P345" s="105">
        <v>3.8330000000000002</v>
      </c>
      <c r="Q345" s="106">
        <v>0.2</v>
      </c>
      <c r="R345" s="102"/>
      <c r="S345" s="102"/>
      <c r="T345" s="102"/>
      <c r="U345" s="102">
        <v>0.23180000000000001</v>
      </c>
      <c r="V345" s="102">
        <v>0.23319999999999999</v>
      </c>
      <c r="W345" s="102"/>
      <c r="X345" s="102">
        <f t="shared" si="11"/>
        <v>1.3999999999999846E-3</v>
      </c>
      <c r="Y345" s="108">
        <v>9.3669671855000011E-3</v>
      </c>
      <c r="Z345" s="107" t="e">
        <f t="shared" si="13"/>
        <v>#VALUE!</v>
      </c>
    </row>
    <row r="346" spans="1:26" x14ac:dyDescent="0.3">
      <c r="A346" s="43">
        <f t="shared" si="12"/>
        <v>343</v>
      </c>
      <c r="B346" s="71" t="s">
        <v>371</v>
      </c>
      <c r="C346" s="19" t="s">
        <v>27</v>
      </c>
      <c r="D346" s="18" t="s">
        <v>26</v>
      </c>
      <c r="E346" s="18" t="s">
        <v>26</v>
      </c>
      <c r="F346" s="11"/>
      <c r="G346" s="11"/>
      <c r="H346" s="11"/>
      <c r="I346" s="18" t="s">
        <v>31</v>
      </c>
      <c r="J346" s="18" t="s">
        <v>25</v>
      </c>
      <c r="K346" s="11"/>
      <c r="L346" s="22">
        <v>140</v>
      </c>
      <c r="M346" s="11"/>
      <c r="N346" s="11"/>
      <c r="O346" s="11"/>
      <c r="P346" s="55">
        <v>3.5409999999999999</v>
      </c>
      <c r="Q346" s="25">
        <v>0.2</v>
      </c>
      <c r="R346" s="11"/>
      <c r="S346" s="11"/>
      <c r="T346" s="11"/>
      <c r="U346" s="11">
        <v>0.23400000000000001</v>
      </c>
      <c r="V346" s="11">
        <v>0.23710000000000001</v>
      </c>
      <c r="W346" s="11"/>
      <c r="X346" s="64"/>
      <c r="Y346" s="48">
        <v>1.1708204506E-2</v>
      </c>
      <c r="Z346" s="60">
        <f t="shared" si="13"/>
        <v>8.3630032185714284E-2</v>
      </c>
    </row>
    <row r="347" spans="1:26" x14ac:dyDescent="0.3">
      <c r="A347" s="34">
        <f t="shared" si="12"/>
        <v>344</v>
      </c>
      <c r="B347" s="70" t="s">
        <v>372</v>
      </c>
      <c r="C347" s="19" t="s">
        <v>27</v>
      </c>
      <c r="D347" s="18" t="s">
        <v>26</v>
      </c>
      <c r="E347" s="18" t="s">
        <v>26</v>
      </c>
      <c r="F347" s="11"/>
      <c r="G347" s="11"/>
      <c r="H347" s="11"/>
      <c r="I347" s="18" t="s">
        <v>31</v>
      </c>
      <c r="J347" s="18" t="s">
        <v>25</v>
      </c>
      <c r="K347" s="11"/>
      <c r="L347" s="22">
        <v>150</v>
      </c>
      <c r="M347" s="11"/>
      <c r="N347" s="11"/>
      <c r="O347" s="11"/>
      <c r="P347" s="55">
        <v>3.0760000000000001</v>
      </c>
      <c r="Q347" s="25">
        <v>0.2</v>
      </c>
      <c r="R347" s="11"/>
      <c r="S347" s="11"/>
      <c r="T347" s="11"/>
      <c r="U347" s="11">
        <v>0.23649999999999999</v>
      </c>
      <c r="V347" s="11">
        <v>0.23799999999999999</v>
      </c>
      <c r="W347" s="11"/>
      <c r="X347" s="64"/>
      <c r="Y347" s="22"/>
      <c r="Z347" s="60">
        <f t="shared" si="13"/>
        <v>0</v>
      </c>
    </row>
    <row r="348" spans="1:26" x14ac:dyDescent="0.3">
      <c r="A348" s="34">
        <f t="shared" si="12"/>
        <v>345</v>
      </c>
      <c r="B348" s="70" t="s">
        <v>373</v>
      </c>
      <c r="C348" s="19" t="s">
        <v>27</v>
      </c>
      <c r="D348" s="18" t="s">
        <v>26</v>
      </c>
      <c r="E348" s="18" t="s">
        <v>26</v>
      </c>
      <c r="F348" s="11"/>
      <c r="G348" s="11"/>
      <c r="H348" s="11"/>
      <c r="I348" s="18" t="s">
        <v>31</v>
      </c>
      <c r="J348" s="18" t="s">
        <v>25</v>
      </c>
      <c r="K348" s="11"/>
      <c r="L348" s="22">
        <v>140</v>
      </c>
      <c r="M348" s="11"/>
      <c r="N348" s="11"/>
      <c r="O348" s="11"/>
      <c r="P348" s="55">
        <v>2.8559999999999999</v>
      </c>
      <c r="Q348" s="25">
        <v>0.2</v>
      </c>
      <c r="R348" s="11"/>
      <c r="S348" s="11"/>
      <c r="T348" s="11"/>
      <c r="U348" s="11">
        <v>0.23080000000000001</v>
      </c>
      <c r="V348" s="11">
        <v>0.23169999999999999</v>
      </c>
      <c r="W348" s="11"/>
      <c r="X348" s="64"/>
      <c r="Y348" s="22"/>
      <c r="Z348" s="60">
        <f t="shared" si="13"/>
        <v>0</v>
      </c>
    </row>
    <row r="349" spans="1:26" x14ac:dyDescent="0.3">
      <c r="A349" s="34">
        <f t="shared" si="12"/>
        <v>346</v>
      </c>
      <c r="B349" s="70" t="s">
        <v>374</v>
      </c>
      <c r="C349" s="19" t="s">
        <v>27</v>
      </c>
      <c r="D349" s="18" t="s">
        <v>26</v>
      </c>
      <c r="E349" s="18" t="s">
        <v>26</v>
      </c>
      <c r="F349" s="11"/>
      <c r="G349" s="11"/>
      <c r="H349" s="11"/>
      <c r="I349" s="18" t="s">
        <v>31</v>
      </c>
      <c r="J349" s="18" t="s">
        <v>25</v>
      </c>
      <c r="K349" s="11"/>
      <c r="L349" s="22">
        <v>150</v>
      </c>
      <c r="M349" s="11"/>
      <c r="N349" s="11"/>
      <c r="O349" s="11"/>
      <c r="P349" s="55">
        <v>2.9209999999999998</v>
      </c>
      <c r="Q349" s="25">
        <v>0.2</v>
      </c>
      <c r="R349" s="11"/>
      <c r="S349" s="11"/>
      <c r="T349" s="11"/>
      <c r="U349" s="11">
        <v>0.23319999999999999</v>
      </c>
      <c r="V349" s="11">
        <v>0.2359</v>
      </c>
      <c r="W349" s="11"/>
      <c r="X349" s="64"/>
      <c r="Y349" s="22"/>
      <c r="Z349" s="60">
        <f t="shared" si="13"/>
        <v>0</v>
      </c>
    </row>
    <row r="350" spans="1:26" x14ac:dyDescent="0.3">
      <c r="A350" s="34">
        <f t="shared" si="12"/>
        <v>347</v>
      </c>
      <c r="B350" s="70" t="s">
        <v>375</v>
      </c>
      <c r="C350" s="19" t="s">
        <v>27</v>
      </c>
      <c r="D350" s="18" t="s">
        <v>26</v>
      </c>
      <c r="E350" s="18" t="s">
        <v>26</v>
      </c>
      <c r="F350" s="11"/>
      <c r="G350" s="11"/>
      <c r="H350" s="11"/>
      <c r="I350" s="18" t="s">
        <v>31</v>
      </c>
      <c r="J350" s="18" t="s">
        <v>25</v>
      </c>
      <c r="K350" s="11"/>
      <c r="L350" s="22">
        <v>150</v>
      </c>
      <c r="M350" s="11"/>
      <c r="N350" s="11"/>
      <c r="O350" s="11"/>
      <c r="P350" s="55">
        <v>3.0609999999999999</v>
      </c>
      <c r="Q350" s="25">
        <v>0.2</v>
      </c>
      <c r="R350" s="11"/>
      <c r="S350" s="11"/>
      <c r="T350" s="11"/>
      <c r="U350" s="11">
        <v>0.22939999999999999</v>
      </c>
      <c r="V350" s="11">
        <v>0.23080000000000001</v>
      </c>
      <c r="W350" s="11"/>
      <c r="X350" s="64"/>
      <c r="Y350" s="22"/>
      <c r="Z350" s="60">
        <f t="shared" si="13"/>
        <v>0</v>
      </c>
    </row>
    <row r="351" spans="1:26" x14ac:dyDescent="0.3">
      <c r="A351" s="34">
        <f t="shared" si="12"/>
        <v>348</v>
      </c>
      <c r="B351" s="70" t="s">
        <v>376</v>
      </c>
      <c r="C351" s="19" t="s">
        <v>27</v>
      </c>
      <c r="D351" s="18" t="s">
        <v>26</v>
      </c>
      <c r="E351" s="18" t="s">
        <v>26</v>
      </c>
      <c r="F351" s="11"/>
      <c r="G351" s="11"/>
      <c r="H351" s="11"/>
      <c r="I351" s="18" t="s">
        <v>31</v>
      </c>
      <c r="J351" s="18" t="s">
        <v>25</v>
      </c>
      <c r="K351" s="11"/>
      <c r="L351" s="22">
        <v>140</v>
      </c>
      <c r="M351" s="11"/>
      <c r="N351" s="11"/>
      <c r="O351" s="11"/>
      <c r="P351" s="55">
        <v>2.823</v>
      </c>
      <c r="Q351" s="25">
        <v>0.2</v>
      </c>
      <c r="R351" s="11"/>
      <c r="S351" s="11"/>
      <c r="T351" s="11"/>
      <c r="U351" s="11">
        <v>0.2346</v>
      </c>
      <c r="V351" s="11">
        <v>0.2354</v>
      </c>
      <c r="W351" s="11"/>
      <c r="X351" s="64"/>
      <c r="Y351" s="22"/>
      <c r="Z351" s="60">
        <f t="shared" si="13"/>
        <v>0</v>
      </c>
    </row>
    <row r="352" spans="1:26" x14ac:dyDescent="0.3">
      <c r="A352" s="34">
        <f t="shared" si="12"/>
        <v>349</v>
      </c>
      <c r="B352" s="70" t="s">
        <v>377</v>
      </c>
      <c r="C352" s="19" t="s">
        <v>27</v>
      </c>
      <c r="D352" s="18" t="s">
        <v>26</v>
      </c>
      <c r="E352" s="18" t="s">
        <v>26</v>
      </c>
      <c r="F352" s="11"/>
      <c r="G352" s="11"/>
      <c r="H352" s="11"/>
      <c r="I352" s="18" t="s">
        <v>31</v>
      </c>
      <c r="J352" s="18" t="s">
        <v>25</v>
      </c>
      <c r="K352" s="11"/>
      <c r="L352" s="22">
        <v>140</v>
      </c>
      <c r="M352" s="11"/>
      <c r="N352" s="11"/>
      <c r="O352" s="11"/>
      <c r="P352" s="55">
        <v>2.923</v>
      </c>
      <c r="Q352" s="25">
        <v>0.2</v>
      </c>
      <c r="R352" s="11"/>
      <c r="S352" s="11"/>
      <c r="T352" s="11"/>
      <c r="U352" s="11">
        <v>0.22889999999999999</v>
      </c>
      <c r="V352" s="11">
        <v>0.2293</v>
      </c>
      <c r="W352" s="11"/>
      <c r="X352" s="64"/>
      <c r="Y352" s="22"/>
      <c r="Z352" s="60">
        <f t="shared" si="13"/>
        <v>0</v>
      </c>
    </row>
    <row r="353" spans="1:26" x14ac:dyDescent="0.3">
      <c r="A353" s="43">
        <f t="shared" si="12"/>
        <v>350</v>
      </c>
      <c r="B353" s="70" t="s">
        <v>378</v>
      </c>
      <c r="C353" s="19" t="s">
        <v>27</v>
      </c>
      <c r="D353" s="18" t="s">
        <v>26</v>
      </c>
      <c r="E353" s="18" t="s">
        <v>26</v>
      </c>
      <c r="F353" s="11"/>
      <c r="G353" s="11"/>
      <c r="H353" s="11"/>
      <c r="I353" s="18" t="s">
        <v>31</v>
      </c>
      <c r="J353" s="18" t="s">
        <v>25</v>
      </c>
      <c r="K353" s="11"/>
      <c r="L353" s="22">
        <v>150</v>
      </c>
      <c r="M353" s="11"/>
      <c r="N353" s="11"/>
      <c r="O353" s="11"/>
      <c r="P353" s="55">
        <v>3.5110000000000001</v>
      </c>
      <c r="Q353" s="25">
        <v>0.2</v>
      </c>
      <c r="R353" s="11"/>
      <c r="S353" s="11"/>
      <c r="T353" s="11"/>
      <c r="U353" s="11">
        <v>0.23580000000000001</v>
      </c>
      <c r="V353" s="11">
        <v>0.2389</v>
      </c>
      <c r="W353" s="11"/>
      <c r="X353" s="64"/>
      <c r="Y353" s="48">
        <v>1.7282514145E-2</v>
      </c>
      <c r="Z353" s="60">
        <f t="shared" si="13"/>
        <v>0.11521676096666668</v>
      </c>
    </row>
    <row r="354" spans="1:26" x14ac:dyDescent="0.3">
      <c r="A354" s="43">
        <f t="shared" si="12"/>
        <v>351</v>
      </c>
      <c r="B354" s="70" t="s">
        <v>379</v>
      </c>
      <c r="C354" s="19" t="s">
        <v>27</v>
      </c>
      <c r="D354" s="18" t="s">
        <v>26</v>
      </c>
      <c r="E354" s="18" t="s">
        <v>26</v>
      </c>
      <c r="F354" s="11"/>
      <c r="G354" s="11"/>
      <c r="H354" s="11"/>
      <c r="I354" s="18" t="s">
        <v>31</v>
      </c>
      <c r="J354" s="18" t="s">
        <v>25</v>
      </c>
      <c r="K354" s="11"/>
      <c r="L354" s="22">
        <v>160</v>
      </c>
      <c r="M354" s="11"/>
      <c r="N354" s="11"/>
      <c r="O354" s="11"/>
      <c r="P354" s="55">
        <v>3.1459999999999999</v>
      </c>
      <c r="Q354" s="25">
        <v>0.2</v>
      </c>
      <c r="R354" s="11"/>
      <c r="S354" s="11"/>
      <c r="T354" s="11"/>
      <c r="U354" s="11">
        <v>0.2319</v>
      </c>
      <c r="V354" s="11">
        <v>0.23380000000000001</v>
      </c>
      <c r="W354" s="11"/>
      <c r="X354" s="64"/>
      <c r="Y354" s="48">
        <v>1.30381562765E-2</v>
      </c>
      <c r="Z354" s="60">
        <f t="shared" si="13"/>
        <v>8.1488476728124995E-2</v>
      </c>
    </row>
    <row r="355" spans="1:26" x14ac:dyDescent="0.3">
      <c r="A355" s="34">
        <f t="shared" si="12"/>
        <v>352</v>
      </c>
      <c r="B355" s="70" t="s">
        <v>380</v>
      </c>
      <c r="C355" s="12" t="s">
        <v>27</v>
      </c>
      <c r="D355" s="11" t="s">
        <v>26</v>
      </c>
      <c r="E355" s="11" t="s">
        <v>26</v>
      </c>
      <c r="F355" s="11"/>
      <c r="G355" s="11"/>
      <c r="H355" s="11"/>
      <c r="I355" s="11" t="s">
        <v>31</v>
      </c>
      <c r="J355" s="11" t="s">
        <v>25</v>
      </c>
      <c r="K355" s="11"/>
      <c r="L355" s="22">
        <v>140</v>
      </c>
      <c r="M355" s="11"/>
      <c r="N355" s="11"/>
      <c r="O355" s="11"/>
      <c r="P355" s="55">
        <v>2.8879999999999999</v>
      </c>
      <c r="Q355" s="25">
        <v>0.2</v>
      </c>
      <c r="R355" s="11"/>
      <c r="S355" s="11"/>
      <c r="T355" s="11"/>
      <c r="U355" s="11">
        <v>0.2324</v>
      </c>
      <c r="V355" s="11">
        <v>0.23280000000000001</v>
      </c>
      <c r="W355" s="11"/>
      <c r="X355" s="64"/>
      <c r="Y355" s="22"/>
      <c r="Z355" s="60">
        <f t="shared" si="13"/>
        <v>0</v>
      </c>
    </row>
    <row r="356" spans="1:26" x14ac:dyDescent="0.3">
      <c r="A356" s="34">
        <f t="shared" si="12"/>
        <v>353</v>
      </c>
      <c r="B356" s="70" t="s">
        <v>381</v>
      </c>
      <c r="C356" s="12" t="s">
        <v>27</v>
      </c>
      <c r="D356" s="11" t="s">
        <v>26</v>
      </c>
      <c r="E356" s="11" t="s">
        <v>26</v>
      </c>
      <c r="F356" s="11"/>
      <c r="G356" s="11"/>
      <c r="H356" s="11"/>
      <c r="I356" s="11" t="s">
        <v>31</v>
      </c>
      <c r="J356" s="11" t="s">
        <v>25</v>
      </c>
      <c r="K356" s="11"/>
      <c r="L356" s="22">
        <v>150</v>
      </c>
      <c r="M356" s="11"/>
      <c r="N356" s="11"/>
      <c r="O356" s="11"/>
      <c r="P356" s="55">
        <v>2.9329999999999998</v>
      </c>
      <c r="Q356" s="25">
        <v>0.2</v>
      </c>
      <c r="R356" s="11"/>
      <c r="S356" s="11"/>
      <c r="T356" s="11"/>
      <c r="U356" s="11">
        <v>0.23769999999999999</v>
      </c>
      <c r="V356" s="11">
        <v>0.2384</v>
      </c>
      <c r="W356" s="11"/>
      <c r="X356" s="64"/>
      <c r="Y356" s="22"/>
      <c r="Z356" s="60">
        <f t="shared" si="13"/>
        <v>0</v>
      </c>
    </row>
    <row r="357" spans="1:26" x14ac:dyDescent="0.3">
      <c r="A357" s="34">
        <f t="shared" si="12"/>
        <v>354</v>
      </c>
      <c r="B357" s="70" t="s">
        <v>382</v>
      </c>
      <c r="C357" s="12" t="s">
        <v>27</v>
      </c>
      <c r="D357" s="11" t="s">
        <v>26</v>
      </c>
      <c r="E357" s="11" t="s">
        <v>26</v>
      </c>
      <c r="F357" s="11"/>
      <c r="G357" s="11"/>
      <c r="H357" s="11"/>
      <c r="I357" s="11" t="s">
        <v>31</v>
      </c>
      <c r="J357" s="11" t="s">
        <v>25</v>
      </c>
      <c r="K357" s="11"/>
      <c r="L357" s="22">
        <v>160</v>
      </c>
      <c r="M357" s="11"/>
      <c r="N357" s="11"/>
      <c r="O357" s="11"/>
      <c r="P357" s="55">
        <v>3.1819999999999999</v>
      </c>
      <c r="Q357" s="25">
        <v>0.2</v>
      </c>
      <c r="R357" s="11"/>
      <c r="S357" s="11"/>
      <c r="T357" s="11"/>
      <c r="U357" s="11">
        <v>0.23569999999999999</v>
      </c>
      <c r="V357" s="11">
        <v>0.23710000000000001</v>
      </c>
      <c r="W357" s="11"/>
      <c r="X357" s="64"/>
      <c r="Y357" s="22"/>
      <c r="Z357" s="60">
        <f t="shared" si="13"/>
        <v>0</v>
      </c>
    </row>
    <row r="358" spans="1:26" x14ac:dyDescent="0.3">
      <c r="A358" s="34">
        <f t="shared" si="12"/>
        <v>355</v>
      </c>
      <c r="B358" s="70" t="s">
        <v>383</v>
      </c>
      <c r="C358" s="12" t="s">
        <v>27</v>
      </c>
      <c r="D358" s="11" t="s">
        <v>26</v>
      </c>
      <c r="E358" s="11" t="s">
        <v>26</v>
      </c>
      <c r="F358" s="11"/>
      <c r="G358" s="11"/>
      <c r="H358" s="11"/>
      <c r="I358" s="11" t="s">
        <v>31</v>
      </c>
      <c r="J358" s="11" t="s">
        <v>25</v>
      </c>
      <c r="K358" s="11"/>
      <c r="L358" s="22">
        <v>150</v>
      </c>
      <c r="M358" s="11"/>
      <c r="N358" s="11"/>
      <c r="O358" s="11"/>
      <c r="P358" s="55">
        <v>3.2719999999999998</v>
      </c>
      <c r="Q358" s="25">
        <v>0.2</v>
      </c>
      <c r="R358" s="11"/>
      <c r="S358" s="11"/>
      <c r="T358" s="11"/>
      <c r="U358" s="11">
        <v>0.2316</v>
      </c>
      <c r="V358" s="11">
        <v>0.23300000000000001</v>
      </c>
      <c r="W358" s="11"/>
      <c r="X358" s="64"/>
      <c r="Y358" s="22"/>
      <c r="Z358" s="60">
        <f t="shared" si="13"/>
        <v>0</v>
      </c>
    </row>
    <row r="359" spans="1:26" x14ac:dyDescent="0.3">
      <c r="A359" s="34">
        <f t="shared" si="12"/>
        <v>356</v>
      </c>
      <c r="B359" s="70" t="s">
        <v>384</v>
      </c>
      <c r="C359" s="12" t="s">
        <v>27</v>
      </c>
      <c r="D359" s="11" t="s">
        <v>26</v>
      </c>
      <c r="E359" s="11" t="s">
        <v>26</v>
      </c>
      <c r="F359" s="11"/>
      <c r="G359" s="11"/>
      <c r="H359" s="11"/>
      <c r="I359" s="11" t="s">
        <v>31</v>
      </c>
      <c r="J359" s="11" t="s">
        <v>25</v>
      </c>
      <c r="K359" s="11"/>
      <c r="L359" s="22">
        <v>140</v>
      </c>
      <c r="M359" s="11"/>
      <c r="N359" s="11"/>
      <c r="O359" s="11"/>
      <c r="P359" s="55">
        <v>3.0419999999999998</v>
      </c>
      <c r="Q359" s="25">
        <v>0.2</v>
      </c>
      <c r="R359" s="11"/>
      <c r="S359" s="11"/>
      <c r="T359" s="11"/>
      <c r="U359" s="11">
        <v>0.2364</v>
      </c>
      <c r="V359" s="11">
        <v>0.2354</v>
      </c>
      <c r="W359" s="11"/>
      <c r="X359" s="64"/>
      <c r="Y359" s="22"/>
      <c r="Z359" s="60">
        <f t="shared" si="13"/>
        <v>0</v>
      </c>
    </row>
    <row r="360" spans="1:26" x14ac:dyDescent="0.3">
      <c r="A360" s="34">
        <v>357</v>
      </c>
      <c r="B360" s="36" t="s">
        <v>391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55"/>
      <c r="Q360" s="25">
        <v>0.2</v>
      </c>
      <c r="R360" s="11"/>
      <c r="S360" s="11"/>
      <c r="T360" s="11"/>
      <c r="U360" s="11"/>
      <c r="V360" s="11"/>
      <c r="W360" s="11"/>
      <c r="X360" s="64"/>
      <c r="Y360" s="22"/>
      <c r="Z360" s="60" t="e">
        <f t="shared" si="13"/>
        <v>#DIV/0!</v>
      </c>
    </row>
    <row r="361" spans="1:26" x14ac:dyDescent="0.3">
      <c r="A361" s="34">
        <v>358</v>
      </c>
      <c r="B361" s="36" t="s">
        <v>392</v>
      </c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55"/>
      <c r="Q361" s="25">
        <v>0.2</v>
      </c>
      <c r="R361" s="11"/>
      <c r="S361" s="11"/>
      <c r="T361" s="11"/>
      <c r="U361" s="11"/>
      <c r="V361" s="11"/>
      <c r="W361" s="11"/>
      <c r="X361" s="64"/>
      <c r="Y361" s="22"/>
      <c r="Z361" s="60" t="e">
        <f t="shared" si="13"/>
        <v>#DIV/0!</v>
      </c>
    </row>
    <row r="362" spans="1:26" x14ac:dyDescent="0.3">
      <c r="A362" s="34">
        <v>359</v>
      </c>
      <c r="B362" s="36" t="s">
        <v>393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55"/>
      <c r="Q362" s="25">
        <v>0.2</v>
      </c>
      <c r="R362" s="11"/>
      <c r="S362" s="11"/>
      <c r="T362" s="11"/>
      <c r="U362" s="11"/>
      <c r="V362" s="11"/>
      <c r="W362" s="11"/>
      <c r="X362" s="64"/>
      <c r="Y362" s="22"/>
      <c r="Z362" s="60" t="e">
        <f t="shared" si="13"/>
        <v>#DIV/0!</v>
      </c>
    </row>
    <row r="363" spans="1:26" x14ac:dyDescent="0.3">
      <c r="A363" s="34">
        <v>360</v>
      </c>
      <c r="B363" s="36" t="s">
        <v>394</v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55"/>
      <c r="Q363" s="25">
        <v>0.2</v>
      </c>
      <c r="R363" s="11"/>
      <c r="S363" s="11"/>
      <c r="T363" s="11"/>
      <c r="U363" s="11"/>
      <c r="V363" s="11"/>
      <c r="W363" s="11"/>
      <c r="X363" s="64"/>
      <c r="Y363" s="22"/>
      <c r="Z363" s="60" t="e">
        <f t="shared" si="13"/>
        <v>#DIV/0!</v>
      </c>
    </row>
    <row r="364" spans="1:26" x14ac:dyDescent="0.3">
      <c r="A364" s="34">
        <v>361</v>
      </c>
      <c r="B364" s="36" t="s">
        <v>395</v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55"/>
      <c r="Q364" s="25">
        <v>0.2</v>
      </c>
      <c r="R364" s="11"/>
      <c r="S364" s="11"/>
      <c r="T364" s="11"/>
      <c r="U364" s="11"/>
      <c r="V364" s="11"/>
      <c r="W364" s="11"/>
      <c r="X364" s="64"/>
      <c r="Y364" s="22"/>
      <c r="Z364" s="60" t="e">
        <f t="shared" si="13"/>
        <v>#DIV/0!</v>
      </c>
    </row>
    <row r="365" spans="1:26" x14ac:dyDescent="0.3">
      <c r="A365" s="34">
        <v>362</v>
      </c>
      <c r="B365" s="36" t="s">
        <v>396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55"/>
      <c r="Q365" s="25">
        <v>0.2</v>
      </c>
      <c r="R365" s="11"/>
      <c r="S365" s="11"/>
      <c r="T365" s="11"/>
      <c r="U365" s="11"/>
      <c r="V365" s="11"/>
      <c r="W365" s="11"/>
      <c r="X365" s="64"/>
      <c r="Y365" s="22"/>
      <c r="Z365" s="60" t="e">
        <f t="shared" si="13"/>
        <v>#DIV/0!</v>
      </c>
    </row>
    <row r="366" spans="1:26" x14ac:dyDescent="0.3">
      <c r="A366" s="34">
        <v>363</v>
      </c>
      <c r="B366" s="36" t="s">
        <v>397</v>
      </c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55"/>
      <c r="Q366" s="25">
        <v>0.2</v>
      </c>
      <c r="R366" s="11"/>
      <c r="S366" s="11"/>
      <c r="T366" s="11"/>
      <c r="U366" s="11"/>
      <c r="V366" s="11"/>
      <c r="W366" s="11"/>
      <c r="X366" s="64"/>
      <c r="Y366" s="22"/>
      <c r="Z366" s="60" t="e">
        <f t="shared" si="13"/>
        <v>#DIV/0!</v>
      </c>
    </row>
    <row r="367" spans="1:26" x14ac:dyDescent="0.3">
      <c r="A367" s="34">
        <v>364</v>
      </c>
      <c r="B367" s="36" t="s">
        <v>398</v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55"/>
      <c r="Q367" s="25">
        <v>0.2</v>
      </c>
      <c r="R367" s="11"/>
      <c r="S367" s="11"/>
      <c r="T367" s="11"/>
      <c r="U367" s="11"/>
      <c r="V367" s="11"/>
      <c r="W367" s="11"/>
      <c r="X367" s="64"/>
      <c r="Y367" s="22"/>
      <c r="Z367" s="60" t="e">
        <f t="shared" si="13"/>
        <v>#DIV/0!</v>
      </c>
    </row>
    <row r="368" spans="1:26" x14ac:dyDescent="0.3">
      <c r="A368" s="34">
        <v>365</v>
      </c>
      <c r="B368" s="36" t="s">
        <v>399</v>
      </c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55"/>
      <c r="Q368" s="25">
        <v>0.2</v>
      </c>
      <c r="R368" s="11"/>
      <c r="S368" s="11"/>
      <c r="T368" s="11"/>
      <c r="U368" s="11"/>
      <c r="V368" s="11"/>
      <c r="W368" s="11"/>
      <c r="X368" s="64"/>
      <c r="Y368" s="22"/>
      <c r="Z368" s="60" t="e">
        <f t="shared" si="13"/>
        <v>#DIV/0!</v>
      </c>
    </row>
    <row r="369" spans="1:26" x14ac:dyDescent="0.3">
      <c r="A369" s="34">
        <v>366</v>
      </c>
      <c r="B369" s="36" t="s">
        <v>400</v>
      </c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55"/>
      <c r="Q369" s="25">
        <v>0.2</v>
      </c>
      <c r="R369" s="11"/>
      <c r="S369" s="11"/>
      <c r="T369" s="11"/>
      <c r="U369" s="11"/>
      <c r="V369" s="11"/>
      <c r="W369" s="11"/>
      <c r="X369" s="64"/>
      <c r="Y369" s="22"/>
      <c r="Z369" s="60" t="e">
        <f t="shared" si="13"/>
        <v>#DIV/0!</v>
      </c>
    </row>
    <row r="370" spans="1:26" x14ac:dyDescent="0.3">
      <c r="A370" s="34">
        <v>367</v>
      </c>
      <c r="B370" s="36" t="s">
        <v>401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55"/>
      <c r="Q370" s="25">
        <v>0.2</v>
      </c>
      <c r="R370" s="11"/>
      <c r="S370" s="11"/>
      <c r="T370" s="11"/>
      <c r="U370" s="11"/>
      <c r="V370" s="11"/>
      <c r="W370" s="11"/>
      <c r="X370" s="64"/>
      <c r="Y370" s="22"/>
      <c r="Z370" s="60" t="e">
        <f t="shared" si="13"/>
        <v>#DIV/0!</v>
      </c>
    </row>
    <row r="371" spans="1:26" x14ac:dyDescent="0.3">
      <c r="A371" s="34">
        <v>368</v>
      </c>
      <c r="B371" s="36" t="s">
        <v>402</v>
      </c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55"/>
      <c r="Q371" s="25">
        <v>0.2</v>
      </c>
      <c r="R371" s="11"/>
      <c r="S371" s="11"/>
      <c r="T371" s="11"/>
      <c r="U371" s="11"/>
      <c r="V371" s="11"/>
      <c r="W371" s="11"/>
      <c r="X371" s="64"/>
      <c r="Y371" s="22"/>
      <c r="Z371" s="60" t="e">
        <f t="shared" si="13"/>
        <v>#DIV/0!</v>
      </c>
    </row>
    <row r="372" spans="1:26" x14ac:dyDescent="0.3">
      <c r="A372" s="34">
        <v>369</v>
      </c>
      <c r="B372" s="36" t="s">
        <v>403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55"/>
      <c r="Q372" s="25">
        <v>0.2</v>
      </c>
      <c r="R372" s="11"/>
      <c r="S372" s="11"/>
      <c r="T372" s="11"/>
      <c r="U372" s="11"/>
      <c r="V372" s="11"/>
      <c r="W372" s="11"/>
      <c r="X372" s="64"/>
      <c r="Y372" s="22"/>
      <c r="Z372" s="60" t="e">
        <f t="shared" si="13"/>
        <v>#DIV/0!</v>
      </c>
    </row>
    <row r="373" spans="1:26" x14ac:dyDescent="0.3">
      <c r="A373" s="34">
        <v>370</v>
      </c>
      <c r="B373" s="36" t="s">
        <v>404</v>
      </c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55"/>
      <c r="Q373" s="25">
        <v>0.2</v>
      </c>
      <c r="R373" s="11"/>
      <c r="S373" s="11"/>
      <c r="T373" s="11"/>
      <c r="U373" s="11"/>
      <c r="V373" s="11"/>
      <c r="W373" s="11"/>
      <c r="X373" s="64"/>
      <c r="Y373" s="22"/>
      <c r="Z373" s="60" t="e">
        <f t="shared" si="13"/>
        <v>#DIV/0!</v>
      </c>
    </row>
    <row r="374" spans="1:26" x14ac:dyDescent="0.3">
      <c r="A374" s="34">
        <v>371</v>
      </c>
      <c r="B374" s="36" t="s">
        <v>405</v>
      </c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55"/>
      <c r="Q374" s="25">
        <v>0.2</v>
      </c>
      <c r="R374" s="11"/>
      <c r="S374" s="11"/>
      <c r="T374" s="11"/>
      <c r="U374" s="11"/>
      <c r="V374" s="11"/>
      <c r="W374" s="11"/>
      <c r="X374" s="64"/>
      <c r="Y374" s="22"/>
      <c r="Z374" s="60" t="e">
        <f t="shared" si="13"/>
        <v>#DIV/0!</v>
      </c>
    </row>
    <row r="375" spans="1:26" x14ac:dyDescent="0.3">
      <c r="A375" s="34">
        <v>372</v>
      </c>
      <c r="B375" s="36" t="s">
        <v>406</v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55"/>
      <c r="Q375" s="25">
        <v>0.2</v>
      </c>
      <c r="R375" s="11"/>
      <c r="S375" s="11"/>
      <c r="T375" s="11"/>
      <c r="U375" s="11"/>
      <c r="V375" s="11"/>
      <c r="W375" s="11"/>
      <c r="X375" s="64"/>
      <c r="Y375" s="22"/>
      <c r="Z375" s="60" t="e">
        <f t="shared" si="13"/>
        <v>#DIV/0!</v>
      </c>
    </row>
    <row r="376" spans="1:26" x14ac:dyDescent="0.3">
      <c r="A376" s="34">
        <v>373</v>
      </c>
      <c r="B376" s="36" t="s">
        <v>407</v>
      </c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55"/>
      <c r="Q376" s="25">
        <v>0.2</v>
      </c>
      <c r="R376" s="11"/>
      <c r="S376" s="11"/>
      <c r="T376" s="11"/>
      <c r="U376" s="11"/>
      <c r="V376" s="11"/>
      <c r="W376" s="11"/>
      <c r="X376" s="64"/>
      <c r="Y376" s="22"/>
      <c r="Z376" s="60" t="e">
        <f t="shared" si="13"/>
        <v>#DIV/0!</v>
      </c>
    </row>
    <row r="377" spans="1:26" x14ac:dyDescent="0.3">
      <c r="A377" s="34">
        <v>374</v>
      </c>
      <c r="B377" s="36" t="s">
        <v>408</v>
      </c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55"/>
      <c r="Q377" s="25">
        <v>0.2</v>
      </c>
      <c r="R377" s="11"/>
      <c r="S377" s="11"/>
      <c r="T377" s="11"/>
      <c r="U377" s="11"/>
      <c r="V377" s="11"/>
      <c r="W377" s="11"/>
      <c r="X377" s="64"/>
      <c r="Y377" s="22"/>
      <c r="Z377" s="60" t="e">
        <f t="shared" si="13"/>
        <v>#DIV/0!</v>
      </c>
    </row>
    <row r="378" spans="1:26" x14ac:dyDescent="0.3">
      <c r="A378" s="34">
        <v>375</v>
      </c>
      <c r="B378" s="36" t="s">
        <v>409</v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55"/>
      <c r="Q378" s="25">
        <v>0.2</v>
      </c>
      <c r="R378" s="11"/>
      <c r="S378" s="11"/>
      <c r="T378" s="11"/>
      <c r="U378" s="11"/>
      <c r="V378" s="11"/>
      <c r="W378" s="11"/>
      <c r="X378" s="64"/>
      <c r="Y378" s="22"/>
      <c r="Z378" s="60" t="e">
        <f t="shared" si="13"/>
        <v>#DIV/0!</v>
      </c>
    </row>
    <row r="379" spans="1:26" x14ac:dyDescent="0.3">
      <c r="A379" s="34">
        <v>376</v>
      </c>
      <c r="B379" s="36" t="s">
        <v>410</v>
      </c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55"/>
      <c r="Q379" s="25">
        <v>0.2</v>
      </c>
      <c r="R379" s="11"/>
      <c r="S379" s="11"/>
      <c r="T379" s="11"/>
      <c r="U379" s="11"/>
      <c r="V379" s="11"/>
      <c r="W379" s="11"/>
      <c r="X379" s="64"/>
      <c r="Y379" s="22"/>
      <c r="Z379" s="60" t="e">
        <f t="shared" si="13"/>
        <v>#DIV/0!</v>
      </c>
    </row>
    <row r="380" spans="1:26" x14ac:dyDescent="0.3">
      <c r="A380" s="34">
        <v>377</v>
      </c>
      <c r="B380" s="36" t="s">
        <v>411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55"/>
      <c r="Q380" s="25">
        <v>0.2</v>
      </c>
      <c r="R380" s="11"/>
      <c r="S380" s="11"/>
      <c r="T380" s="11"/>
      <c r="U380" s="11"/>
      <c r="V380" s="11"/>
      <c r="W380" s="11"/>
      <c r="X380" s="64"/>
      <c r="Y380" s="22"/>
      <c r="Z380" s="60" t="e">
        <f t="shared" si="13"/>
        <v>#DIV/0!</v>
      </c>
    </row>
    <row r="381" spans="1:26" x14ac:dyDescent="0.3">
      <c r="A381" s="34">
        <v>378</v>
      </c>
      <c r="B381" s="36" t="s">
        <v>412</v>
      </c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55"/>
      <c r="Q381" s="25">
        <v>0.2</v>
      </c>
      <c r="R381" s="11"/>
      <c r="S381" s="11"/>
      <c r="T381" s="11"/>
      <c r="U381" s="11"/>
      <c r="V381" s="11"/>
      <c r="W381" s="11"/>
      <c r="X381" s="64"/>
      <c r="Y381" s="22"/>
      <c r="Z381" s="60" t="e">
        <f t="shared" si="13"/>
        <v>#DIV/0!</v>
      </c>
    </row>
    <row r="382" spans="1:26" x14ac:dyDescent="0.3">
      <c r="A382" s="34">
        <v>379</v>
      </c>
      <c r="B382" s="36" t="s">
        <v>413</v>
      </c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55"/>
      <c r="Q382" s="25">
        <v>0.2</v>
      </c>
      <c r="R382" s="11"/>
      <c r="S382" s="11"/>
      <c r="T382" s="11"/>
      <c r="U382" s="11"/>
      <c r="V382" s="11"/>
      <c r="W382" s="11"/>
      <c r="X382" s="64"/>
      <c r="Y382" s="22"/>
      <c r="Z382" s="60" t="e">
        <f t="shared" si="13"/>
        <v>#DIV/0!</v>
      </c>
    </row>
    <row r="383" spans="1:26" x14ac:dyDescent="0.3">
      <c r="A383" s="34">
        <v>380</v>
      </c>
      <c r="B383" s="41" t="s">
        <v>514</v>
      </c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55"/>
      <c r="Q383" s="25">
        <v>0.2</v>
      </c>
      <c r="R383" s="11"/>
      <c r="S383" s="11"/>
      <c r="T383" s="11"/>
      <c r="U383" s="11"/>
      <c r="V383" s="11"/>
      <c r="W383" s="11"/>
      <c r="X383" s="64"/>
      <c r="Y383" s="22"/>
      <c r="Z383" s="60" t="e">
        <f t="shared" si="13"/>
        <v>#DIV/0!</v>
      </c>
    </row>
    <row r="384" spans="1:26" x14ac:dyDescent="0.3">
      <c r="A384" s="34">
        <v>381</v>
      </c>
      <c r="B384" s="36" t="s">
        <v>414</v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55"/>
      <c r="Q384" s="25">
        <v>0.2</v>
      </c>
      <c r="R384" s="11"/>
      <c r="S384" s="11"/>
      <c r="T384" s="11"/>
      <c r="U384" s="11"/>
      <c r="V384" s="11"/>
      <c r="W384" s="11"/>
      <c r="X384" s="64"/>
      <c r="Y384" s="22"/>
      <c r="Z384" s="60" t="e">
        <f t="shared" si="13"/>
        <v>#DIV/0!</v>
      </c>
    </row>
    <row r="385" spans="1:26" x14ac:dyDescent="0.3">
      <c r="A385" s="34">
        <v>382</v>
      </c>
      <c r="B385" s="36" t="s">
        <v>415</v>
      </c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55"/>
      <c r="Q385" s="25">
        <v>0.2</v>
      </c>
      <c r="R385" s="11"/>
      <c r="S385" s="11"/>
      <c r="T385" s="11"/>
      <c r="U385" s="11"/>
      <c r="V385" s="11"/>
      <c r="W385" s="11"/>
      <c r="X385" s="64"/>
      <c r="Y385" s="22"/>
      <c r="Z385" s="60" t="e">
        <f t="shared" si="13"/>
        <v>#DIV/0!</v>
      </c>
    </row>
    <row r="386" spans="1:26" x14ac:dyDescent="0.3">
      <c r="A386" s="34">
        <v>383</v>
      </c>
      <c r="B386" s="36" t="s">
        <v>416</v>
      </c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55"/>
      <c r="Q386" s="25">
        <v>0.2</v>
      </c>
      <c r="R386" s="11"/>
      <c r="S386" s="11"/>
      <c r="T386" s="11"/>
      <c r="U386" s="11"/>
      <c r="V386" s="11"/>
      <c r="W386" s="11"/>
      <c r="X386" s="64"/>
      <c r="Y386" s="22"/>
      <c r="Z386" s="60" t="e">
        <f t="shared" si="13"/>
        <v>#DIV/0!</v>
      </c>
    </row>
    <row r="387" spans="1:26" x14ac:dyDescent="0.3">
      <c r="A387" s="34">
        <v>384</v>
      </c>
      <c r="B387" s="36" t="s">
        <v>417</v>
      </c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55"/>
      <c r="Q387" s="25">
        <v>0.2</v>
      </c>
      <c r="R387" s="11"/>
      <c r="S387" s="11"/>
      <c r="T387" s="11"/>
      <c r="U387" s="11"/>
      <c r="V387" s="11"/>
      <c r="W387" s="11"/>
      <c r="X387" s="64"/>
      <c r="Y387" s="22"/>
      <c r="Z387" s="60" t="e">
        <f t="shared" si="13"/>
        <v>#DIV/0!</v>
      </c>
    </row>
    <row r="388" spans="1:26" x14ac:dyDescent="0.3">
      <c r="A388" s="34">
        <v>385</v>
      </c>
      <c r="B388" s="36" t="s">
        <v>418</v>
      </c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55"/>
      <c r="Q388" s="25">
        <v>0.2</v>
      </c>
      <c r="R388" s="11"/>
      <c r="S388" s="11"/>
      <c r="T388" s="11"/>
      <c r="U388" s="11"/>
      <c r="V388" s="11"/>
      <c r="W388" s="11"/>
      <c r="X388" s="64"/>
      <c r="Y388" s="22"/>
      <c r="Z388" s="60" t="e">
        <f t="shared" si="13"/>
        <v>#DIV/0!</v>
      </c>
    </row>
    <row r="389" spans="1:26" x14ac:dyDescent="0.3">
      <c r="A389" s="34">
        <v>386</v>
      </c>
      <c r="B389" s="36" t="s">
        <v>419</v>
      </c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55"/>
      <c r="Q389" s="25">
        <v>0.2</v>
      </c>
      <c r="R389" s="11"/>
      <c r="S389" s="11"/>
      <c r="T389" s="11"/>
      <c r="U389" s="11"/>
      <c r="V389" s="11"/>
      <c r="W389" s="11"/>
      <c r="X389" s="64"/>
      <c r="Y389" s="22"/>
      <c r="Z389" s="60" t="e">
        <f t="shared" si="13"/>
        <v>#DIV/0!</v>
      </c>
    </row>
    <row r="390" spans="1:26" x14ac:dyDescent="0.3">
      <c r="A390" s="34">
        <v>387</v>
      </c>
      <c r="B390" s="36" t="s">
        <v>420</v>
      </c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55"/>
      <c r="Q390" s="25">
        <v>0.2</v>
      </c>
      <c r="R390" s="11"/>
      <c r="S390" s="11"/>
      <c r="T390" s="11"/>
      <c r="U390" s="11"/>
      <c r="V390" s="11"/>
      <c r="W390" s="11"/>
      <c r="X390" s="64"/>
      <c r="Y390" s="22"/>
      <c r="Z390" s="60" t="e">
        <f t="shared" ref="Z390:Z453" si="14">Y390/(L390/1000)</f>
        <v>#DIV/0!</v>
      </c>
    </row>
    <row r="391" spans="1:26" x14ac:dyDescent="0.3">
      <c r="A391" s="34">
        <v>388</v>
      </c>
      <c r="B391" s="36" t="s">
        <v>421</v>
      </c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55"/>
      <c r="Q391" s="25">
        <v>0.2</v>
      </c>
      <c r="R391" s="11"/>
      <c r="S391" s="11"/>
      <c r="T391" s="11"/>
      <c r="U391" s="11"/>
      <c r="V391" s="11"/>
      <c r="W391" s="11"/>
      <c r="X391" s="64"/>
      <c r="Y391" s="22"/>
      <c r="Z391" s="60" t="e">
        <f t="shared" si="14"/>
        <v>#DIV/0!</v>
      </c>
    </row>
    <row r="392" spans="1:26" x14ac:dyDescent="0.3">
      <c r="A392" s="34">
        <v>389</v>
      </c>
      <c r="B392" s="36" t="s">
        <v>422</v>
      </c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55"/>
      <c r="Q392" s="25">
        <v>0.2</v>
      </c>
      <c r="R392" s="11"/>
      <c r="S392" s="11"/>
      <c r="T392" s="11"/>
      <c r="U392" s="11"/>
      <c r="V392" s="11"/>
      <c r="W392" s="11"/>
      <c r="X392" s="64"/>
      <c r="Y392" s="22"/>
      <c r="Z392" s="60" t="e">
        <f t="shared" si="14"/>
        <v>#DIV/0!</v>
      </c>
    </row>
    <row r="393" spans="1:26" x14ac:dyDescent="0.3">
      <c r="A393" s="34">
        <v>390</v>
      </c>
      <c r="B393" s="36" t="s">
        <v>423</v>
      </c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55"/>
      <c r="Q393" s="25">
        <v>0.2</v>
      </c>
      <c r="R393" s="11"/>
      <c r="S393" s="11"/>
      <c r="T393" s="11"/>
      <c r="U393" s="11"/>
      <c r="V393" s="11"/>
      <c r="W393" s="11"/>
      <c r="X393" s="64"/>
      <c r="Y393" s="22"/>
      <c r="Z393" s="60" t="e">
        <f t="shared" si="14"/>
        <v>#DIV/0!</v>
      </c>
    </row>
    <row r="394" spans="1:26" x14ac:dyDescent="0.3">
      <c r="A394" s="34">
        <v>391</v>
      </c>
      <c r="B394" s="36" t="s">
        <v>424</v>
      </c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55"/>
      <c r="Q394" s="25">
        <v>0.2</v>
      </c>
      <c r="R394" s="11"/>
      <c r="S394" s="11"/>
      <c r="T394" s="11"/>
      <c r="U394" s="11"/>
      <c r="V394" s="11"/>
      <c r="W394" s="11"/>
      <c r="X394" s="64"/>
      <c r="Y394" s="22"/>
      <c r="Z394" s="60" t="e">
        <f t="shared" si="14"/>
        <v>#DIV/0!</v>
      </c>
    </row>
    <row r="395" spans="1:26" x14ac:dyDescent="0.3">
      <c r="A395" s="34">
        <v>392</v>
      </c>
      <c r="B395" s="36" t="s">
        <v>425</v>
      </c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55"/>
      <c r="Q395" s="25">
        <v>0.2</v>
      </c>
      <c r="R395" s="11"/>
      <c r="S395" s="11"/>
      <c r="T395" s="11"/>
      <c r="U395" s="11"/>
      <c r="V395" s="11"/>
      <c r="W395" s="11"/>
      <c r="X395" s="64"/>
      <c r="Y395" s="22"/>
      <c r="Z395" s="60" t="e">
        <f t="shared" si="14"/>
        <v>#DIV/0!</v>
      </c>
    </row>
    <row r="396" spans="1:26" x14ac:dyDescent="0.3">
      <c r="A396" s="34">
        <v>393</v>
      </c>
      <c r="B396" s="36" t="s">
        <v>426</v>
      </c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55"/>
      <c r="Q396" s="25">
        <v>0.2</v>
      </c>
      <c r="R396" s="11"/>
      <c r="S396" s="11"/>
      <c r="T396" s="11"/>
      <c r="U396" s="11"/>
      <c r="V396" s="11"/>
      <c r="W396" s="11"/>
      <c r="X396" s="64"/>
      <c r="Y396" s="22"/>
      <c r="Z396" s="60" t="e">
        <f t="shared" si="14"/>
        <v>#DIV/0!</v>
      </c>
    </row>
    <row r="397" spans="1:26" x14ac:dyDescent="0.3">
      <c r="A397" s="34">
        <v>394</v>
      </c>
      <c r="B397" s="36" t="s">
        <v>427</v>
      </c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55"/>
      <c r="Q397" s="25">
        <v>0.2</v>
      </c>
      <c r="R397" s="11"/>
      <c r="S397" s="11"/>
      <c r="T397" s="11"/>
      <c r="U397" s="11"/>
      <c r="V397" s="11"/>
      <c r="W397" s="11"/>
      <c r="X397" s="64"/>
      <c r="Y397" s="22"/>
      <c r="Z397" s="60" t="e">
        <f t="shared" si="14"/>
        <v>#DIV/0!</v>
      </c>
    </row>
    <row r="398" spans="1:26" x14ac:dyDescent="0.3">
      <c r="A398" s="34">
        <v>395</v>
      </c>
      <c r="B398" s="36" t="s">
        <v>428</v>
      </c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55"/>
      <c r="Q398" s="25">
        <v>0.2</v>
      </c>
      <c r="R398" s="11"/>
      <c r="S398" s="11"/>
      <c r="T398" s="11"/>
      <c r="U398" s="11"/>
      <c r="V398" s="11"/>
      <c r="W398" s="11"/>
      <c r="X398" s="64"/>
      <c r="Y398" s="22"/>
      <c r="Z398" s="60" t="e">
        <f t="shared" si="14"/>
        <v>#DIV/0!</v>
      </c>
    </row>
    <row r="399" spans="1:26" x14ac:dyDescent="0.3">
      <c r="A399" s="34">
        <v>396</v>
      </c>
      <c r="B399" s="36" t="s">
        <v>429</v>
      </c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55"/>
      <c r="Q399" s="25">
        <v>0.2</v>
      </c>
      <c r="R399" s="11"/>
      <c r="S399" s="11"/>
      <c r="T399" s="11"/>
      <c r="U399" s="11"/>
      <c r="V399" s="11"/>
      <c r="W399" s="11"/>
      <c r="X399" s="64"/>
      <c r="Y399" s="22"/>
      <c r="Z399" s="60" t="e">
        <f t="shared" si="14"/>
        <v>#DIV/0!</v>
      </c>
    </row>
    <row r="400" spans="1:26" x14ac:dyDescent="0.3">
      <c r="A400" s="34">
        <v>397</v>
      </c>
      <c r="B400" s="36" t="s">
        <v>430</v>
      </c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55"/>
      <c r="Q400" s="25">
        <v>0.2</v>
      </c>
      <c r="R400" s="11"/>
      <c r="S400" s="11"/>
      <c r="T400" s="11"/>
      <c r="U400" s="11"/>
      <c r="V400" s="11"/>
      <c r="W400" s="11"/>
      <c r="X400" s="64"/>
      <c r="Y400" s="22"/>
      <c r="Z400" s="60" t="e">
        <f t="shared" si="14"/>
        <v>#DIV/0!</v>
      </c>
    </row>
    <row r="401" spans="1:26" x14ac:dyDescent="0.3">
      <c r="A401" s="34">
        <v>398</v>
      </c>
      <c r="B401" s="36" t="s">
        <v>431</v>
      </c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55"/>
      <c r="Q401" s="25">
        <v>0.2</v>
      </c>
      <c r="R401" s="11"/>
      <c r="S401" s="11"/>
      <c r="T401" s="11"/>
      <c r="U401" s="11"/>
      <c r="V401" s="11"/>
      <c r="W401" s="11"/>
      <c r="X401" s="64"/>
      <c r="Y401" s="22"/>
      <c r="Z401" s="60" t="e">
        <f t="shared" si="14"/>
        <v>#DIV/0!</v>
      </c>
    </row>
    <row r="402" spans="1:26" x14ac:dyDescent="0.3">
      <c r="A402" s="34">
        <v>399</v>
      </c>
      <c r="B402" s="36" t="s">
        <v>432</v>
      </c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55"/>
      <c r="Q402" s="25">
        <v>0.2</v>
      </c>
      <c r="R402" s="11"/>
      <c r="S402" s="11"/>
      <c r="T402" s="11"/>
      <c r="U402" s="11"/>
      <c r="V402" s="11"/>
      <c r="W402" s="11"/>
      <c r="X402" s="64"/>
      <c r="Y402" s="22"/>
      <c r="Z402" s="60" t="e">
        <f t="shared" si="14"/>
        <v>#DIV/0!</v>
      </c>
    </row>
    <row r="403" spans="1:26" x14ac:dyDescent="0.3">
      <c r="A403" s="34">
        <v>400</v>
      </c>
      <c r="B403" s="36" t="s">
        <v>433</v>
      </c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55"/>
      <c r="Q403" s="25">
        <v>0.2</v>
      </c>
      <c r="R403" s="11"/>
      <c r="S403" s="11"/>
      <c r="T403" s="11"/>
      <c r="U403" s="11"/>
      <c r="V403" s="11"/>
      <c r="W403" s="11"/>
      <c r="X403" s="64"/>
      <c r="Y403" s="22"/>
      <c r="Z403" s="60" t="e">
        <f t="shared" si="14"/>
        <v>#DIV/0!</v>
      </c>
    </row>
    <row r="404" spans="1:26" x14ac:dyDescent="0.3">
      <c r="A404" s="34">
        <v>401</v>
      </c>
      <c r="B404" s="36" t="s">
        <v>434</v>
      </c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55"/>
      <c r="Q404" s="25">
        <v>0.2</v>
      </c>
      <c r="R404" s="11"/>
      <c r="S404" s="11"/>
      <c r="T404" s="11"/>
      <c r="U404" s="11"/>
      <c r="V404" s="11"/>
      <c r="W404" s="11"/>
      <c r="X404" s="64"/>
      <c r="Y404" s="22"/>
      <c r="Z404" s="60" t="e">
        <f t="shared" si="14"/>
        <v>#DIV/0!</v>
      </c>
    </row>
    <row r="405" spans="1:26" x14ac:dyDescent="0.3">
      <c r="A405" s="34">
        <v>402</v>
      </c>
      <c r="B405" s="36" t="s">
        <v>435</v>
      </c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55"/>
      <c r="Q405" s="25">
        <v>0.2</v>
      </c>
      <c r="R405" s="11"/>
      <c r="S405" s="11"/>
      <c r="T405" s="11"/>
      <c r="U405" s="11"/>
      <c r="V405" s="11"/>
      <c r="W405" s="11"/>
      <c r="X405" s="64"/>
      <c r="Y405" s="22"/>
      <c r="Z405" s="60" t="e">
        <f t="shared" si="14"/>
        <v>#DIV/0!</v>
      </c>
    </row>
    <row r="406" spans="1:26" x14ac:dyDescent="0.3">
      <c r="A406" s="34">
        <v>403</v>
      </c>
      <c r="B406" s="36" t="s">
        <v>436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55"/>
      <c r="Q406" s="25">
        <v>0.2</v>
      </c>
      <c r="R406" s="11"/>
      <c r="S406" s="11"/>
      <c r="T406" s="11"/>
      <c r="U406" s="11"/>
      <c r="V406" s="11"/>
      <c r="W406" s="11"/>
      <c r="X406" s="64"/>
      <c r="Y406" s="22"/>
      <c r="Z406" s="60" t="e">
        <f t="shared" si="14"/>
        <v>#DIV/0!</v>
      </c>
    </row>
    <row r="407" spans="1:26" x14ac:dyDescent="0.3">
      <c r="A407" s="34">
        <v>404</v>
      </c>
      <c r="B407" s="36" t="s">
        <v>437</v>
      </c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55"/>
      <c r="Q407" s="25">
        <v>0.2</v>
      </c>
      <c r="R407" s="11"/>
      <c r="S407" s="11"/>
      <c r="T407" s="11"/>
      <c r="U407" s="11"/>
      <c r="V407" s="11"/>
      <c r="W407" s="11"/>
      <c r="X407" s="64"/>
      <c r="Y407" s="22"/>
      <c r="Z407" s="60" t="e">
        <f t="shared" si="14"/>
        <v>#DIV/0!</v>
      </c>
    </row>
    <row r="408" spans="1:26" x14ac:dyDescent="0.3">
      <c r="A408" s="34">
        <v>405</v>
      </c>
      <c r="B408" s="36" t="s">
        <v>433</v>
      </c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55"/>
      <c r="Q408" s="25">
        <v>0.2</v>
      </c>
      <c r="R408" s="11"/>
      <c r="S408" s="11"/>
      <c r="T408" s="11"/>
      <c r="U408" s="11"/>
      <c r="V408" s="11"/>
      <c r="W408" s="11"/>
      <c r="X408" s="64"/>
      <c r="Y408" s="22"/>
      <c r="Z408" s="60" t="e">
        <f t="shared" si="14"/>
        <v>#DIV/0!</v>
      </c>
    </row>
    <row r="409" spans="1:26" x14ac:dyDescent="0.3">
      <c r="A409" s="34">
        <v>406</v>
      </c>
      <c r="B409" s="36" t="s">
        <v>434</v>
      </c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55"/>
      <c r="Q409" s="25">
        <v>0.2</v>
      </c>
      <c r="R409" s="11"/>
      <c r="S409" s="11"/>
      <c r="T409" s="11"/>
      <c r="U409" s="11"/>
      <c r="V409" s="11"/>
      <c r="W409" s="11"/>
      <c r="X409" s="64"/>
      <c r="Y409" s="22"/>
      <c r="Z409" s="60" t="e">
        <f t="shared" si="14"/>
        <v>#DIV/0!</v>
      </c>
    </row>
    <row r="410" spans="1:26" x14ac:dyDescent="0.3">
      <c r="A410" s="34">
        <v>407</v>
      </c>
      <c r="B410" s="36" t="s">
        <v>435</v>
      </c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55"/>
      <c r="Q410" s="25">
        <v>0.2</v>
      </c>
      <c r="R410" s="11"/>
      <c r="S410" s="11"/>
      <c r="T410" s="11"/>
      <c r="U410" s="11"/>
      <c r="V410" s="11"/>
      <c r="W410" s="11"/>
      <c r="X410" s="64"/>
      <c r="Y410" s="22"/>
      <c r="Z410" s="60" t="e">
        <f t="shared" si="14"/>
        <v>#DIV/0!</v>
      </c>
    </row>
    <row r="411" spans="1:26" x14ac:dyDescent="0.3">
      <c r="A411" s="34">
        <v>408</v>
      </c>
      <c r="B411" s="36" t="s">
        <v>436</v>
      </c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55"/>
      <c r="Q411" s="25">
        <v>0.2</v>
      </c>
      <c r="R411" s="11"/>
      <c r="S411" s="11"/>
      <c r="T411" s="11"/>
      <c r="U411" s="11"/>
      <c r="V411" s="11"/>
      <c r="W411" s="11"/>
      <c r="X411" s="64"/>
      <c r="Y411" s="22"/>
      <c r="Z411" s="60" t="e">
        <f t="shared" si="14"/>
        <v>#DIV/0!</v>
      </c>
    </row>
    <row r="412" spans="1:26" x14ac:dyDescent="0.3">
      <c r="A412" s="34">
        <v>409</v>
      </c>
      <c r="B412" s="36" t="s">
        <v>438</v>
      </c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55"/>
      <c r="Q412" s="25">
        <v>0.2</v>
      </c>
      <c r="R412" s="11"/>
      <c r="S412" s="11"/>
      <c r="T412" s="11"/>
      <c r="U412" s="11"/>
      <c r="V412" s="11"/>
      <c r="W412" s="11"/>
      <c r="X412" s="64"/>
      <c r="Y412" s="22"/>
      <c r="Z412" s="60" t="e">
        <f t="shared" si="14"/>
        <v>#DIV/0!</v>
      </c>
    </row>
    <row r="413" spans="1:26" x14ac:dyDescent="0.3">
      <c r="A413" s="34">
        <v>410</v>
      </c>
      <c r="B413" s="36" t="s">
        <v>439</v>
      </c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55"/>
      <c r="Q413" s="25">
        <v>0.2</v>
      </c>
      <c r="R413" s="11"/>
      <c r="S413" s="11"/>
      <c r="T413" s="11"/>
      <c r="U413" s="11"/>
      <c r="V413" s="11"/>
      <c r="W413" s="11"/>
      <c r="X413" s="64"/>
      <c r="Y413" s="22"/>
      <c r="Z413" s="60" t="e">
        <f t="shared" si="14"/>
        <v>#DIV/0!</v>
      </c>
    </row>
    <row r="414" spans="1:26" x14ac:dyDescent="0.3">
      <c r="A414" s="34">
        <v>411</v>
      </c>
      <c r="B414" s="36" t="s">
        <v>440</v>
      </c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55"/>
      <c r="Q414" s="25">
        <v>0.2</v>
      </c>
      <c r="R414" s="11"/>
      <c r="S414" s="11"/>
      <c r="T414" s="11"/>
      <c r="U414" s="11"/>
      <c r="V414" s="11"/>
      <c r="W414" s="11"/>
      <c r="X414" s="64"/>
      <c r="Y414" s="22"/>
      <c r="Z414" s="60" t="e">
        <f t="shared" si="14"/>
        <v>#DIV/0!</v>
      </c>
    </row>
    <row r="415" spans="1:26" x14ac:dyDescent="0.3">
      <c r="A415" s="34">
        <v>412</v>
      </c>
      <c r="B415" s="36" t="s">
        <v>441</v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55"/>
      <c r="Q415" s="25">
        <v>0.2</v>
      </c>
      <c r="R415" s="11"/>
      <c r="S415" s="11"/>
      <c r="T415" s="11"/>
      <c r="U415" s="11"/>
      <c r="V415" s="11"/>
      <c r="W415" s="11"/>
      <c r="X415" s="64"/>
      <c r="Y415" s="22"/>
      <c r="Z415" s="60" t="e">
        <f t="shared" si="14"/>
        <v>#DIV/0!</v>
      </c>
    </row>
    <row r="416" spans="1:26" x14ac:dyDescent="0.3">
      <c r="A416" s="34">
        <v>413</v>
      </c>
      <c r="B416" s="36" t="s">
        <v>442</v>
      </c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55"/>
      <c r="Q416" s="25">
        <v>0.2</v>
      </c>
      <c r="R416" s="11"/>
      <c r="S416" s="11"/>
      <c r="T416" s="11"/>
      <c r="U416" s="11"/>
      <c r="V416" s="11"/>
      <c r="W416" s="11"/>
      <c r="X416" s="64"/>
      <c r="Y416" s="22"/>
      <c r="Z416" s="60" t="e">
        <f t="shared" si="14"/>
        <v>#DIV/0!</v>
      </c>
    </row>
    <row r="417" spans="1:26" x14ac:dyDescent="0.3">
      <c r="A417" s="34">
        <v>414</v>
      </c>
      <c r="B417" s="36" t="s">
        <v>443</v>
      </c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55"/>
      <c r="Q417" s="25">
        <v>0.2</v>
      </c>
      <c r="R417" s="11"/>
      <c r="S417" s="11"/>
      <c r="T417" s="11"/>
      <c r="U417" s="11"/>
      <c r="V417" s="11"/>
      <c r="W417" s="11"/>
      <c r="X417" s="64"/>
      <c r="Y417" s="22"/>
      <c r="Z417" s="60" t="e">
        <f t="shared" si="14"/>
        <v>#DIV/0!</v>
      </c>
    </row>
    <row r="418" spans="1:26" x14ac:dyDescent="0.3">
      <c r="A418" s="34">
        <v>415</v>
      </c>
      <c r="B418" s="36" t="s">
        <v>444</v>
      </c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55"/>
      <c r="Q418" s="25">
        <v>0.2</v>
      </c>
      <c r="R418" s="11"/>
      <c r="S418" s="11"/>
      <c r="T418" s="11"/>
      <c r="U418" s="11"/>
      <c r="V418" s="11"/>
      <c r="W418" s="11"/>
      <c r="X418" s="64"/>
      <c r="Y418" s="22"/>
      <c r="Z418" s="60" t="e">
        <f t="shared" si="14"/>
        <v>#DIV/0!</v>
      </c>
    </row>
    <row r="419" spans="1:26" x14ac:dyDescent="0.3">
      <c r="A419" s="34">
        <v>416</v>
      </c>
      <c r="B419" s="36" t="s">
        <v>446</v>
      </c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55"/>
      <c r="Q419" s="25">
        <v>0.2</v>
      </c>
      <c r="R419" s="11"/>
      <c r="S419" s="11"/>
      <c r="T419" s="11"/>
      <c r="U419" s="11"/>
      <c r="V419" s="11"/>
      <c r="W419" s="11"/>
      <c r="X419" s="64"/>
      <c r="Y419" s="22"/>
      <c r="Z419" s="60" t="e">
        <f t="shared" si="14"/>
        <v>#DIV/0!</v>
      </c>
    </row>
    <row r="420" spans="1:26" x14ac:dyDescent="0.3">
      <c r="A420" s="34">
        <v>417</v>
      </c>
      <c r="B420" s="36" t="s">
        <v>445</v>
      </c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55"/>
      <c r="Q420" s="25">
        <v>0.2</v>
      </c>
      <c r="R420" s="11"/>
      <c r="S420" s="11"/>
      <c r="T420" s="11"/>
      <c r="U420" s="11"/>
      <c r="V420" s="11"/>
      <c r="W420" s="11"/>
      <c r="X420" s="64"/>
      <c r="Y420" s="22"/>
      <c r="Z420" s="60" t="e">
        <f t="shared" si="14"/>
        <v>#DIV/0!</v>
      </c>
    </row>
    <row r="421" spans="1:26" x14ac:dyDescent="0.3">
      <c r="A421" s="34">
        <v>418</v>
      </c>
      <c r="B421" s="36" t="s">
        <v>447</v>
      </c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55"/>
      <c r="Q421" s="25">
        <v>0.2</v>
      </c>
      <c r="R421" s="11"/>
      <c r="S421" s="11"/>
      <c r="T421" s="11"/>
      <c r="U421" s="11"/>
      <c r="V421" s="11"/>
      <c r="W421" s="11"/>
      <c r="X421" s="64"/>
      <c r="Y421" s="22"/>
      <c r="Z421" s="60" t="e">
        <f t="shared" si="14"/>
        <v>#DIV/0!</v>
      </c>
    </row>
    <row r="422" spans="1:26" x14ac:dyDescent="0.3">
      <c r="A422" s="34">
        <v>419</v>
      </c>
      <c r="B422" s="36" t="s">
        <v>448</v>
      </c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55"/>
      <c r="Q422" s="25">
        <v>0.2</v>
      </c>
      <c r="R422" s="11"/>
      <c r="S422" s="11"/>
      <c r="T422" s="11"/>
      <c r="U422" s="11"/>
      <c r="V422" s="11"/>
      <c r="W422" s="11"/>
      <c r="X422" s="64"/>
      <c r="Y422" s="22"/>
      <c r="Z422" s="60" t="e">
        <f t="shared" si="14"/>
        <v>#DIV/0!</v>
      </c>
    </row>
    <row r="423" spans="1:26" x14ac:dyDescent="0.3">
      <c r="A423" s="34">
        <v>420</v>
      </c>
      <c r="B423" s="36" t="s">
        <v>449</v>
      </c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55"/>
      <c r="Q423" s="25">
        <v>0.2</v>
      </c>
      <c r="R423" s="11"/>
      <c r="S423" s="11"/>
      <c r="T423" s="11"/>
      <c r="U423" s="11"/>
      <c r="V423" s="11"/>
      <c r="W423" s="11"/>
      <c r="X423" s="64"/>
      <c r="Y423" s="22"/>
      <c r="Z423" s="60" t="e">
        <f t="shared" si="14"/>
        <v>#DIV/0!</v>
      </c>
    </row>
    <row r="424" spans="1:26" x14ac:dyDescent="0.3">
      <c r="A424" s="34">
        <v>421</v>
      </c>
      <c r="B424" s="36" t="s">
        <v>450</v>
      </c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55"/>
      <c r="Q424" s="25">
        <v>0.2</v>
      </c>
      <c r="R424" s="11"/>
      <c r="S424" s="11"/>
      <c r="T424" s="11"/>
      <c r="U424" s="11"/>
      <c r="V424" s="11"/>
      <c r="W424" s="11"/>
      <c r="X424" s="64"/>
      <c r="Y424" s="22"/>
      <c r="Z424" s="60" t="e">
        <f t="shared" si="14"/>
        <v>#DIV/0!</v>
      </c>
    </row>
    <row r="425" spans="1:26" x14ac:dyDescent="0.3">
      <c r="A425" s="34">
        <v>422</v>
      </c>
      <c r="B425" s="36" t="s">
        <v>451</v>
      </c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55"/>
      <c r="Q425" s="25">
        <v>0.2</v>
      </c>
      <c r="R425" s="11"/>
      <c r="S425" s="11"/>
      <c r="T425" s="11"/>
      <c r="U425" s="11"/>
      <c r="V425" s="11"/>
      <c r="W425" s="11"/>
      <c r="X425" s="64"/>
      <c r="Y425" s="22"/>
      <c r="Z425" s="60" t="e">
        <f t="shared" si="14"/>
        <v>#DIV/0!</v>
      </c>
    </row>
    <row r="426" spans="1:26" x14ac:dyDescent="0.3">
      <c r="A426" s="34">
        <v>423</v>
      </c>
      <c r="B426" s="36" t="s">
        <v>452</v>
      </c>
      <c r="C426" s="22"/>
      <c r="D426" s="22"/>
      <c r="E426" s="22"/>
      <c r="F426" s="22"/>
      <c r="G426" s="22"/>
      <c r="H426" s="22"/>
      <c r="I426" s="22"/>
      <c r="J426" s="22"/>
      <c r="K426" s="22"/>
      <c r="L426" s="22">
        <v>49</v>
      </c>
      <c r="M426" s="22"/>
      <c r="N426" s="22"/>
      <c r="O426" s="22"/>
      <c r="P426" s="55">
        <v>6.31</v>
      </c>
      <c r="Q426" s="25">
        <v>0.2</v>
      </c>
      <c r="R426" s="22"/>
      <c r="S426" s="22"/>
      <c r="T426" s="22"/>
      <c r="U426" s="22">
        <v>0.23580000000000001</v>
      </c>
      <c r="V426" s="22">
        <v>0.34589999999999999</v>
      </c>
      <c r="W426" s="22"/>
      <c r="X426" s="62"/>
      <c r="Y426" s="22"/>
      <c r="Z426" s="60">
        <f t="shared" si="14"/>
        <v>0</v>
      </c>
    </row>
    <row r="427" spans="1:26" x14ac:dyDescent="0.3">
      <c r="A427" s="34">
        <v>424</v>
      </c>
      <c r="B427" s="36" t="s">
        <v>453</v>
      </c>
      <c r="C427" s="22"/>
      <c r="D427" s="22"/>
      <c r="E427" s="22"/>
      <c r="F427" s="22"/>
      <c r="G427" s="22"/>
      <c r="H427" s="22"/>
      <c r="I427" s="22"/>
      <c r="J427" s="22"/>
      <c r="K427" s="22"/>
      <c r="L427" s="22">
        <v>55</v>
      </c>
      <c r="M427" s="22"/>
      <c r="N427" s="22"/>
      <c r="O427" s="22"/>
      <c r="P427" s="55">
        <v>2.6080000000000001</v>
      </c>
      <c r="Q427" s="25">
        <v>0.2</v>
      </c>
      <c r="R427" s="22"/>
      <c r="S427" s="22"/>
      <c r="T427" s="22"/>
      <c r="U427" s="22">
        <v>0.23330000000000001</v>
      </c>
      <c r="V427" s="22">
        <v>0.48749999999999999</v>
      </c>
      <c r="W427" s="22"/>
      <c r="X427" s="62"/>
      <c r="Y427" s="22"/>
      <c r="Z427" s="60">
        <f t="shared" si="14"/>
        <v>0</v>
      </c>
    </row>
    <row r="428" spans="1:26" x14ac:dyDescent="0.3">
      <c r="A428" s="34">
        <v>425</v>
      </c>
      <c r="B428" s="36" t="s">
        <v>454</v>
      </c>
      <c r="C428" s="22"/>
      <c r="D428" s="22"/>
      <c r="E428" s="22"/>
      <c r="F428" s="22"/>
      <c r="G428" s="22"/>
      <c r="H428" s="22"/>
      <c r="I428" s="22"/>
      <c r="J428" s="22"/>
      <c r="K428" s="22"/>
      <c r="L428" s="22">
        <v>48</v>
      </c>
      <c r="M428" s="22"/>
      <c r="N428" s="22"/>
      <c r="O428" s="22"/>
      <c r="P428" s="55">
        <v>1.526</v>
      </c>
      <c r="Q428" s="25">
        <v>0.2</v>
      </c>
      <c r="R428" s="22"/>
      <c r="S428" s="22"/>
      <c r="T428" s="22"/>
      <c r="U428" s="22">
        <v>0.23810000000000001</v>
      </c>
      <c r="V428" s="22">
        <v>0.29559999999999997</v>
      </c>
      <c r="W428" s="22"/>
      <c r="X428" s="62"/>
      <c r="Y428" s="22"/>
      <c r="Z428" s="60">
        <f t="shared" si="14"/>
        <v>0</v>
      </c>
    </row>
    <row r="429" spans="1:26" x14ac:dyDescent="0.3">
      <c r="A429" s="34">
        <v>426</v>
      </c>
      <c r="B429" s="36" t="s">
        <v>455</v>
      </c>
      <c r="C429" s="22"/>
      <c r="D429" s="22"/>
      <c r="E429" s="22"/>
      <c r="F429" s="22"/>
      <c r="G429" s="22"/>
      <c r="H429" s="22"/>
      <c r="I429" s="22"/>
      <c r="J429" s="22"/>
      <c r="K429" s="22"/>
      <c r="L429" s="22">
        <v>70</v>
      </c>
      <c r="M429" s="22"/>
      <c r="N429" s="22"/>
      <c r="O429" s="22"/>
      <c r="P429" s="55">
        <v>3.4870000000000001</v>
      </c>
      <c r="Q429" s="25">
        <v>0.2</v>
      </c>
      <c r="R429" s="22"/>
      <c r="S429" s="22"/>
      <c r="T429" s="22"/>
      <c r="U429" s="22">
        <v>0.2382</v>
      </c>
      <c r="V429" s="22">
        <v>0.25330000000000003</v>
      </c>
      <c r="W429" s="22"/>
      <c r="X429" s="62"/>
      <c r="Y429" s="22"/>
      <c r="Z429" s="60">
        <f t="shared" si="14"/>
        <v>0</v>
      </c>
    </row>
    <row r="430" spans="1:26" x14ac:dyDescent="0.3">
      <c r="A430" s="34">
        <v>427</v>
      </c>
      <c r="B430" s="36" t="s">
        <v>456</v>
      </c>
      <c r="C430" s="22"/>
      <c r="D430" s="22"/>
      <c r="E430" s="22"/>
      <c r="F430" s="22"/>
      <c r="G430" s="22"/>
      <c r="H430" s="22"/>
      <c r="I430" s="22"/>
      <c r="J430" s="22"/>
      <c r="K430" s="22"/>
      <c r="L430" s="22">
        <v>53</v>
      </c>
      <c r="M430" s="22"/>
      <c r="N430" s="22"/>
      <c r="O430" s="22"/>
      <c r="P430" s="55">
        <v>2.7490000000000001</v>
      </c>
      <c r="Q430" s="25">
        <v>0.2</v>
      </c>
      <c r="R430" s="22"/>
      <c r="S430" s="22"/>
      <c r="T430" s="22"/>
      <c r="U430" s="22">
        <v>0.2356</v>
      </c>
      <c r="V430" s="22">
        <v>0.2964</v>
      </c>
      <c r="W430" s="22"/>
      <c r="X430" s="62"/>
      <c r="Y430" s="22"/>
      <c r="Z430" s="60">
        <f t="shared" si="14"/>
        <v>0</v>
      </c>
    </row>
    <row r="431" spans="1:26" x14ac:dyDescent="0.3">
      <c r="A431" s="34">
        <v>428</v>
      </c>
      <c r="B431" s="36" t="s">
        <v>457</v>
      </c>
      <c r="C431" s="22"/>
      <c r="D431" s="22"/>
      <c r="E431" s="22"/>
      <c r="F431" s="22"/>
      <c r="G431" s="22"/>
      <c r="H431" s="22"/>
      <c r="I431" s="22"/>
      <c r="J431" s="22"/>
      <c r="K431" s="22"/>
      <c r="L431" s="22">
        <v>75</v>
      </c>
      <c r="M431" s="22"/>
      <c r="N431" s="22"/>
      <c r="O431" s="22"/>
      <c r="P431" s="55">
        <v>2.407</v>
      </c>
      <c r="Q431" s="25">
        <v>0.2</v>
      </c>
      <c r="R431" s="22"/>
      <c r="S431" s="22"/>
      <c r="T431" s="22"/>
      <c r="U431" s="22">
        <v>0.2344</v>
      </c>
      <c r="V431" s="22">
        <v>0.26469999999999999</v>
      </c>
      <c r="W431" s="22"/>
      <c r="X431" s="62"/>
      <c r="Y431" s="22"/>
      <c r="Z431" s="60">
        <f t="shared" si="14"/>
        <v>0</v>
      </c>
    </row>
    <row r="432" spans="1:26" x14ac:dyDescent="0.3">
      <c r="A432" s="34">
        <v>429</v>
      </c>
      <c r="B432" s="36" t="s">
        <v>458</v>
      </c>
      <c r="C432" s="22"/>
      <c r="D432" s="22"/>
      <c r="E432" s="22"/>
      <c r="F432" s="22"/>
      <c r="G432" s="22"/>
      <c r="H432" s="22"/>
      <c r="I432" s="22"/>
      <c r="J432" s="22"/>
      <c r="K432" s="22"/>
      <c r="L432" s="22">
        <v>60</v>
      </c>
      <c r="M432" s="22"/>
      <c r="N432" s="22"/>
      <c r="O432" s="22"/>
      <c r="P432" s="55">
        <v>1.9159999999999999</v>
      </c>
      <c r="Q432" s="25">
        <v>0.2</v>
      </c>
      <c r="R432" s="22"/>
      <c r="S432" s="22"/>
      <c r="T432" s="22"/>
      <c r="U432" s="22">
        <v>0.2336</v>
      </c>
      <c r="V432" s="22">
        <v>0.26100000000000001</v>
      </c>
      <c r="W432" s="22"/>
      <c r="X432" s="62"/>
      <c r="Y432" s="22"/>
      <c r="Z432" s="60">
        <f t="shared" si="14"/>
        <v>0</v>
      </c>
    </row>
    <row r="433" spans="1:26" x14ac:dyDescent="0.3">
      <c r="A433" s="34">
        <v>430</v>
      </c>
      <c r="B433" s="36" t="s">
        <v>459</v>
      </c>
      <c r="C433" s="22"/>
      <c r="D433" s="22"/>
      <c r="E433" s="22"/>
      <c r="F433" s="22"/>
      <c r="G433" s="22"/>
      <c r="H433" s="22"/>
      <c r="I433" s="22"/>
      <c r="J433" s="22"/>
      <c r="K433" s="22"/>
      <c r="L433" s="22">
        <v>55</v>
      </c>
      <c r="M433" s="22"/>
      <c r="N433" s="22"/>
      <c r="O433" s="22"/>
      <c r="P433" s="55">
        <v>8.6</v>
      </c>
      <c r="Q433" s="25">
        <v>0.2</v>
      </c>
      <c r="R433" s="22"/>
      <c r="S433" s="22"/>
      <c r="T433" s="22"/>
      <c r="U433" s="22">
        <v>0.2382</v>
      </c>
      <c r="V433" s="22">
        <v>0.26019999999999999</v>
      </c>
      <c r="W433" s="22"/>
      <c r="X433" s="62"/>
      <c r="Y433" s="22"/>
      <c r="Z433" s="60">
        <f t="shared" si="14"/>
        <v>0</v>
      </c>
    </row>
    <row r="434" spans="1:26" x14ac:dyDescent="0.3">
      <c r="A434" s="34">
        <v>431</v>
      </c>
      <c r="B434" s="36" t="s">
        <v>460</v>
      </c>
      <c r="C434" s="22"/>
      <c r="D434" s="22"/>
      <c r="E434" s="22"/>
      <c r="F434" s="22"/>
      <c r="G434" s="22"/>
      <c r="H434" s="22"/>
      <c r="I434" s="22"/>
      <c r="J434" s="22"/>
      <c r="K434" s="22"/>
      <c r="L434" s="22">
        <v>200</v>
      </c>
      <c r="M434" s="22"/>
      <c r="N434" s="22"/>
      <c r="O434" s="22"/>
      <c r="P434" s="55"/>
      <c r="Q434" s="25">
        <v>0.2</v>
      </c>
      <c r="R434" s="22"/>
      <c r="S434" s="22"/>
      <c r="T434" s="22"/>
      <c r="U434" s="22">
        <v>0.2336</v>
      </c>
      <c r="V434" s="22">
        <v>0.23549999999999999</v>
      </c>
      <c r="W434" s="22"/>
      <c r="X434" s="62"/>
      <c r="Y434" s="22"/>
      <c r="Z434" s="60">
        <f t="shared" si="14"/>
        <v>0</v>
      </c>
    </row>
    <row r="435" spans="1:26" x14ac:dyDescent="0.3">
      <c r="A435" s="34">
        <v>432</v>
      </c>
      <c r="B435" s="36" t="s">
        <v>461</v>
      </c>
      <c r="C435" s="22"/>
      <c r="D435" s="22"/>
      <c r="E435" s="22"/>
      <c r="F435" s="22"/>
      <c r="G435" s="22"/>
      <c r="H435" s="22"/>
      <c r="I435" s="22"/>
      <c r="J435" s="22"/>
      <c r="K435" s="22"/>
      <c r="L435" s="22">
        <v>205</v>
      </c>
      <c r="M435" s="22"/>
      <c r="N435" s="22"/>
      <c r="O435" s="22"/>
      <c r="P435" s="55"/>
      <c r="Q435" s="25">
        <v>0.2</v>
      </c>
      <c r="R435" s="22"/>
      <c r="S435" s="22"/>
      <c r="T435" s="22"/>
      <c r="U435" s="22">
        <v>0.2346</v>
      </c>
      <c r="V435" s="22">
        <v>0.23630000000000001</v>
      </c>
      <c r="W435" s="22"/>
      <c r="X435" s="62"/>
      <c r="Y435" s="22"/>
      <c r="Z435" s="60">
        <f t="shared" si="14"/>
        <v>0</v>
      </c>
    </row>
    <row r="436" spans="1:26" x14ac:dyDescent="0.3">
      <c r="A436" s="34">
        <v>433</v>
      </c>
      <c r="B436" s="36" t="s">
        <v>462</v>
      </c>
      <c r="C436" s="22"/>
      <c r="D436" s="22"/>
      <c r="E436" s="22"/>
      <c r="F436" s="22"/>
      <c r="G436" s="22"/>
      <c r="H436" s="22"/>
      <c r="I436" s="22"/>
      <c r="J436" s="22"/>
      <c r="K436" s="22"/>
      <c r="L436" s="22" t="s">
        <v>468</v>
      </c>
      <c r="M436" s="22"/>
      <c r="N436" s="22"/>
      <c r="O436" s="22"/>
      <c r="P436" s="55"/>
      <c r="Q436" s="25">
        <v>0.2</v>
      </c>
      <c r="R436" s="22"/>
      <c r="S436" s="22"/>
      <c r="T436" s="22"/>
      <c r="U436" s="22">
        <v>0.2364</v>
      </c>
      <c r="V436" s="22">
        <v>0.23960000000000001</v>
      </c>
      <c r="W436" s="22"/>
      <c r="X436" s="62"/>
      <c r="Y436" s="22"/>
      <c r="Z436" s="60" t="e">
        <f t="shared" si="14"/>
        <v>#VALUE!</v>
      </c>
    </row>
    <row r="437" spans="1:26" x14ac:dyDescent="0.3">
      <c r="A437" s="34">
        <v>434</v>
      </c>
      <c r="B437" s="36" t="s">
        <v>463</v>
      </c>
      <c r="C437" s="22"/>
      <c r="D437" s="22"/>
      <c r="E437" s="22"/>
      <c r="F437" s="22"/>
      <c r="G437" s="22"/>
      <c r="H437" s="22"/>
      <c r="I437" s="22"/>
      <c r="J437" s="22"/>
      <c r="K437" s="22"/>
      <c r="L437" s="22" t="s">
        <v>468</v>
      </c>
      <c r="M437" s="22"/>
      <c r="N437" s="22"/>
      <c r="O437" s="22"/>
      <c r="P437" s="55"/>
      <c r="Q437" s="25">
        <v>0.2</v>
      </c>
      <c r="R437" s="22"/>
      <c r="S437" s="22"/>
      <c r="T437" s="22"/>
      <c r="U437" s="22">
        <v>0.2354</v>
      </c>
      <c r="V437" s="22">
        <v>0.23860000000000001</v>
      </c>
      <c r="W437" s="22"/>
      <c r="X437" s="62"/>
      <c r="Y437" s="22"/>
      <c r="Z437" s="60" t="e">
        <f t="shared" si="14"/>
        <v>#VALUE!</v>
      </c>
    </row>
    <row r="438" spans="1:26" x14ac:dyDescent="0.3">
      <c r="A438" s="34">
        <v>435</v>
      </c>
      <c r="B438" s="36" t="s">
        <v>464</v>
      </c>
      <c r="C438" s="22"/>
      <c r="D438" s="22"/>
      <c r="E438" s="22"/>
      <c r="F438" s="22"/>
      <c r="G438" s="22"/>
      <c r="H438" s="22"/>
      <c r="I438" s="22"/>
      <c r="J438" s="22"/>
      <c r="K438" s="22"/>
      <c r="L438" s="22">
        <v>150</v>
      </c>
      <c r="M438" s="22"/>
      <c r="N438" s="22"/>
      <c r="O438" s="22"/>
      <c r="P438" s="55"/>
      <c r="Q438" s="25">
        <v>0.2</v>
      </c>
      <c r="R438" s="22"/>
      <c r="S438" s="22"/>
      <c r="T438" s="22"/>
      <c r="U438" s="22">
        <v>0.23649999999999999</v>
      </c>
      <c r="V438" s="22">
        <v>0.2379</v>
      </c>
      <c r="W438" s="22"/>
      <c r="X438" s="62"/>
      <c r="Y438" s="22"/>
      <c r="Z438" s="60">
        <f t="shared" si="14"/>
        <v>0</v>
      </c>
    </row>
    <row r="439" spans="1:26" x14ac:dyDescent="0.3">
      <c r="A439" s="43">
        <v>436</v>
      </c>
      <c r="B439" s="42" t="s">
        <v>465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>
        <v>150</v>
      </c>
      <c r="M439" s="22"/>
      <c r="N439" s="22"/>
      <c r="O439" s="22"/>
      <c r="P439" s="55"/>
      <c r="Q439" s="25">
        <v>0.2</v>
      </c>
      <c r="R439" s="22"/>
      <c r="S439" s="22"/>
      <c r="T439" s="22"/>
      <c r="U439" s="22">
        <v>0.23319999999999999</v>
      </c>
      <c r="V439" s="22">
        <v>0.23519999999999999</v>
      </c>
      <c r="W439" s="22"/>
      <c r="X439" s="62"/>
      <c r="Y439" s="48">
        <v>1.3151974869000001E-2</v>
      </c>
      <c r="Z439" s="60">
        <f t="shared" si="14"/>
        <v>8.767983246000001E-2</v>
      </c>
    </row>
    <row r="440" spans="1:26" x14ac:dyDescent="0.3">
      <c r="A440" s="34">
        <v>437</v>
      </c>
      <c r="B440" s="36" t="s">
        <v>466</v>
      </c>
      <c r="C440" s="22"/>
      <c r="D440" s="22"/>
      <c r="E440" s="22"/>
      <c r="F440" s="22"/>
      <c r="G440" s="22"/>
      <c r="H440" s="22"/>
      <c r="I440" s="22"/>
      <c r="J440" s="22"/>
      <c r="K440" s="22"/>
      <c r="L440" s="22">
        <v>200</v>
      </c>
      <c r="M440" s="22"/>
      <c r="N440" s="22"/>
      <c r="O440" s="22"/>
      <c r="P440" s="55"/>
      <c r="Q440" s="25">
        <v>0.2</v>
      </c>
      <c r="R440" s="22"/>
      <c r="S440" s="22"/>
      <c r="T440" s="22"/>
      <c r="U440" s="22">
        <v>0.23730000000000001</v>
      </c>
      <c r="V440" s="22">
        <v>0.23849999999999999</v>
      </c>
      <c r="W440" s="22"/>
      <c r="X440" s="62"/>
      <c r="Y440" s="22"/>
      <c r="Z440" s="60">
        <f t="shared" si="14"/>
        <v>0</v>
      </c>
    </row>
    <row r="441" spans="1:26" x14ac:dyDescent="0.3">
      <c r="A441" s="34">
        <v>438</v>
      </c>
      <c r="B441" s="36" t="s">
        <v>467</v>
      </c>
      <c r="C441" s="22"/>
      <c r="D441" s="22"/>
      <c r="E441" s="22"/>
      <c r="F441" s="22"/>
      <c r="G441" s="22"/>
      <c r="H441" s="22"/>
      <c r="I441" s="22"/>
      <c r="J441" s="22"/>
      <c r="K441" s="22"/>
      <c r="L441" s="22">
        <v>200</v>
      </c>
      <c r="M441" s="22"/>
      <c r="N441" s="22"/>
      <c r="O441" s="22"/>
      <c r="P441" s="55"/>
      <c r="Q441" s="25">
        <v>0.2</v>
      </c>
      <c r="R441" s="22"/>
      <c r="S441" s="22"/>
      <c r="T441" s="22"/>
      <c r="U441" s="22">
        <v>0.23430000000000001</v>
      </c>
      <c r="V441" s="22">
        <v>0.23569999999999999</v>
      </c>
      <c r="W441" s="22"/>
      <c r="X441" s="62"/>
      <c r="Y441" s="22"/>
      <c r="Z441" s="60">
        <f t="shared" si="14"/>
        <v>0</v>
      </c>
    </row>
    <row r="442" spans="1:26" x14ac:dyDescent="0.3">
      <c r="A442" s="43">
        <v>439</v>
      </c>
      <c r="B442" s="42" t="s">
        <v>471</v>
      </c>
      <c r="C442" s="22"/>
      <c r="D442" s="22"/>
      <c r="E442" s="22"/>
      <c r="F442" s="22"/>
      <c r="G442" s="22"/>
      <c r="H442" s="22"/>
      <c r="I442" s="22"/>
      <c r="J442" s="22"/>
      <c r="K442" s="22"/>
      <c r="L442" s="22">
        <v>100</v>
      </c>
      <c r="M442" s="22"/>
      <c r="N442" s="22"/>
      <c r="O442" s="22"/>
      <c r="P442" s="55">
        <v>2.7629999999999999</v>
      </c>
      <c r="Q442" s="25">
        <v>0.2</v>
      </c>
      <c r="R442" s="22"/>
      <c r="S442" s="22"/>
      <c r="T442" s="22"/>
      <c r="U442" s="22">
        <v>0.2336</v>
      </c>
      <c r="V442" s="22">
        <v>0.25230000000000002</v>
      </c>
      <c r="W442" s="22"/>
      <c r="X442" s="62"/>
      <c r="Y442" s="48">
        <v>0.10936144124800001</v>
      </c>
      <c r="Z442" s="60">
        <f t="shared" si="14"/>
        <v>1.09361441248</v>
      </c>
    </row>
    <row r="443" spans="1:26" x14ac:dyDescent="0.3">
      <c r="A443" s="43">
        <v>440</v>
      </c>
      <c r="B443" s="42" t="s">
        <v>472</v>
      </c>
      <c r="C443" s="22"/>
      <c r="D443" s="22"/>
      <c r="E443" s="22"/>
      <c r="F443" s="22"/>
      <c r="G443" s="22"/>
      <c r="H443" s="22"/>
      <c r="I443" s="22"/>
      <c r="J443" s="22"/>
      <c r="K443" s="22"/>
      <c r="L443" s="22">
        <v>90</v>
      </c>
      <c r="M443" s="22"/>
      <c r="N443" s="22"/>
      <c r="O443" s="22"/>
      <c r="P443" s="55">
        <v>3.1280000000000001</v>
      </c>
      <c r="Q443" s="25">
        <v>0.2</v>
      </c>
      <c r="R443" s="22"/>
      <c r="S443" s="22"/>
      <c r="T443" s="22"/>
      <c r="U443" s="22">
        <v>0.2349</v>
      </c>
      <c r="V443" s="22">
        <v>2.4479999999999998E-2</v>
      </c>
      <c r="W443" s="22"/>
      <c r="X443" s="62"/>
      <c r="Y443" s="48">
        <v>3.1466485372000003E-2</v>
      </c>
      <c r="Z443" s="60">
        <f t="shared" si="14"/>
        <v>0.34962761524444447</v>
      </c>
    </row>
    <row r="444" spans="1:26" x14ac:dyDescent="0.3">
      <c r="A444" s="43">
        <v>441</v>
      </c>
      <c r="B444" s="42" t="s">
        <v>473</v>
      </c>
      <c r="C444" s="22"/>
      <c r="D444" s="22"/>
      <c r="E444" s="22"/>
      <c r="F444" s="22"/>
      <c r="G444" s="22"/>
      <c r="H444" s="22"/>
      <c r="I444" s="22"/>
      <c r="J444" s="22"/>
      <c r="K444" s="22"/>
      <c r="L444" s="22">
        <v>90</v>
      </c>
      <c r="M444" s="22"/>
      <c r="N444" s="22"/>
      <c r="O444" s="22"/>
      <c r="P444" s="55">
        <v>3.5529999999999999</v>
      </c>
      <c r="Q444" s="25">
        <v>0.2</v>
      </c>
      <c r="R444" s="22"/>
      <c r="S444" s="22"/>
      <c r="T444" s="22"/>
      <c r="U444" s="22">
        <v>0.23330000000000001</v>
      </c>
      <c r="V444" s="22">
        <v>0.23810000000000001</v>
      </c>
      <c r="W444" s="22"/>
      <c r="X444" s="62"/>
      <c r="Y444" s="48">
        <v>2.2791247338000004E-2</v>
      </c>
      <c r="Z444" s="60">
        <f t="shared" si="14"/>
        <v>0.25323608153333338</v>
      </c>
    </row>
    <row r="445" spans="1:26" x14ac:dyDescent="0.3">
      <c r="A445" s="43">
        <v>442</v>
      </c>
      <c r="B445" s="42" t="s">
        <v>474</v>
      </c>
      <c r="C445" s="22"/>
      <c r="D445" s="22"/>
      <c r="E445" s="22"/>
      <c r="F445" s="22"/>
      <c r="G445" s="22"/>
      <c r="H445" s="22"/>
      <c r="I445" s="22"/>
      <c r="J445" s="22"/>
      <c r="K445" s="22"/>
      <c r="L445" s="22">
        <v>100</v>
      </c>
      <c r="M445" s="22"/>
      <c r="N445" s="22"/>
      <c r="O445" s="22"/>
      <c r="P445" s="55">
        <v>3.9260000000000002</v>
      </c>
      <c r="Q445" s="25">
        <v>0.2</v>
      </c>
      <c r="R445" s="22"/>
      <c r="S445" s="22"/>
      <c r="T445" s="22"/>
      <c r="U445" s="22">
        <v>0.23699999999999999</v>
      </c>
      <c r="V445" s="22">
        <v>0.245</v>
      </c>
      <c r="W445" s="22"/>
      <c r="X445" s="62"/>
      <c r="Y445" s="48">
        <v>2.7330828406000002E-2</v>
      </c>
      <c r="Z445" s="60">
        <f t="shared" si="14"/>
        <v>0.27330828406000002</v>
      </c>
    </row>
    <row r="446" spans="1:26" x14ac:dyDescent="0.3">
      <c r="A446" s="43">
        <v>443</v>
      </c>
      <c r="B446" s="42" t="s">
        <v>475</v>
      </c>
      <c r="C446" s="22"/>
      <c r="D446" s="22"/>
      <c r="E446" s="22"/>
      <c r="F446" s="22"/>
      <c r="G446" s="22"/>
      <c r="H446" s="22"/>
      <c r="I446" s="22"/>
      <c r="J446" s="22"/>
      <c r="K446" s="22"/>
      <c r="L446" s="22">
        <v>90</v>
      </c>
      <c r="M446" s="22"/>
      <c r="N446" s="22"/>
      <c r="O446" s="22"/>
      <c r="P446" s="55">
        <v>4.1580000000000004</v>
      </c>
      <c r="Q446" s="25">
        <v>0.2</v>
      </c>
      <c r="R446" s="22"/>
      <c r="S446" s="22"/>
      <c r="T446" s="22"/>
      <c r="U446" s="22">
        <v>0.2404</v>
      </c>
      <c r="V446" s="22">
        <v>0.24429999999999999</v>
      </c>
      <c r="W446" s="22"/>
      <c r="X446" s="62"/>
      <c r="Y446" s="48">
        <v>1.9480583671000001E-2</v>
      </c>
      <c r="Z446" s="60">
        <f t="shared" si="14"/>
        <v>0.21645092967777779</v>
      </c>
    </row>
    <row r="447" spans="1:26" x14ac:dyDescent="0.3">
      <c r="A447" s="43">
        <v>444</v>
      </c>
      <c r="B447" s="42" t="s">
        <v>476</v>
      </c>
      <c r="C447" s="22"/>
      <c r="D447" s="22"/>
      <c r="E447" s="22"/>
      <c r="F447" s="22"/>
      <c r="G447" s="22"/>
      <c r="H447" s="22"/>
      <c r="I447" s="22"/>
      <c r="J447" s="22"/>
      <c r="K447" s="22"/>
      <c r="L447" s="22">
        <v>90</v>
      </c>
      <c r="M447" s="22"/>
      <c r="N447" s="22"/>
      <c r="O447" s="22"/>
      <c r="P447" s="55">
        <v>4.5709999999999997</v>
      </c>
      <c r="Q447" s="25">
        <v>0.2</v>
      </c>
      <c r="R447" s="22"/>
      <c r="S447" s="22"/>
      <c r="T447" s="22"/>
      <c r="U447" s="22">
        <v>0.23810000000000001</v>
      </c>
      <c r="V447" s="22">
        <v>0.24640000000000001</v>
      </c>
      <c r="W447" s="22"/>
      <c r="X447" s="62"/>
      <c r="Y447" s="48">
        <v>2.7231973638999998E-2</v>
      </c>
      <c r="Z447" s="60">
        <f t="shared" si="14"/>
        <v>0.30257748487777775</v>
      </c>
    </row>
    <row r="448" spans="1:26" x14ac:dyDescent="0.3">
      <c r="A448" s="43">
        <v>445</v>
      </c>
      <c r="B448" s="42" t="s">
        <v>477</v>
      </c>
      <c r="C448" s="22"/>
      <c r="D448" s="22"/>
      <c r="E448" s="22"/>
      <c r="F448" s="22"/>
      <c r="G448" s="22"/>
      <c r="H448" s="22"/>
      <c r="I448" s="22"/>
      <c r="J448" s="22"/>
      <c r="K448" s="22"/>
      <c r="L448" s="22">
        <v>90</v>
      </c>
      <c r="M448" s="22"/>
      <c r="N448" s="22"/>
      <c r="O448" s="22"/>
      <c r="P448" s="55">
        <v>5.15</v>
      </c>
      <c r="Q448" s="25">
        <v>0.2</v>
      </c>
      <c r="R448" s="22"/>
      <c r="S448" s="22"/>
      <c r="T448" s="22"/>
      <c r="U448" s="22">
        <v>0.24129999999999999</v>
      </c>
      <c r="V448" s="22">
        <v>0.246</v>
      </c>
      <c r="W448" s="22"/>
      <c r="X448" s="62"/>
      <c r="Y448" s="48">
        <v>3.4019412521999998E-2</v>
      </c>
      <c r="Z448" s="60">
        <f t="shared" si="14"/>
        <v>0.37799347246666665</v>
      </c>
    </row>
    <row r="449" spans="1:26" x14ac:dyDescent="0.3">
      <c r="A449" s="43">
        <v>446</v>
      </c>
      <c r="B449" s="42" t="s">
        <v>478</v>
      </c>
      <c r="C449" s="22"/>
      <c r="D449" s="22"/>
      <c r="E449" s="22"/>
      <c r="F449" s="22"/>
      <c r="G449" s="22"/>
      <c r="H449" s="22"/>
      <c r="I449" s="22"/>
      <c r="J449" s="22"/>
      <c r="K449" s="22"/>
      <c r="L449" s="22">
        <v>90</v>
      </c>
      <c r="M449" s="22"/>
      <c r="N449" s="22"/>
      <c r="O449" s="22"/>
      <c r="P449" s="55">
        <v>8.5760000000000005</v>
      </c>
      <c r="Q449" s="25">
        <v>0.2</v>
      </c>
      <c r="R449" s="22"/>
      <c r="S449" s="22"/>
      <c r="T449" s="22"/>
      <c r="U449" s="22">
        <v>0.23680000000000001</v>
      </c>
      <c r="V449" s="22">
        <v>0.24579999999999999</v>
      </c>
      <c r="W449" s="22"/>
      <c r="X449" s="62"/>
      <c r="Y449" s="48">
        <v>4.5705195878000003E-2</v>
      </c>
      <c r="Z449" s="60">
        <f t="shared" si="14"/>
        <v>0.50783550975555558</v>
      </c>
    </row>
    <row r="450" spans="1:26" x14ac:dyDescent="0.3">
      <c r="A450" s="43">
        <v>447</v>
      </c>
      <c r="B450" s="42" t="s">
        <v>479</v>
      </c>
      <c r="C450" s="22"/>
      <c r="D450" s="22"/>
      <c r="E450" s="22"/>
      <c r="F450" s="22"/>
      <c r="G450" s="22"/>
      <c r="H450" s="22"/>
      <c r="I450" s="22"/>
      <c r="J450" s="22"/>
      <c r="K450" s="22"/>
      <c r="L450" s="22">
        <v>90</v>
      </c>
      <c r="M450" s="22"/>
      <c r="N450" s="22"/>
      <c r="O450" s="22"/>
      <c r="P450" s="55">
        <v>4.0309999999999997</v>
      </c>
      <c r="Q450" s="25">
        <v>0.2</v>
      </c>
      <c r="R450" s="22"/>
      <c r="S450" s="22"/>
      <c r="T450" s="22"/>
      <c r="U450" s="22">
        <v>0.23449999999999999</v>
      </c>
      <c r="V450" s="22">
        <v>0.24399999999999999</v>
      </c>
      <c r="W450" s="22"/>
      <c r="X450" s="62"/>
      <c r="Y450" s="48">
        <v>3.6638882977999998E-2</v>
      </c>
      <c r="Z450" s="60">
        <f t="shared" si="14"/>
        <v>0.40709869975555557</v>
      </c>
    </row>
    <row r="451" spans="1:26" x14ac:dyDescent="0.3">
      <c r="A451" s="43">
        <v>448</v>
      </c>
      <c r="B451" s="42" t="s">
        <v>480</v>
      </c>
      <c r="C451" s="22"/>
      <c r="D451" s="22"/>
      <c r="E451" s="22"/>
      <c r="F451" s="22"/>
      <c r="G451" s="22"/>
      <c r="H451" s="22"/>
      <c r="I451" s="22"/>
      <c r="J451" s="22"/>
      <c r="K451" s="22"/>
      <c r="L451" s="22">
        <v>90</v>
      </c>
      <c r="M451" s="22"/>
      <c r="N451" s="22"/>
      <c r="O451" s="22"/>
      <c r="P451" s="55">
        <v>4.1859999999999999</v>
      </c>
      <c r="Q451" s="25">
        <v>0.2</v>
      </c>
      <c r="R451" s="22"/>
      <c r="S451" s="22"/>
      <c r="T451" s="22"/>
      <c r="U451" s="22">
        <v>0.23069999999999999</v>
      </c>
      <c r="V451" s="22">
        <v>0.23519999999999999</v>
      </c>
      <c r="W451" s="22"/>
      <c r="X451" s="62"/>
      <c r="Y451" s="48">
        <v>2.4494687958E-2</v>
      </c>
      <c r="Z451" s="60">
        <f t="shared" si="14"/>
        <v>0.27216319953333334</v>
      </c>
    </row>
    <row r="452" spans="1:26" x14ac:dyDescent="0.3">
      <c r="A452" s="43">
        <v>449</v>
      </c>
      <c r="B452" s="42" t="s">
        <v>481</v>
      </c>
      <c r="C452" s="22"/>
      <c r="D452" s="22"/>
      <c r="E452" s="22"/>
      <c r="F452" s="22"/>
      <c r="G452" s="22"/>
      <c r="H452" s="22"/>
      <c r="I452" s="22"/>
      <c r="J452" s="22"/>
      <c r="K452" s="22"/>
      <c r="L452" s="22">
        <v>90</v>
      </c>
      <c r="M452" s="22"/>
      <c r="N452" s="22"/>
      <c r="O452" s="22"/>
      <c r="P452" s="55">
        <v>4.351</v>
      </c>
      <c r="Q452" s="25">
        <v>0.2</v>
      </c>
      <c r="R452" s="22"/>
      <c r="S452" s="22"/>
      <c r="T452" s="22"/>
      <c r="U452" s="22">
        <v>0.23380000000000001</v>
      </c>
      <c r="V452" s="22">
        <v>0.24</v>
      </c>
      <c r="W452" s="22"/>
      <c r="X452" s="62"/>
      <c r="Y452" s="48">
        <v>2.4655271735000001E-2</v>
      </c>
      <c r="Z452" s="60">
        <f t="shared" si="14"/>
        <v>0.27394746372222223</v>
      </c>
    </row>
    <row r="453" spans="1:26" x14ac:dyDescent="0.3">
      <c r="A453" s="34">
        <v>450</v>
      </c>
      <c r="B453" s="36" t="s">
        <v>482</v>
      </c>
      <c r="C453" s="22"/>
      <c r="D453" s="22"/>
      <c r="E453" s="22"/>
      <c r="F453" s="22"/>
      <c r="G453" s="22"/>
      <c r="H453" s="22"/>
      <c r="I453" s="22"/>
      <c r="J453" s="22"/>
      <c r="K453" s="22"/>
      <c r="L453" s="22">
        <v>90</v>
      </c>
      <c r="M453" s="22"/>
      <c r="N453" s="22"/>
      <c r="O453" s="22"/>
      <c r="P453" s="55">
        <v>4.3109999999999999</v>
      </c>
      <c r="Q453" s="25">
        <v>0.2</v>
      </c>
      <c r="R453" s="22"/>
      <c r="S453" s="22"/>
      <c r="T453" s="22"/>
      <c r="U453" s="22">
        <v>0.23300000000000001</v>
      </c>
      <c r="V453" s="22">
        <v>0.23760000000000001</v>
      </c>
      <c r="W453" s="22"/>
      <c r="X453" s="62"/>
      <c r="Y453" s="22"/>
      <c r="Z453" s="60">
        <f t="shared" si="14"/>
        <v>0</v>
      </c>
    </row>
    <row r="454" spans="1:26" x14ac:dyDescent="0.3">
      <c r="A454" s="43">
        <v>451</v>
      </c>
      <c r="B454" s="42" t="s">
        <v>483</v>
      </c>
      <c r="C454" s="22"/>
      <c r="D454" s="22"/>
      <c r="E454" s="22"/>
      <c r="F454" s="22"/>
      <c r="G454" s="22"/>
      <c r="H454" s="22"/>
      <c r="I454" s="22"/>
      <c r="J454" s="22"/>
      <c r="K454" s="22"/>
      <c r="L454" s="22">
        <v>95</v>
      </c>
      <c r="M454" s="22"/>
      <c r="N454" s="22"/>
      <c r="O454" s="22"/>
      <c r="P454" s="55">
        <v>4.4720000000000004</v>
      </c>
      <c r="Q454" s="25">
        <v>0.2</v>
      </c>
      <c r="R454" s="22"/>
      <c r="S454" s="22"/>
      <c r="T454" s="22"/>
      <c r="U454" s="22">
        <v>0.2319</v>
      </c>
      <c r="V454" s="22">
        <v>0.23619999999999999</v>
      </c>
      <c r="W454" s="22"/>
      <c r="X454" s="62"/>
      <c r="Y454" s="48">
        <v>2.0539583762000001E-2</v>
      </c>
      <c r="Z454" s="60">
        <f t="shared" ref="Z454:Z508" si="15">Y454/(L454/1000)</f>
        <v>0.2162061448631579</v>
      </c>
    </row>
    <row r="455" spans="1:26" x14ac:dyDescent="0.3">
      <c r="A455" s="34">
        <v>452</v>
      </c>
      <c r="B455" s="36" t="s">
        <v>484</v>
      </c>
      <c r="C455" s="22"/>
      <c r="D455" s="22"/>
      <c r="E455" s="22"/>
      <c r="F455" s="22"/>
      <c r="G455" s="22"/>
      <c r="H455" s="22"/>
      <c r="I455" s="22"/>
      <c r="J455" s="22"/>
      <c r="K455" s="22"/>
      <c r="L455" s="22">
        <v>120</v>
      </c>
      <c r="M455" s="22"/>
      <c r="N455" s="22"/>
      <c r="O455" s="22"/>
      <c r="P455" s="55">
        <v>4.6630000000000003</v>
      </c>
      <c r="Q455" s="25">
        <v>0.2</v>
      </c>
      <c r="R455" s="22"/>
      <c r="S455" s="22"/>
      <c r="T455" s="22"/>
      <c r="U455" s="22">
        <v>0.2349</v>
      </c>
      <c r="V455" s="22">
        <v>0.23730000000000001</v>
      </c>
      <c r="W455" s="22"/>
      <c r="X455" s="62"/>
      <c r="Y455" s="22"/>
      <c r="Z455" s="60">
        <f t="shared" si="15"/>
        <v>0</v>
      </c>
    </row>
    <row r="456" spans="1:26" x14ac:dyDescent="0.3">
      <c r="A456" s="43">
        <v>453</v>
      </c>
      <c r="B456" s="42" t="s">
        <v>485</v>
      </c>
      <c r="C456" s="22"/>
      <c r="D456" s="22"/>
      <c r="E456" s="22"/>
      <c r="F456" s="22"/>
      <c r="G456" s="22"/>
      <c r="H456" s="22"/>
      <c r="I456" s="22"/>
      <c r="J456" s="22"/>
      <c r="K456" s="22"/>
      <c r="L456" s="22">
        <v>110</v>
      </c>
      <c r="M456" s="22"/>
      <c r="N456" s="22"/>
      <c r="O456" s="22"/>
      <c r="P456" s="55">
        <v>4.9740000000000002</v>
      </c>
      <c r="Q456" s="25">
        <v>0.2</v>
      </c>
      <c r="R456" s="22"/>
      <c r="S456" s="22"/>
      <c r="T456" s="22"/>
      <c r="U456" s="22">
        <v>0.2311</v>
      </c>
      <c r="V456" s="22">
        <v>0.23280000000000001</v>
      </c>
      <c r="W456" s="22"/>
      <c r="X456" s="62"/>
      <c r="Y456" s="48">
        <v>1.1844571774000001E-2</v>
      </c>
      <c r="Z456" s="60">
        <f t="shared" si="15"/>
        <v>0.10767792521818183</v>
      </c>
    </row>
    <row r="457" spans="1:26" x14ac:dyDescent="0.3">
      <c r="A457" s="34">
        <v>454</v>
      </c>
      <c r="B457" s="36" t="s">
        <v>486</v>
      </c>
      <c r="C457" s="22"/>
      <c r="D457" s="22"/>
      <c r="E457" s="22"/>
      <c r="F457" s="22"/>
      <c r="G457" s="22"/>
      <c r="H457" s="22"/>
      <c r="I457" s="22"/>
      <c r="J457" s="22"/>
      <c r="K457" s="22"/>
      <c r="L457" s="22">
        <v>100</v>
      </c>
      <c r="M457" s="22"/>
      <c r="N457" s="22"/>
      <c r="O457" s="22"/>
      <c r="P457" s="55">
        <v>4.9390000000000001</v>
      </c>
      <c r="Q457" s="25">
        <v>0.2</v>
      </c>
      <c r="R457" s="22"/>
      <c r="S457" s="22"/>
      <c r="T457" s="22"/>
      <c r="U457" s="22">
        <v>0.22989999999999999</v>
      </c>
      <c r="V457" s="22">
        <v>0.23250000000000001</v>
      </c>
      <c r="W457" s="22"/>
      <c r="X457" s="62"/>
      <c r="Y457" s="22"/>
      <c r="Z457" s="60">
        <f t="shared" si="15"/>
        <v>0</v>
      </c>
    </row>
    <row r="458" spans="1:26" x14ac:dyDescent="0.3">
      <c r="A458" s="43">
        <v>455</v>
      </c>
      <c r="B458" s="42" t="s">
        <v>487</v>
      </c>
      <c r="C458" s="22"/>
      <c r="D458" s="22"/>
      <c r="E458" s="22"/>
      <c r="F458" s="22"/>
      <c r="G458" s="22"/>
      <c r="H458" s="22"/>
      <c r="I458" s="22"/>
      <c r="J458" s="22"/>
      <c r="K458" s="22"/>
      <c r="L458" s="22">
        <v>100</v>
      </c>
      <c r="M458" s="22"/>
      <c r="N458" s="22"/>
      <c r="O458" s="22"/>
      <c r="P458" s="55">
        <v>5.2530000000000001</v>
      </c>
      <c r="Q458" s="25">
        <v>0.2</v>
      </c>
      <c r="R458" s="22"/>
      <c r="S458" s="22"/>
      <c r="T458" s="22"/>
      <c r="U458" s="22">
        <v>0.22919999999999999</v>
      </c>
      <c r="V458" s="22">
        <v>0.23130000000000001</v>
      </c>
      <c r="W458" s="22"/>
      <c r="X458" s="62"/>
      <c r="Y458" s="48">
        <v>1.5613775464E-2</v>
      </c>
      <c r="Z458" s="60">
        <f t="shared" si="15"/>
        <v>0.15613775463999999</v>
      </c>
    </row>
    <row r="459" spans="1:26" x14ac:dyDescent="0.3">
      <c r="A459" s="43">
        <v>456</v>
      </c>
      <c r="B459" s="42" t="s">
        <v>488</v>
      </c>
      <c r="C459" s="22"/>
      <c r="D459" s="22"/>
      <c r="E459" s="22"/>
      <c r="F459" s="22"/>
      <c r="G459" s="22"/>
      <c r="H459" s="22"/>
      <c r="I459" s="22"/>
      <c r="J459" s="22"/>
      <c r="K459" s="22"/>
      <c r="L459" s="22">
        <v>260</v>
      </c>
      <c r="M459" s="22"/>
      <c r="N459" s="22"/>
      <c r="O459" s="22"/>
      <c r="P459" s="55">
        <v>4.4729999999999999</v>
      </c>
      <c r="Q459" s="25">
        <v>0.2</v>
      </c>
      <c r="R459" s="22"/>
      <c r="S459" s="22"/>
      <c r="T459" s="22"/>
      <c r="U459" s="22">
        <v>0.2351</v>
      </c>
      <c r="V459" s="22">
        <v>0.25490000000000002</v>
      </c>
      <c r="W459" s="22"/>
      <c r="X459" s="62"/>
      <c r="Y459" s="48">
        <v>7.3857615236000013E-2</v>
      </c>
      <c r="Z459" s="60">
        <f t="shared" si="15"/>
        <v>0.28406775090769237</v>
      </c>
    </row>
    <row r="460" spans="1:26" x14ac:dyDescent="0.3">
      <c r="A460" s="43">
        <v>457</v>
      </c>
      <c r="B460" s="42" t="s">
        <v>489</v>
      </c>
      <c r="C460" s="22"/>
      <c r="D460" s="22"/>
      <c r="E460" s="22"/>
      <c r="F460" s="22"/>
      <c r="G460" s="22"/>
      <c r="H460" s="22"/>
      <c r="I460" s="22"/>
      <c r="J460" s="22"/>
      <c r="K460" s="22"/>
      <c r="L460" s="22">
        <v>250</v>
      </c>
      <c r="M460" s="22"/>
      <c r="N460" s="22"/>
      <c r="O460" s="22"/>
      <c r="P460" s="55">
        <v>3.9359999999999999</v>
      </c>
      <c r="Q460" s="25">
        <v>0.2</v>
      </c>
      <c r="R460" s="22"/>
      <c r="S460" s="22"/>
      <c r="T460" s="22"/>
      <c r="U460" s="22">
        <v>0.2339</v>
      </c>
      <c r="V460" s="22">
        <v>0.2442</v>
      </c>
      <c r="W460" s="22"/>
      <c r="X460" s="62"/>
      <c r="Y460" s="48">
        <v>4.1405336078000003E-2</v>
      </c>
      <c r="Z460" s="60">
        <f t="shared" si="15"/>
        <v>0.16562134431200001</v>
      </c>
    </row>
    <row r="461" spans="1:26" x14ac:dyDescent="0.3">
      <c r="A461" s="43">
        <v>458</v>
      </c>
      <c r="B461" s="42" t="s">
        <v>490</v>
      </c>
      <c r="C461" s="22"/>
      <c r="D461" s="22"/>
      <c r="E461" s="22"/>
      <c r="F461" s="22"/>
      <c r="G461" s="22"/>
      <c r="H461" s="22"/>
      <c r="I461" s="22"/>
      <c r="J461" s="22"/>
      <c r="K461" s="22"/>
      <c r="L461" s="22">
        <v>250</v>
      </c>
      <c r="M461" s="22"/>
      <c r="N461" s="22"/>
      <c r="O461" s="22"/>
      <c r="P461" s="55">
        <v>3.9430000000000001</v>
      </c>
      <c r="Q461" s="25">
        <v>0.2</v>
      </c>
      <c r="R461" s="22"/>
      <c r="S461" s="22"/>
      <c r="T461" s="22"/>
      <c r="U461" s="22">
        <v>0.23799999999999999</v>
      </c>
      <c r="V461" s="22">
        <v>0.24790000000000001</v>
      </c>
      <c r="W461" s="22"/>
      <c r="X461" s="62"/>
      <c r="Y461" s="48">
        <v>5.3773485880000006E-2</v>
      </c>
      <c r="Z461" s="60">
        <f t="shared" si="15"/>
        <v>0.21509394352000002</v>
      </c>
    </row>
    <row r="462" spans="1:26" x14ac:dyDescent="0.3">
      <c r="A462" s="43">
        <v>459</v>
      </c>
      <c r="B462" s="42" t="s">
        <v>491</v>
      </c>
      <c r="C462" s="22"/>
      <c r="D462" s="22"/>
      <c r="E462" s="22"/>
      <c r="F462" s="22"/>
      <c r="G462" s="22"/>
      <c r="H462" s="22"/>
      <c r="I462" s="22"/>
      <c r="J462" s="22"/>
      <c r="K462" s="22"/>
      <c r="L462" s="22">
        <v>250</v>
      </c>
      <c r="M462" s="22"/>
      <c r="N462" s="22"/>
      <c r="O462" s="22"/>
      <c r="P462" s="55">
        <v>4.0389999999999997</v>
      </c>
      <c r="Q462" s="25">
        <v>0.2</v>
      </c>
      <c r="R462" s="22"/>
      <c r="S462" s="22"/>
      <c r="T462" s="22"/>
      <c r="U462" s="22">
        <v>0.23469999999999999</v>
      </c>
      <c r="V462" s="22">
        <v>0.24160000000000001</v>
      </c>
      <c r="W462" s="22"/>
      <c r="X462" s="62"/>
      <c r="Y462" s="48">
        <v>4.3859933566000001E-2</v>
      </c>
      <c r="Z462" s="60">
        <f t="shared" si="15"/>
        <v>0.175439734264</v>
      </c>
    </row>
    <row r="463" spans="1:26" x14ac:dyDescent="0.3">
      <c r="A463" s="43">
        <v>460</v>
      </c>
      <c r="B463" s="42" t="s">
        <v>492</v>
      </c>
      <c r="C463" s="22"/>
      <c r="D463" s="22"/>
      <c r="E463" s="22"/>
      <c r="F463" s="22"/>
      <c r="G463" s="22"/>
      <c r="H463" s="22"/>
      <c r="I463" s="22"/>
      <c r="J463" s="22"/>
      <c r="K463" s="22"/>
      <c r="L463" s="22">
        <v>240</v>
      </c>
      <c r="M463" s="22"/>
      <c r="N463" s="22"/>
      <c r="O463" s="22"/>
      <c r="P463" s="55">
        <v>2.786</v>
      </c>
      <c r="Q463" s="25">
        <v>0.2</v>
      </c>
      <c r="R463" s="22"/>
      <c r="S463" s="22"/>
      <c r="T463" s="22"/>
      <c r="U463" s="22">
        <v>0.2374</v>
      </c>
      <c r="V463" s="22">
        <v>0.2424</v>
      </c>
      <c r="W463" s="22"/>
      <c r="X463" s="62"/>
      <c r="Y463" s="48">
        <v>2.5601667095937499E-2</v>
      </c>
      <c r="Z463" s="60">
        <f t="shared" si="15"/>
        <v>0.10667361289973959</v>
      </c>
    </row>
    <row r="464" spans="1:26" x14ac:dyDescent="0.3">
      <c r="A464" s="43">
        <v>461</v>
      </c>
      <c r="B464" s="42" t="s">
        <v>493</v>
      </c>
      <c r="C464" s="22"/>
      <c r="D464" s="22"/>
      <c r="E464" s="22"/>
      <c r="F464" s="22"/>
      <c r="G464" s="22"/>
      <c r="H464" s="22"/>
      <c r="I464" s="22"/>
      <c r="J464" s="22"/>
      <c r="K464" s="22"/>
      <c r="L464" s="22">
        <v>250</v>
      </c>
      <c r="M464" s="22"/>
      <c r="N464" s="22"/>
      <c r="O464" s="22"/>
      <c r="P464" s="55">
        <v>9.9</v>
      </c>
      <c r="Q464" s="25">
        <v>0.2</v>
      </c>
      <c r="R464" s="22"/>
      <c r="S464" s="22"/>
      <c r="T464" s="22"/>
      <c r="U464" s="22">
        <v>0.2374</v>
      </c>
      <c r="V464" s="22">
        <v>0.2482</v>
      </c>
      <c r="W464" s="22"/>
      <c r="X464" s="62"/>
      <c r="Y464" s="48">
        <v>5.0725715312500003E-2</v>
      </c>
      <c r="Z464" s="60">
        <f t="shared" si="15"/>
        <v>0.20290286125000001</v>
      </c>
    </row>
    <row r="465" spans="1:26" x14ac:dyDescent="0.3">
      <c r="A465" s="43">
        <v>462</v>
      </c>
      <c r="B465" s="42" t="s">
        <v>494</v>
      </c>
      <c r="C465" s="22"/>
      <c r="D465" s="22"/>
      <c r="E465" s="22"/>
      <c r="F465" s="22"/>
      <c r="G465" s="22"/>
      <c r="H465" s="22"/>
      <c r="I465" s="22"/>
      <c r="J465" s="22"/>
      <c r="K465" s="22"/>
      <c r="L465" s="22">
        <v>260</v>
      </c>
      <c r="M465" s="22"/>
      <c r="N465" s="22"/>
      <c r="O465" s="22"/>
      <c r="P465" s="55">
        <v>3.379</v>
      </c>
      <c r="Q465" s="25">
        <v>0.2</v>
      </c>
      <c r="R465" s="22"/>
      <c r="S465" s="22"/>
      <c r="T465" s="22"/>
      <c r="U465" s="22">
        <v>0.2281</v>
      </c>
      <c r="V465" s="22">
        <v>0.23569999999999999</v>
      </c>
      <c r="W465" s="22"/>
      <c r="X465" s="62"/>
      <c r="Y465" s="48">
        <v>4.8253022146375002E-2</v>
      </c>
      <c r="Z465" s="60">
        <f t="shared" si="15"/>
        <v>0.18558854671682692</v>
      </c>
    </row>
    <row r="466" spans="1:26" x14ac:dyDescent="0.3">
      <c r="A466" s="43">
        <v>463</v>
      </c>
      <c r="B466" s="42" t="s">
        <v>495</v>
      </c>
      <c r="C466" s="22"/>
      <c r="D466" s="22"/>
      <c r="E466" s="22"/>
      <c r="F466" s="22"/>
      <c r="G466" s="22"/>
      <c r="H466" s="22"/>
      <c r="I466" s="22"/>
      <c r="J466" s="22"/>
      <c r="K466" s="22"/>
      <c r="L466" s="22">
        <v>260</v>
      </c>
      <c r="M466" s="22"/>
      <c r="N466" s="22"/>
      <c r="O466" s="22"/>
      <c r="P466" s="55">
        <v>3.1909999999999998</v>
      </c>
      <c r="Q466" s="25">
        <v>0.2</v>
      </c>
      <c r="R466" s="22"/>
      <c r="S466" s="22"/>
      <c r="T466" s="22"/>
      <c r="U466" s="22">
        <v>0.2384</v>
      </c>
      <c r="V466" s="22">
        <v>0.24490000000000001</v>
      </c>
      <c r="W466" s="22"/>
      <c r="X466" s="62"/>
      <c r="Y466" s="48">
        <v>4.541072552725E-2</v>
      </c>
      <c r="Z466" s="60">
        <f t="shared" si="15"/>
        <v>0.17465663664326922</v>
      </c>
    </row>
    <row r="467" spans="1:26" x14ac:dyDescent="0.3">
      <c r="A467" s="43">
        <v>464</v>
      </c>
      <c r="B467" s="42" t="s">
        <v>496</v>
      </c>
      <c r="C467" s="22"/>
      <c r="D467" s="22"/>
      <c r="E467" s="22"/>
      <c r="F467" s="22"/>
      <c r="G467" s="22"/>
      <c r="H467" s="22"/>
      <c r="I467" s="22"/>
      <c r="J467" s="22"/>
      <c r="K467" s="22"/>
      <c r="L467" s="22">
        <v>240</v>
      </c>
      <c r="M467" s="22"/>
      <c r="N467" s="22"/>
      <c r="O467" s="22"/>
      <c r="P467" s="55">
        <v>3.1280000000000001</v>
      </c>
      <c r="Q467" s="25">
        <v>0.2</v>
      </c>
      <c r="R467" s="22"/>
      <c r="S467" s="22"/>
      <c r="T467" s="22"/>
      <c r="U467" s="22">
        <v>0.23130000000000001</v>
      </c>
      <c r="V467" s="22">
        <v>0.23699999999999999</v>
      </c>
      <c r="W467" s="22"/>
      <c r="X467" s="62"/>
      <c r="Y467" s="48">
        <v>3.5382686500624996E-2</v>
      </c>
      <c r="Z467" s="60">
        <f t="shared" si="15"/>
        <v>0.14742786041927083</v>
      </c>
    </row>
    <row r="468" spans="1:26" x14ac:dyDescent="0.3">
      <c r="A468" s="34">
        <v>465</v>
      </c>
      <c r="B468" s="36" t="s">
        <v>497</v>
      </c>
      <c r="C468" s="22"/>
      <c r="D468" s="22"/>
      <c r="E468" s="22"/>
      <c r="F468" s="22"/>
      <c r="G468" s="22"/>
      <c r="H468" s="22"/>
      <c r="I468" s="22"/>
      <c r="J468" s="22"/>
      <c r="K468" s="22"/>
      <c r="L468" s="22">
        <v>90</v>
      </c>
      <c r="M468" s="22"/>
      <c r="N468" s="22"/>
      <c r="O468" s="22"/>
      <c r="P468" s="55">
        <v>3.3319999999999999</v>
      </c>
      <c r="Q468" s="25">
        <v>0.2</v>
      </c>
      <c r="R468" s="22"/>
      <c r="S468" s="22"/>
      <c r="T468" s="22"/>
      <c r="U468" s="22">
        <v>0.23319999999999999</v>
      </c>
      <c r="V468" s="22">
        <v>0.23519999999999999</v>
      </c>
      <c r="W468" s="22"/>
      <c r="X468" s="62"/>
      <c r="Y468" s="22"/>
      <c r="Z468" s="60">
        <f t="shared" si="15"/>
        <v>0</v>
      </c>
    </row>
    <row r="469" spans="1:26" x14ac:dyDescent="0.3">
      <c r="A469" s="43">
        <v>466</v>
      </c>
      <c r="B469" s="42" t="s">
        <v>498</v>
      </c>
      <c r="C469" s="22"/>
      <c r="D469" s="22"/>
      <c r="E469" s="22"/>
      <c r="F469" s="22"/>
      <c r="G469" s="22"/>
      <c r="H469" s="22"/>
      <c r="I469" s="22"/>
      <c r="J469" s="22"/>
      <c r="K469" s="22"/>
      <c r="L469" s="22">
        <v>90</v>
      </c>
      <c r="M469" s="22"/>
      <c r="N469" s="22"/>
      <c r="O469" s="22"/>
      <c r="P469" s="55">
        <v>3.1309999999999998</v>
      </c>
      <c r="Q469" s="25">
        <v>0.2</v>
      </c>
      <c r="R469" s="22"/>
      <c r="S469" s="22"/>
      <c r="T469" s="22"/>
      <c r="U469" s="22">
        <v>0.2298</v>
      </c>
      <c r="V469" s="22">
        <v>0.23180000000000001</v>
      </c>
      <c r="W469" s="22"/>
      <c r="X469" s="62"/>
      <c r="Y469" s="48">
        <v>1.69655289015E-2</v>
      </c>
      <c r="Z469" s="60">
        <f t="shared" si="15"/>
        <v>0.18850587668333335</v>
      </c>
    </row>
    <row r="470" spans="1:26" x14ac:dyDescent="0.3">
      <c r="A470" s="34">
        <v>467</v>
      </c>
      <c r="B470" s="36" t="s">
        <v>499</v>
      </c>
      <c r="C470" s="22"/>
      <c r="D470" s="22"/>
      <c r="E470" s="22"/>
      <c r="F470" s="22"/>
      <c r="G470" s="22"/>
      <c r="H470" s="22"/>
      <c r="I470" s="22"/>
      <c r="J470" s="22"/>
      <c r="K470" s="22"/>
      <c r="L470" s="22">
        <v>105</v>
      </c>
      <c r="M470" s="22"/>
      <c r="N470" s="22"/>
      <c r="O470" s="22"/>
      <c r="P470" s="55">
        <v>3.286</v>
      </c>
      <c r="Q470" s="25">
        <v>0.2</v>
      </c>
      <c r="R470" s="22"/>
      <c r="S470" s="22"/>
      <c r="T470" s="22"/>
      <c r="U470" s="22">
        <v>0.2283</v>
      </c>
      <c r="V470" s="22">
        <v>0.2306</v>
      </c>
      <c r="W470" s="22"/>
      <c r="X470" s="62"/>
      <c r="Y470" s="22"/>
      <c r="Z470" s="60">
        <f t="shared" si="15"/>
        <v>0</v>
      </c>
    </row>
    <row r="471" spans="1:26" x14ac:dyDescent="0.3">
      <c r="A471" s="43">
        <v>468</v>
      </c>
      <c r="B471" s="42" t="s">
        <v>500</v>
      </c>
      <c r="C471" s="22"/>
      <c r="D471" s="22"/>
      <c r="E471" s="22"/>
      <c r="F471" s="22"/>
      <c r="G471" s="22"/>
      <c r="H471" s="22"/>
      <c r="I471" s="22"/>
      <c r="J471" s="22"/>
      <c r="K471" s="22"/>
      <c r="L471" s="22">
        <v>100</v>
      </c>
      <c r="M471" s="22"/>
      <c r="N471" s="22"/>
      <c r="O471" s="22"/>
      <c r="P471" s="55">
        <v>2.9169999999999998</v>
      </c>
      <c r="Q471" s="25">
        <v>0.2</v>
      </c>
      <c r="R471" s="22"/>
      <c r="S471" s="22"/>
      <c r="T471" s="22"/>
      <c r="U471" s="22">
        <v>0.22900000000000001</v>
      </c>
      <c r="V471" s="22">
        <v>0.23080000000000001</v>
      </c>
      <c r="W471" s="22"/>
      <c r="X471" s="62"/>
      <c r="Y471" s="48">
        <v>1.8715864364624999E-2</v>
      </c>
      <c r="Z471" s="60">
        <f t="shared" si="15"/>
        <v>0.18715864364624998</v>
      </c>
    </row>
    <row r="472" spans="1:26" x14ac:dyDescent="0.3">
      <c r="A472" s="34">
        <v>469</v>
      </c>
      <c r="B472" s="36" t="s">
        <v>501</v>
      </c>
      <c r="C472" s="22"/>
      <c r="D472" s="22"/>
      <c r="E472" s="22"/>
      <c r="F472" s="22"/>
      <c r="G472" s="22"/>
      <c r="H472" s="22"/>
      <c r="I472" s="22"/>
      <c r="J472" s="22"/>
      <c r="K472" s="22"/>
      <c r="L472" s="22">
        <v>200</v>
      </c>
      <c r="M472" s="22"/>
      <c r="N472" s="22"/>
      <c r="O472" s="22"/>
      <c r="P472" s="55">
        <v>2.548</v>
      </c>
      <c r="Q472" s="25">
        <v>0.2</v>
      </c>
      <c r="R472" s="22"/>
      <c r="S472" s="22"/>
      <c r="T472" s="22"/>
      <c r="U472" s="22">
        <v>0.23630000000000001</v>
      </c>
      <c r="V472" s="22">
        <v>0.2404</v>
      </c>
      <c r="W472" s="22"/>
      <c r="X472" s="62"/>
      <c r="Y472" s="22"/>
      <c r="Z472" s="60">
        <f t="shared" si="15"/>
        <v>0</v>
      </c>
    </row>
    <row r="473" spans="1:26" x14ac:dyDescent="0.3">
      <c r="A473" s="34">
        <v>470</v>
      </c>
      <c r="B473" s="36" t="s">
        <v>502</v>
      </c>
      <c r="C473" s="22"/>
      <c r="D473" s="22"/>
      <c r="E473" s="22"/>
      <c r="F473" s="22"/>
      <c r="G473" s="22"/>
      <c r="H473" s="22"/>
      <c r="I473" s="22"/>
      <c r="J473" s="22"/>
      <c r="K473" s="22"/>
      <c r="L473" s="22">
        <v>215</v>
      </c>
      <c r="M473" s="22"/>
      <c r="N473" s="22"/>
      <c r="O473" s="22"/>
      <c r="P473" s="55">
        <v>2.5049999999999999</v>
      </c>
      <c r="Q473" s="25">
        <v>0.2</v>
      </c>
      <c r="R473" s="22"/>
      <c r="S473" s="22"/>
      <c r="T473" s="22"/>
      <c r="U473" s="22">
        <v>0.2341</v>
      </c>
      <c r="V473" s="22">
        <v>0.23680000000000001</v>
      </c>
      <c r="W473" s="22"/>
      <c r="X473" s="62"/>
      <c r="Y473" s="22"/>
      <c r="Z473" s="60">
        <f t="shared" si="15"/>
        <v>0</v>
      </c>
    </row>
    <row r="474" spans="1:26" x14ac:dyDescent="0.3">
      <c r="A474" s="34">
        <v>471</v>
      </c>
      <c r="B474" s="36" t="s">
        <v>503</v>
      </c>
      <c r="C474" s="22"/>
      <c r="D474" s="22"/>
      <c r="E474" s="22"/>
      <c r="F474" s="22"/>
      <c r="G474" s="22"/>
      <c r="H474" s="22"/>
      <c r="I474" s="22"/>
      <c r="J474" s="22"/>
      <c r="K474" s="22"/>
      <c r="L474" s="22">
        <v>250</v>
      </c>
      <c r="M474" s="22"/>
      <c r="N474" s="22"/>
      <c r="O474" s="22"/>
      <c r="P474" s="55">
        <v>2.508</v>
      </c>
      <c r="Q474" s="25">
        <v>0.2</v>
      </c>
      <c r="R474" s="22"/>
      <c r="S474" s="22"/>
      <c r="T474" s="22"/>
      <c r="U474" s="22">
        <v>0.22919999999999999</v>
      </c>
      <c r="V474" s="22">
        <v>0.23369999999999999</v>
      </c>
      <c r="W474" s="22"/>
      <c r="X474" s="62"/>
      <c r="Y474" s="22"/>
      <c r="Z474" s="60">
        <f t="shared" si="15"/>
        <v>0</v>
      </c>
    </row>
    <row r="475" spans="1:26" x14ac:dyDescent="0.3">
      <c r="A475" s="43">
        <v>472</v>
      </c>
      <c r="B475" s="42" t="s">
        <v>504</v>
      </c>
      <c r="C475" s="22"/>
      <c r="D475" s="22"/>
      <c r="E475" s="22"/>
      <c r="F475" s="22"/>
      <c r="G475" s="22"/>
      <c r="H475" s="22"/>
      <c r="I475" s="22"/>
      <c r="J475" s="22"/>
      <c r="K475" s="22"/>
      <c r="L475" s="22">
        <v>250</v>
      </c>
      <c r="M475" s="22"/>
      <c r="N475" s="22"/>
      <c r="O475" s="22"/>
      <c r="P475" s="55">
        <v>2.4820000000000002</v>
      </c>
      <c r="Q475" s="25">
        <v>0.2</v>
      </c>
      <c r="R475" s="22"/>
      <c r="S475" s="22"/>
      <c r="T475" s="22"/>
      <c r="U475" s="22">
        <v>0.23760000000000001</v>
      </c>
      <c r="V475" s="22">
        <v>0.24260000000000001</v>
      </c>
      <c r="W475" s="22"/>
      <c r="X475" s="62"/>
      <c r="Y475" s="48">
        <v>2.9606152363000002E-2</v>
      </c>
      <c r="Z475" s="60">
        <f t="shared" si="15"/>
        <v>0.11842460945200001</v>
      </c>
    </row>
    <row r="476" spans="1:26" x14ac:dyDescent="0.3">
      <c r="A476" s="34">
        <v>473</v>
      </c>
      <c r="B476" s="36" t="s">
        <v>505</v>
      </c>
      <c r="C476" s="22"/>
      <c r="D476" s="22"/>
      <c r="E476" s="22"/>
      <c r="F476" s="22"/>
      <c r="G476" s="22"/>
      <c r="H476" s="22"/>
      <c r="I476" s="22"/>
      <c r="J476" s="22"/>
      <c r="K476" s="22"/>
      <c r="L476" s="22">
        <v>120</v>
      </c>
      <c r="M476" s="22"/>
      <c r="N476" s="22"/>
      <c r="O476" s="22"/>
      <c r="P476" s="55">
        <v>3.1379999999999999</v>
      </c>
      <c r="Q476" s="25">
        <v>0.2</v>
      </c>
      <c r="R476" s="22"/>
      <c r="S476" s="22"/>
      <c r="T476" s="22"/>
      <c r="U476" s="22">
        <v>0.2329</v>
      </c>
      <c r="V476" s="22">
        <v>0.2349</v>
      </c>
      <c r="W476" s="22"/>
      <c r="X476" s="62"/>
      <c r="Y476" s="22"/>
      <c r="Z476" s="60">
        <f t="shared" si="15"/>
        <v>0</v>
      </c>
    </row>
    <row r="477" spans="1:26" x14ac:dyDescent="0.3">
      <c r="A477" s="34">
        <v>474</v>
      </c>
      <c r="B477" s="36" t="s">
        <v>469</v>
      </c>
      <c r="C477" s="22"/>
      <c r="D477" s="22"/>
      <c r="E477" s="22"/>
      <c r="F477" s="22"/>
      <c r="G477" s="22"/>
      <c r="H477" s="22"/>
      <c r="I477" s="22"/>
      <c r="J477" s="22"/>
      <c r="K477" s="22"/>
      <c r="L477" s="22">
        <v>150</v>
      </c>
      <c r="M477" s="22"/>
      <c r="N477" s="22"/>
      <c r="O477" s="22"/>
      <c r="P477" s="55">
        <v>1.1160000000000001</v>
      </c>
      <c r="Q477" s="25">
        <v>0.2</v>
      </c>
      <c r="R477" s="22"/>
      <c r="S477" s="22"/>
      <c r="T477" s="22"/>
      <c r="U477" s="22">
        <v>0.24030000000000001</v>
      </c>
      <c r="V477" s="22">
        <v>0.24110000000000001</v>
      </c>
      <c r="W477" s="22"/>
      <c r="X477" s="62"/>
      <c r="Y477" s="22"/>
      <c r="Z477" s="60">
        <f t="shared" si="15"/>
        <v>0</v>
      </c>
    </row>
    <row r="478" spans="1:26" x14ac:dyDescent="0.3">
      <c r="A478" s="34">
        <v>475</v>
      </c>
      <c r="B478" s="36" t="s">
        <v>470</v>
      </c>
      <c r="C478" s="22"/>
      <c r="D478" s="22"/>
      <c r="E478" s="22"/>
      <c r="F478" s="22"/>
      <c r="G478" s="22"/>
      <c r="H478" s="22"/>
      <c r="I478" s="22"/>
      <c r="J478" s="22"/>
      <c r="K478" s="22"/>
      <c r="L478" s="22">
        <v>140</v>
      </c>
      <c r="M478" s="22"/>
      <c r="N478" s="22"/>
      <c r="O478" s="22"/>
      <c r="P478" s="55">
        <v>1.127</v>
      </c>
      <c r="Q478" s="25">
        <v>0.2</v>
      </c>
      <c r="R478" s="22"/>
      <c r="S478" s="22"/>
      <c r="T478" s="22"/>
      <c r="U478" s="22">
        <v>0.2331</v>
      </c>
      <c r="V478" s="22">
        <v>0.2339</v>
      </c>
      <c r="W478" s="22"/>
      <c r="X478" s="62"/>
      <c r="Y478" s="22"/>
      <c r="Z478" s="60">
        <f t="shared" si="15"/>
        <v>0</v>
      </c>
    </row>
    <row r="479" spans="1:26" x14ac:dyDescent="0.3">
      <c r="A479" s="43">
        <v>476</v>
      </c>
      <c r="B479" s="42" t="s">
        <v>506</v>
      </c>
      <c r="C479" s="22"/>
      <c r="D479" s="22"/>
      <c r="E479" s="22"/>
      <c r="F479" s="22"/>
      <c r="G479" s="22"/>
      <c r="H479" s="22"/>
      <c r="I479" s="22"/>
      <c r="J479" s="22"/>
      <c r="K479" s="22"/>
      <c r="L479" s="22">
        <v>190</v>
      </c>
      <c r="M479" s="22"/>
      <c r="N479" s="22"/>
      <c r="O479" s="22"/>
      <c r="P479" s="55">
        <v>3.1040000000000001</v>
      </c>
      <c r="Q479" s="25">
        <v>0.2</v>
      </c>
      <c r="R479" s="22"/>
      <c r="S479" s="22"/>
      <c r="T479" s="22"/>
      <c r="U479" s="22">
        <v>0.23569999999999999</v>
      </c>
      <c r="V479" s="22">
        <v>0.2505</v>
      </c>
      <c r="W479" s="22"/>
      <c r="X479" s="62"/>
      <c r="Y479" s="48">
        <v>8.7918823083500006E-2</v>
      </c>
      <c r="Z479" s="60">
        <f t="shared" si="15"/>
        <v>0.46273064780789475</v>
      </c>
    </row>
    <row r="480" spans="1:26" x14ac:dyDescent="0.3">
      <c r="A480" s="43">
        <v>477</v>
      </c>
      <c r="B480" s="42" t="s">
        <v>507</v>
      </c>
      <c r="C480" s="22"/>
      <c r="D480" s="22"/>
      <c r="E480" s="22"/>
      <c r="F480" s="22"/>
      <c r="G480" s="22"/>
      <c r="H480" s="22"/>
      <c r="I480" s="22"/>
      <c r="J480" s="22"/>
      <c r="K480" s="22"/>
      <c r="L480" s="22">
        <v>200</v>
      </c>
      <c r="M480" s="22"/>
      <c r="N480" s="22"/>
      <c r="O480" s="22"/>
      <c r="P480" s="55">
        <v>3.3050000000000002</v>
      </c>
      <c r="Q480" s="25">
        <v>0.2</v>
      </c>
      <c r="R480" s="22"/>
      <c r="S480" s="22"/>
      <c r="T480" s="22"/>
      <c r="U480" s="22">
        <v>0.23250000000000001</v>
      </c>
      <c r="V480" s="22">
        <v>0.24110000000000001</v>
      </c>
      <c r="W480" s="22"/>
      <c r="X480" s="62"/>
      <c r="Y480" s="48">
        <v>4.5809455414500003E-2</v>
      </c>
      <c r="Z480" s="60">
        <f t="shared" si="15"/>
        <v>0.2290472770725</v>
      </c>
    </row>
    <row r="481" spans="1:26" x14ac:dyDescent="0.3">
      <c r="A481" s="43">
        <v>478</v>
      </c>
      <c r="B481" s="42" t="s">
        <v>508</v>
      </c>
      <c r="C481" s="22"/>
      <c r="D481" s="22"/>
      <c r="E481" s="22"/>
      <c r="F481" s="22"/>
      <c r="G481" s="22"/>
      <c r="H481" s="22"/>
      <c r="I481" s="22"/>
      <c r="J481" s="22"/>
      <c r="K481" s="22"/>
      <c r="L481" s="22">
        <v>200</v>
      </c>
      <c r="M481" s="22"/>
      <c r="N481" s="22"/>
      <c r="O481" s="22"/>
      <c r="P481" s="55">
        <v>3.3359999999999999</v>
      </c>
      <c r="Q481" s="25">
        <v>0.2</v>
      </c>
      <c r="R481" s="22"/>
      <c r="S481" s="22"/>
      <c r="T481" s="22"/>
      <c r="U481" s="22">
        <v>0.2399</v>
      </c>
      <c r="V481" s="22">
        <v>0.24709999999999999</v>
      </c>
      <c r="W481" s="22"/>
      <c r="X481" s="62"/>
      <c r="Y481" s="48">
        <v>4.1437128736500004E-2</v>
      </c>
      <c r="Z481" s="60">
        <f t="shared" si="15"/>
        <v>0.2071856436825</v>
      </c>
    </row>
    <row r="482" spans="1:26" x14ac:dyDescent="0.3">
      <c r="A482" s="43">
        <v>479</v>
      </c>
      <c r="B482" s="42" t="s">
        <v>509</v>
      </c>
      <c r="C482" s="22"/>
      <c r="D482" s="22"/>
      <c r="E482" s="22"/>
      <c r="F482" s="22"/>
      <c r="G482" s="22"/>
      <c r="H482" s="22"/>
      <c r="I482" s="22"/>
      <c r="J482" s="22"/>
      <c r="K482" s="22"/>
      <c r="L482" s="22">
        <v>215</v>
      </c>
      <c r="M482" s="22"/>
      <c r="N482" s="22"/>
      <c r="O482" s="22"/>
      <c r="P482" s="55">
        <v>3.1989999999999998</v>
      </c>
      <c r="Q482" s="25">
        <v>0.2</v>
      </c>
      <c r="R482" s="22"/>
      <c r="S482" s="22"/>
      <c r="T482" s="22"/>
      <c r="U482" s="22">
        <v>0.2288</v>
      </c>
      <c r="V482" s="22">
        <v>0.23499999999999999</v>
      </c>
      <c r="W482" s="22"/>
      <c r="X482" s="62"/>
      <c r="Y482" s="48">
        <v>3.6507111422750003E-2</v>
      </c>
      <c r="Z482" s="60">
        <f t="shared" si="15"/>
        <v>0.16980051824534886</v>
      </c>
    </row>
    <row r="483" spans="1:26" x14ac:dyDescent="0.3">
      <c r="A483" s="43">
        <v>480</v>
      </c>
      <c r="B483" s="42" t="s">
        <v>510</v>
      </c>
      <c r="C483" s="22"/>
      <c r="D483" s="22"/>
      <c r="E483" s="22"/>
      <c r="F483" s="22"/>
      <c r="G483" s="22"/>
      <c r="H483" s="22"/>
      <c r="I483" s="22"/>
      <c r="J483" s="22"/>
      <c r="K483" s="22"/>
      <c r="L483" s="22">
        <v>220</v>
      </c>
      <c r="M483" s="22"/>
      <c r="N483" s="22"/>
      <c r="O483" s="22"/>
      <c r="P483" s="55">
        <v>3.226</v>
      </c>
      <c r="Q483" s="25">
        <v>0.2</v>
      </c>
      <c r="R483" s="22"/>
      <c r="S483" s="22"/>
      <c r="T483" s="22"/>
      <c r="U483" s="22">
        <v>0.23330000000000001</v>
      </c>
      <c r="V483" s="22">
        <v>0.23980000000000001</v>
      </c>
      <c r="W483" s="22"/>
      <c r="X483" s="62"/>
      <c r="Y483" s="48">
        <v>4.3580850897500002E-2</v>
      </c>
      <c r="Z483" s="60">
        <f t="shared" si="15"/>
        <v>0.1980947768068182</v>
      </c>
    </row>
    <row r="484" spans="1:26" x14ac:dyDescent="0.3">
      <c r="A484" s="43">
        <v>481</v>
      </c>
      <c r="B484" s="42" t="s">
        <v>511</v>
      </c>
      <c r="C484" s="22"/>
      <c r="D484" s="22"/>
      <c r="E484" s="22"/>
      <c r="F484" s="22"/>
      <c r="G484" s="22"/>
      <c r="H484" s="22"/>
      <c r="I484" s="22"/>
      <c r="J484" s="22"/>
      <c r="K484" s="22"/>
      <c r="L484" s="22">
        <v>190</v>
      </c>
      <c r="M484" s="22"/>
      <c r="N484" s="22"/>
      <c r="O484" s="22"/>
      <c r="P484" s="55">
        <v>3.206</v>
      </c>
      <c r="Q484" s="25">
        <v>0.2</v>
      </c>
      <c r="R484" s="22"/>
      <c r="S484" s="22"/>
      <c r="T484" s="22"/>
      <c r="U484" s="22">
        <v>0.2316</v>
      </c>
      <c r="V484" s="22">
        <v>0.23669999999999999</v>
      </c>
      <c r="W484" s="22"/>
      <c r="X484" s="62"/>
      <c r="Y484" s="48">
        <v>3.1197651579125001E-2</v>
      </c>
      <c r="Z484" s="60">
        <f t="shared" si="15"/>
        <v>0.16419816620592106</v>
      </c>
    </row>
    <row r="485" spans="1:26" x14ac:dyDescent="0.3">
      <c r="A485" s="34">
        <v>482</v>
      </c>
      <c r="B485" s="36" t="s">
        <v>512</v>
      </c>
      <c r="C485" s="22"/>
      <c r="D485" s="22"/>
      <c r="E485" s="22"/>
      <c r="F485" s="22"/>
      <c r="G485" s="22"/>
      <c r="H485" s="22"/>
      <c r="I485" s="22"/>
      <c r="J485" s="22"/>
      <c r="K485" s="22"/>
      <c r="L485" s="22">
        <v>200</v>
      </c>
      <c r="M485" s="22"/>
      <c r="N485" s="22"/>
      <c r="O485" s="22"/>
      <c r="P485" s="55">
        <v>3.262</v>
      </c>
      <c r="Q485" s="25">
        <v>0.2</v>
      </c>
      <c r="R485" s="22"/>
      <c r="S485" s="22"/>
      <c r="T485" s="22"/>
      <c r="U485" s="22">
        <v>0.22189999999999999</v>
      </c>
      <c r="V485" s="22">
        <v>0.22670000000000001</v>
      </c>
      <c r="W485" s="22"/>
      <c r="X485" s="62"/>
      <c r="Y485" s="22"/>
      <c r="Z485" s="60">
        <f t="shared" si="15"/>
        <v>0</v>
      </c>
    </row>
    <row r="486" spans="1:26" x14ac:dyDescent="0.3">
      <c r="A486" s="34">
        <v>483</v>
      </c>
      <c r="B486" s="36" t="s">
        <v>513</v>
      </c>
      <c r="C486" s="22"/>
      <c r="D486" s="22"/>
      <c r="E486" s="22"/>
      <c r="F486" s="22"/>
      <c r="G486" s="22"/>
      <c r="H486" s="22"/>
      <c r="I486" s="22"/>
      <c r="J486" s="22"/>
      <c r="K486" s="22"/>
      <c r="L486" s="22">
        <v>140</v>
      </c>
      <c r="M486" s="22"/>
      <c r="N486" s="22"/>
      <c r="O486" s="22"/>
      <c r="P486" s="55">
        <v>4.2779999999999996</v>
      </c>
      <c r="Q486" s="25">
        <v>0.2</v>
      </c>
      <c r="R486" s="22"/>
      <c r="S486" s="22"/>
      <c r="T486" s="22"/>
      <c r="U486" s="22">
        <v>0.2235</v>
      </c>
      <c r="V486" s="22">
        <v>0.2268</v>
      </c>
      <c r="W486" s="22"/>
      <c r="X486" s="62"/>
      <c r="Y486" s="22"/>
      <c r="Z486" s="60">
        <f t="shared" si="15"/>
        <v>0</v>
      </c>
    </row>
    <row r="487" spans="1:26" x14ac:dyDescent="0.3">
      <c r="A487" s="43">
        <v>484</v>
      </c>
      <c r="B487" s="42" t="s">
        <v>515</v>
      </c>
      <c r="C487" s="11"/>
      <c r="D487" s="11"/>
      <c r="E487" s="11"/>
      <c r="F487" s="11"/>
      <c r="G487" s="11"/>
      <c r="H487" s="11"/>
      <c r="I487" s="11"/>
      <c r="J487" s="11"/>
      <c r="K487" s="11"/>
      <c r="L487" s="22">
        <v>250</v>
      </c>
      <c r="M487" s="11"/>
      <c r="N487" s="11"/>
      <c r="O487" s="11"/>
      <c r="P487" s="55">
        <v>5.4009999999999998</v>
      </c>
      <c r="Q487" s="25">
        <v>0.2</v>
      </c>
      <c r="R487" s="11"/>
      <c r="S487" s="11"/>
      <c r="T487" s="11"/>
      <c r="U487" s="22">
        <v>0.23899999999999999</v>
      </c>
      <c r="V487" s="22">
        <v>0.24840000000000001</v>
      </c>
      <c r="W487" s="22"/>
      <c r="X487" s="64"/>
      <c r="Y487" s="48">
        <v>4.8752902585625001E-2</v>
      </c>
      <c r="Z487" s="60">
        <f t="shared" si="15"/>
        <v>0.1950116103425</v>
      </c>
    </row>
    <row r="488" spans="1:26" x14ac:dyDescent="0.3">
      <c r="A488" s="43">
        <v>485</v>
      </c>
      <c r="B488" s="42" t="s">
        <v>516</v>
      </c>
      <c r="C488" s="11"/>
      <c r="D488" s="11"/>
      <c r="E488" s="11"/>
      <c r="F488" s="11"/>
      <c r="G488" s="11"/>
      <c r="H488" s="11"/>
      <c r="I488" s="11"/>
      <c r="J488" s="11"/>
      <c r="K488" s="11"/>
      <c r="L488" s="22">
        <v>260</v>
      </c>
      <c r="M488" s="11"/>
      <c r="N488" s="11"/>
      <c r="O488" s="11"/>
      <c r="P488" s="55">
        <v>4.8639999999999999</v>
      </c>
      <c r="Q488" s="25">
        <v>0.2</v>
      </c>
      <c r="R488" s="11"/>
      <c r="S488" s="11"/>
      <c r="T488" s="11"/>
      <c r="U488" s="22">
        <v>0.2356</v>
      </c>
      <c r="V488" s="22">
        <v>0.24379999999999999</v>
      </c>
      <c r="W488" s="22"/>
      <c r="X488" s="64"/>
      <c r="Y488" s="48">
        <v>4.3804777220375006E-2</v>
      </c>
      <c r="Z488" s="60">
        <f t="shared" si="15"/>
        <v>0.16847991238605772</v>
      </c>
    </row>
    <row r="489" spans="1:26" x14ac:dyDescent="0.3">
      <c r="A489" s="43">
        <v>486</v>
      </c>
      <c r="B489" s="42" t="s">
        <v>517</v>
      </c>
      <c r="C489" s="11"/>
      <c r="D489" s="11"/>
      <c r="E489" s="11"/>
      <c r="F489" s="11"/>
      <c r="G489" s="11"/>
      <c r="H489" s="11"/>
      <c r="I489" s="11"/>
      <c r="J489" s="11"/>
      <c r="K489" s="11"/>
      <c r="L489" s="22">
        <v>260</v>
      </c>
      <c r="M489" s="11"/>
      <c r="N489" s="11"/>
      <c r="O489" s="11"/>
      <c r="P489" s="55">
        <v>4.6319999999999997</v>
      </c>
      <c r="Q489" s="25">
        <v>0.2</v>
      </c>
      <c r="R489" s="11"/>
      <c r="S489" s="11"/>
      <c r="T489" s="11"/>
      <c r="U489" s="22">
        <v>0.23300000000000001</v>
      </c>
      <c r="V489" s="22">
        <v>0.24030000000000001</v>
      </c>
      <c r="W489" s="22"/>
      <c r="X489" s="64"/>
      <c r="Y489" s="48">
        <v>4.1628186663374998E-2</v>
      </c>
      <c r="Z489" s="60">
        <f t="shared" si="15"/>
        <v>0.16010841024375</v>
      </c>
    </row>
    <row r="490" spans="1:26" x14ac:dyDescent="0.3">
      <c r="A490" s="43">
        <v>487</v>
      </c>
      <c r="B490" s="42" t="s">
        <v>518</v>
      </c>
      <c r="C490" s="11"/>
      <c r="D490" s="11"/>
      <c r="E490" s="11"/>
      <c r="F490" s="11"/>
      <c r="G490" s="11"/>
      <c r="H490" s="11"/>
      <c r="I490" s="11"/>
      <c r="J490" s="11"/>
      <c r="K490" s="11"/>
      <c r="L490" s="22">
        <v>250</v>
      </c>
      <c r="M490" s="11"/>
      <c r="N490" s="11"/>
      <c r="O490" s="11"/>
      <c r="P490" s="55">
        <v>4.1559999999999997</v>
      </c>
      <c r="Q490" s="25">
        <v>0.2</v>
      </c>
      <c r="R490" s="11"/>
      <c r="S490" s="11"/>
      <c r="T490" s="11"/>
      <c r="U490" s="22">
        <v>0.2351</v>
      </c>
      <c r="V490" s="22">
        <v>0.24099999999999999</v>
      </c>
      <c r="W490" s="22"/>
      <c r="X490" s="64"/>
      <c r="Y490" s="48">
        <v>3.7529161528125E-2</v>
      </c>
      <c r="Z490" s="60">
        <f t="shared" si="15"/>
        <v>0.1501166461125</v>
      </c>
    </row>
    <row r="491" spans="1:26" x14ac:dyDescent="0.3">
      <c r="A491" s="34">
        <v>488</v>
      </c>
      <c r="B491" s="36" t="s">
        <v>519</v>
      </c>
      <c r="C491" s="11"/>
      <c r="D491" s="11"/>
      <c r="E491" s="11"/>
      <c r="F491" s="11"/>
      <c r="G491" s="11"/>
      <c r="H491" s="11"/>
      <c r="I491" s="11"/>
      <c r="J491" s="11"/>
      <c r="K491" s="11"/>
      <c r="L491" s="22">
        <v>255</v>
      </c>
      <c r="M491" s="11"/>
      <c r="N491" s="11"/>
      <c r="O491" s="11"/>
      <c r="P491" s="55">
        <v>3.2890000000000001</v>
      </c>
      <c r="Q491" s="25">
        <v>0.2</v>
      </c>
      <c r="R491" s="11"/>
      <c r="S491" s="11"/>
      <c r="T491" s="11"/>
      <c r="U491" s="22">
        <v>0.23710000000000001</v>
      </c>
      <c r="V491" s="22">
        <v>0.24249999999999999</v>
      </c>
      <c r="W491" s="22"/>
      <c r="X491" s="64"/>
      <c r="Y491" s="22"/>
      <c r="Z491" s="60">
        <f t="shared" si="15"/>
        <v>0</v>
      </c>
    </row>
    <row r="492" spans="1:26" x14ac:dyDescent="0.3">
      <c r="A492" s="43">
        <v>489</v>
      </c>
      <c r="B492" s="42" t="s">
        <v>520</v>
      </c>
      <c r="C492" s="11"/>
      <c r="D492" s="11"/>
      <c r="E492" s="11"/>
      <c r="F492" s="11"/>
      <c r="G492" s="11"/>
      <c r="H492" s="11"/>
      <c r="I492" s="11"/>
      <c r="J492" s="11"/>
      <c r="K492" s="11"/>
      <c r="L492" s="22">
        <v>255</v>
      </c>
      <c r="M492" s="11"/>
      <c r="N492" s="11"/>
      <c r="O492" s="11"/>
      <c r="P492" s="55">
        <v>8.7289999999999992</v>
      </c>
      <c r="Q492" s="25">
        <v>0.2</v>
      </c>
      <c r="R492" s="11"/>
      <c r="S492" s="11"/>
      <c r="T492" s="11"/>
      <c r="U492" s="22">
        <v>0.23580000000000001</v>
      </c>
      <c r="V492" s="22">
        <v>0.2417</v>
      </c>
      <c r="W492" s="22"/>
      <c r="X492" s="64"/>
      <c r="Y492" s="48">
        <v>3.5056599780249997E-2</v>
      </c>
      <c r="Z492" s="60">
        <f t="shared" si="15"/>
        <v>0.13747686188333333</v>
      </c>
    </row>
    <row r="493" spans="1:26" x14ac:dyDescent="0.3">
      <c r="A493" s="43">
        <v>490</v>
      </c>
      <c r="B493" s="42" t="s">
        <v>521</v>
      </c>
      <c r="C493" s="11"/>
      <c r="D493" s="11"/>
      <c r="E493" s="11"/>
      <c r="F493" s="11"/>
      <c r="G493" s="11"/>
      <c r="H493" s="11"/>
      <c r="I493" s="11"/>
      <c r="J493" s="11"/>
      <c r="K493" s="11"/>
      <c r="L493" s="22">
        <v>260</v>
      </c>
      <c r="M493" s="11"/>
      <c r="N493" s="11"/>
      <c r="O493" s="11"/>
      <c r="P493" s="55">
        <v>8.7050000000000001</v>
      </c>
      <c r="Q493" s="25">
        <v>0.2</v>
      </c>
      <c r="R493" s="11"/>
      <c r="S493" s="11"/>
      <c r="T493" s="11"/>
      <c r="U493" s="22">
        <v>0.23469999999999999</v>
      </c>
      <c r="V493" s="22">
        <v>0.2427</v>
      </c>
      <c r="W493" s="22"/>
      <c r="X493" s="64"/>
      <c r="Y493" s="48">
        <v>4.8778494560625003E-2</v>
      </c>
      <c r="Z493" s="60">
        <f t="shared" si="15"/>
        <v>0.18760959446394232</v>
      </c>
    </row>
    <row r="494" spans="1:26" x14ac:dyDescent="0.3">
      <c r="A494" s="43">
        <v>491</v>
      </c>
      <c r="B494" s="42" t="s">
        <v>522</v>
      </c>
      <c r="C494" s="11"/>
      <c r="D494" s="11"/>
      <c r="E494" s="11"/>
      <c r="F494" s="11"/>
      <c r="G494" s="11"/>
      <c r="H494" s="11"/>
      <c r="I494" s="11"/>
      <c r="J494" s="11"/>
      <c r="K494" s="11"/>
      <c r="L494" s="22">
        <v>265</v>
      </c>
      <c r="M494" s="11"/>
      <c r="N494" s="11"/>
      <c r="O494" s="11"/>
      <c r="P494" s="55">
        <v>3.1509999999999998</v>
      </c>
      <c r="Q494" s="25">
        <v>0.2</v>
      </c>
      <c r="R494" s="11"/>
      <c r="S494" s="11"/>
      <c r="T494" s="11"/>
      <c r="U494" s="22">
        <v>0.24060000000000001</v>
      </c>
      <c r="V494" s="22">
        <v>0.24859999999999999</v>
      </c>
      <c r="W494" s="22"/>
      <c r="X494" s="64"/>
      <c r="Y494" s="48">
        <v>4.0588734014999996E-2</v>
      </c>
      <c r="Z494" s="60">
        <f t="shared" si="15"/>
        <v>0.15316503401886791</v>
      </c>
    </row>
    <row r="495" spans="1:26" x14ac:dyDescent="0.3">
      <c r="A495" s="43">
        <v>492</v>
      </c>
      <c r="B495" s="42" t="s">
        <v>523</v>
      </c>
      <c r="C495" s="11"/>
      <c r="D495" s="11"/>
      <c r="E495" s="11"/>
      <c r="F495" s="11"/>
      <c r="G495" s="11"/>
      <c r="H495" s="11"/>
      <c r="I495" s="11"/>
      <c r="J495" s="11"/>
      <c r="K495" s="11"/>
      <c r="L495" s="22">
        <v>240</v>
      </c>
      <c r="M495" s="11"/>
      <c r="N495" s="11"/>
      <c r="O495" s="11"/>
      <c r="P495" s="55">
        <v>2.3119999999999998</v>
      </c>
      <c r="Q495" s="25">
        <v>0.2</v>
      </c>
      <c r="R495" s="11"/>
      <c r="S495" s="11"/>
      <c r="T495" s="11"/>
      <c r="U495" s="22">
        <v>0.2384</v>
      </c>
      <c r="V495" s="22">
        <v>0.24540000000000001</v>
      </c>
      <c r="W495" s="22"/>
      <c r="X495" s="64"/>
      <c r="Y495" s="48">
        <v>3.6684456892750003E-2</v>
      </c>
      <c r="Z495" s="60">
        <f t="shared" si="15"/>
        <v>0.15285190371979168</v>
      </c>
    </row>
    <row r="496" spans="1:26" x14ac:dyDescent="0.3">
      <c r="A496" s="43">
        <v>493</v>
      </c>
      <c r="B496" s="42" t="s">
        <v>524</v>
      </c>
      <c r="C496" s="11"/>
      <c r="D496" s="11"/>
      <c r="E496" s="11"/>
      <c r="F496" s="11"/>
      <c r="G496" s="11"/>
      <c r="H496" s="11"/>
      <c r="I496" s="11"/>
      <c r="J496" s="11"/>
      <c r="K496" s="11"/>
      <c r="L496" s="22">
        <v>240</v>
      </c>
      <c r="M496" s="11"/>
      <c r="N496" s="11"/>
      <c r="O496" s="11"/>
      <c r="P496" s="55">
        <v>0.74299999999999999</v>
      </c>
      <c r="Q496" s="25">
        <v>0.2</v>
      </c>
      <c r="R496" s="11"/>
      <c r="S496" s="11"/>
      <c r="T496" s="11"/>
      <c r="U496" s="22">
        <v>0.23369999999999999</v>
      </c>
      <c r="V496" s="22">
        <v>0.23860000000000001</v>
      </c>
      <c r="W496" s="22"/>
      <c r="X496" s="64"/>
      <c r="Y496" s="48">
        <v>2.6000412545874999E-2</v>
      </c>
      <c r="Z496" s="60">
        <f t="shared" si="15"/>
        <v>0.10833505227447916</v>
      </c>
    </row>
    <row r="497" spans="1:26" x14ac:dyDescent="0.3">
      <c r="A497" s="34">
        <v>494</v>
      </c>
      <c r="B497" s="36" t="s">
        <v>525</v>
      </c>
      <c r="C497" s="11"/>
      <c r="D497" s="11"/>
      <c r="E497" s="11"/>
      <c r="F497" s="11"/>
      <c r="G497" s="11"/>
      <c r="H497" s="11"/>
      <c r="I497" s="11"/>
      <c r="J497" s="11"/>
      <c r="K497" s="11"/>
      <c r="L497" s="22">
        <v>250</v>
      </c>
      <c r="M497" s="11"/>
      <c r="N497" s="11"/>
      <c r="O497" s="11"/>
      <c r="P497" s="55">
        <v>0</v>
      </c>
      <c r="Q497" s="25">
        <v>0.2</v>
      </c>
      <c r="R497" s="11"/>
      <c r="S497" s="11"/>
      <c r="T497" s="11"/>
      <c r="U497" s="22">
        <v>0.2354</v>
      </c>
      <c r="V497" s="22">
        <v>0.2399</v>
      </c>
      <c r="W497" s="22"/>
      <c r="X497" s="64"/>
      <c r="Y497" s="22"/>
      <c r="Z497" s="60">
        <f t="shared" si="15"/>
        <v>0</v>
      </c>
    </row>
    <row r="498" spans="1:26" x14ac:dyDescent="0.3">
      <c r="A498" s="43">
        <v>495</v>
      </c>
      <c r="B498" s="42" t="s">
        <v>526</v>
      </c>
      <c r="C498" s="11"/>
      <c r="D498" s="11"/>
      <c r="E498" s="11"/>
      <c r="F498" s="11"/>
      <c r="G498" s="11"/>
      <c r="H498" s="11"/>
      <c r="I498" s="11"/>
      <c r="J498" s="11"/>
      <c r="K498" s="11"/>
      <c r="L498" s="22">
        <v>100</v>
      </c>
      <c r="M498" s="11"/>
      <c r="N498" s="11"/>
      <c r="O498" s="11"/>
      <c r="P498" s="55">
        <v>0</v>
      </c>
      <c r="Q498" s="25">
        <v>0.2</v>
      </c>
      <c r="R498" s="11"/>
      <c r="S498" s="11"/>
      <c r="T498" s="11"/>
      <c r="U498" s="22">
        <v>0.23680000000000001</v>
      </c>
      <c r="V498" s="22">
        <v>0.2387</v>
      </c>
      <c r="W498" s="22"/>
      <c r="X498" s="64"/>
      <c r="Y498" s="48">
        <v>1.73299361460625E-2</v>
      </c>
      <c r="Z498" s="60">
        <f t="shared" si="15"/>
        <v>0.173299361460625</v>
      </c>
    </row>
    <row r="499" spans="1:26" x14ac:dyDescent="0.3">
      <c r="A499" s="34">
        <v>496</v>
      </c>
      <c r="B499" s="36" t="s">
        <v>527</v>
      </c>
      <c r="C499" s="11"/>
      <c r="D499" s="11"/>
      <c r="E499" s="11"/>
      <c r="F499" s="11"/>
      <c r="G499" s="11"/>
      <c r="H499" s="11"/>
      <c r="I499" s="11"/>
      <c r="J499" s="11"/>
      <c r="K499" s="11"/>
      <c r="L499" s="22"/>
      <c r="M499" s="11"/>
      <c r="N499" s="11"/>
      <c r="O499" s="11"/>
      <c r="P499" s="55"/>
      <c r="Q499" s="25">
        <v>0.2</v>
      </c>
      <c r="R499" s="11"/>
      <c r="S499" s="11"/>
      <c r="T499" s="11"/>
      <c r="U499" s="22"/>
      <c r="V499" s="22"/>
      <c r="W499" s="22"/>
      <c r="X499" s="64"/>
      <c r="Y499" s="22"/>
      <c r="Z499" s="60" t="e">
        <f t="shared" si="15"/>
        <v>#DIV/0!</v>
      </c>
    </row>
    <row r="500" spans="1:26" x14ac:dyDescent="0.3">
      <c r="A500" s="34">
        <v>497</v>
      </c>
      <c r="B500" s="36" t="s">
        <v>528</v>
      </c>
      <c r="C500" s="11"/>
      <c r="D500" s="11"/>
      <c r="E500" s="11"/>
      <c r="F500" s="11"/>
      <c r="G500" s="11"/>
      <c r="H500" s="11"/>
      <c r="I500" s="11"/>
      <c r="J500" s="11"/>
      <c r="K500" s="11"/>
      <c r="L500" s="22"/>
      <c r="M500" s="11"/>
      <c r="N500" s="11"/>
      <c r="O500" s="11"/>
      <c r="P500" s="55"/>
      <c r="Q500" s="25">
        <v>0.2</v>
      </c>
      <c r="R500" s="11"/>
      <c r="S500" s="11"/>
      <c r="T500" s="11"/>
      <c r="U500" s="22"/>
      <c r="V500" s="22"/>
      <c r="W500" s="22"/>
      <c r="X500" s="64"/>
      <c r="Y500" s="22"/>
      <c r="Z500" s="60" t="e">
        <f t="shared" si="15"/>
        <v>#DIV/0!</v>
      </c>
    </row>
    <row r="501" spans="1:26" x14ac:dyDescent="0.3">
      <c r="A501" s="34">
        <v>498</v>
      </c>
      <c r="B501" s="36" t="s">
        <v>529</v>
      </c>
      <c r="C501" s="11"/>
      <c r="D501" s="11"/>
      <c r="E501" s="11"/>
      <c r="F501" s="11"/>
      <c r="G501" s="11"/>
      <c r="H501" s="11"/>
      <c r="I501" s="11"/>
      <c r="J501" s="11"/>
      <c r="K501" s="11"/>
      <c r="L501" s="22"/>
      <c r="M501" s="11"/>
      <c r="N501" s="11"/>
      <c r="O501" s="11"/>
      <c r="P501" s="55"/>
      <c r="Q501" s="25">
        <v>0.2</v>
      </c>
      <c r="R501" s="11"/>
      <c r="S501" s="11"/>
      <c r="T501" s="11"/>
      <c r="U501" s="22"/>
      <c r="V501" s="22"/>
      <c r="W501" s="22"/>
      <c r="X501" s="64"/>
      <c r="Y501" s="22"/>
      <c r="Z501" s="60" t="e">
        <f t="shared" si="15"/>
        <v>#DIV/0!</v>
      </c>
    </row>
    <row r="502" spans="1:26" x14ac:dyDescent="0.3">
      <c r="A502" s="43">
        <v>499</v>
      </c>
      <c r="B502" s="42" t="s">
        <v>530</v>
      </c>
      <c r="C502" s="11"/>
      <c r="D502" s="11"/>
      <c r="E502" s="11"/>
      <c r="F502" s="11"/>
      <c r="G502" s="11"/>
      <c r="H502" s="11"/>
      <c r="I502" s="11"/>
      <c r="J502" s="11"/>
      <c r="K502" s="11"/>
      <c r="L502" s="22">
        <v>200</v>
      </c>
      <c r="M502" s="11"/>
      <c r="N502" s="11"/>
      <c r="O502" s="11"/>
      <c r="P502" s="55">
        <v>1.2589999999999999</v>
      </c>
      <c r="Q502" s="25">
        <v>0.2</v>
      </c>
      <c r="R502" s="11"/>
      <c r="S502" s="11"/>
      <c r="T502" s="11"/>
      <c r="U502" s="22">
        <v>0.23730000000000001</v>
      </c>
      <c r="V502" s="22">
        <v>0.27460000000000001</v>
      </c>
      <c r="W502" s="22"/>
      <c r="X502" s="64"/>
      <c r="Y502" s="48">
        <v>9.628629867887499E-2</v>
      </c>
      <c r="Z502" s="60">
        <f t="shared" si="15"/>
        <v>0.48143149339437491</v>
      </c>
    </row>
    <row r="503" spans="1:26" x14ac:dyDescent="0.3">
      <c r="A503" s="43">
        <v>500</v>
      </c>
      <c r="B503" s="42" t="s">
        <v>531</v>
      </c>
      <c r="C503" s="11"/>
      <c r="D503" s="11"/>
      <c r="E503" s="11"/>
      <c r="F503" s="11"/>
      <c r="G503" s="11"/>
      <c r="H503" s="11"/>
      <c r="I503" s="11"/>
      <c r="J503" s="11"/>
      <c r="K503" s="11"/>
      <c r="L503" s="22">
        <v>200</v>
      </c>
      <c r="M503" s="11"/>
      <c r="N503" s="11"/>
      <c r="O503" s="11"/>
      <c r="P503" s="55">
        <v>1.2529999999999999</v>
      </c>
      <c r="Q503" s="25">
        <v>0.2</v>
      </c>
      <c r="R503" s="11"/>
      <c r="S503" s="11"/>
      <c r="T503" s="11"/>
      <c r="U503" s="22">
        <v>0.23680000000000001</v>
      </c>
      <c r="V503" s="22">
        <v>0.29299999999999998</v>
      </c>
      <c r="W503" s="22"/>
      <c r="X503" s="64"/>
      <c r="Y503" s="48">
        <v>0.16673814433374998</v>
      </c>
      <c r="Z503" s="60">
        <f t="shared" si="15"/>
        <v>0.8336907216687498</v>
      </c>
    </row>
    <row r="504" spans="1:26" x14ac:dyDescent="0.3">
      <c r="A504" s="43">
        <v>501</v>
      </c>
      <c r="B504" s="42" t="s">
        <v>532</v>
      </c>
      <c r="C504" s="11"/>
      <c r="D504" s="11"/>
      <c r="E504" s="11"/>
      <c r="F504" s="11"/>
      <c r="G504" s="11"/>
      <c r="H504" s="11"/>
      <c r="I504" s="11"/>
      <c r="J504" s="11"/>
      <c r="K504" s="11"/>
      <c r="L504" s="22">
        <v>225</v>
      </c>
      <c r="M504" s="11"/>
      <c r="N504" s="11"/>
      <c r="O504" s="11"/>
      <c r="P504" s="55">
        <v>1.1539999999999999</v>
      </c>
      <c r="Q504" s="25">
        <v>0.2</v>
      </c>
      <c r="R504" s="11"/>
      <c r="S504" s="11"/>
      <c r="T504" s="11"/>
      <c r="U504" s="22">
        <v>0.23949999999999999</v>
      </c>
      <c r="V504" s="22">
        <v>0.28760000000000002</v>
      </c>
      <c r="W504" s="22"/>
      <c r="X504" s="64"/>
      <c r="Y504" s="48">
        <v>0.14267352825724999</v>
      </c>
      <c r="Z504" s="60">
        <f t="shared" si="15"/>
        <v>0.6341045700322222</v>
      </c>
    </row>
    <row r="505" spans="1:26" x14ac:dyDescent="0.3">
      <c r="A505" s="43">
        <v>502</v>
      </c>
      <c r="B505" s="42" t="s">
        <v>533</v>
      </c>
      <c r="C505" s="11"/>
      <c r="D505" s="11"/>
      <c r="E505" s="11"/>
      <c r="F505" s="11"/>
      <c r="G505" s="11"/>
      <c r="H505" s="11"/>
      <c r="I505" s="11"/>
      <c r="J505" s="11"/>
      <c r="K505" s="11"/>
      <c r="L505" s="22">
        <v>220</v>
      </c>
      <c r="M505" s="11"/>
      <c r="N505" s="11"/>
      <c r="O505" s="11"/>
      <c r="P505" s="55">
        <v>1.1870000000000001</v>
      </c>
      <c r="Q505" s="25">
        <v>0.2</v>
      </c>
      <c r="R505" s="11"/>
      <c r="S505" s="11"/>
      <c r="T505" s="11"/>
      <c r="U505" s="22">
        <v>0.23830000000000001</v>
      </c>
      <c r="V505" s="22">
        <v>0.27650000000000002</v>
      </c>
      <c r="W505" s="22"/>
      <c r="X505" s="64"/>
      <c r="Y505" s="48">
        <v>9.8833905773999989E-2</v>
      </c>
      <c r="Z505" s="60">
        <f t="shared" si="15"/>
        <v>0.44924502624545448</v>
      </c>
    </row>
    <row r="506" spans="1:26" x14ac:dyDescent="0.3">
      <c r="A506" s="43">
        <v>503</v>
      </c>
      <c r="B506" s="42" t="s">
        <v>534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22">
        <v>225</v>
      </c>
      <c r="M506" s="11"/>
      <c r="N506" s="11"/>
      <c r="O506" s="11"/>
      <c r="P506" s="55">
        <v>1.3460000000000001</v>
      </c>
      <c r="Q506" s="25">
        <v>0.2</v>
      </c>
      <c r="R506" s="11"/>
      <c r="S506" s="11"/>
      <c r="T506" s="11"/>
      <c r="U506" s="22">
        <v>0.2341</v>
      </c>
      <c r="V506" s="22">
        <v>0.38040000000000002</v>
      </c>
      <c r="W506" s="22"/>
      <c r="X506" s="64"/>
      <c r="Y506" s="48">
        <v>0.20324399386074998</v>
      </c>
      <c r="Z506" s="60">
        <f t="shared" si="15"/>
        <v>0.903306639381111</v>
      </c>
    </row>
    <row r="507" spans="1:26" x14ac:dyDescent="0.3">
      <c r="A507" s="43">
        <v>504</v>
      </c>
      <c r="B507" s="42" t="s">
        <v>535</v>
      </c>
      <c r="C507" s="11"/>
      <c r="D507" s="11"/>
      <c r="E507" s="11"/>
      <c r="F507" s="11"/>
      <c r="G507" s="11"/>
      <c r="H507" s="11"/>
      <c r="I507" s="11"/>
      <c r="J507" s="11"/>
      <c r="K507" s="11"/>
      <c r="L507" s="22">
        <v>225</v>
      </c>
      <c r="M507" s="11"/>
      <c r="N507" s="11"/>
      <c r="O507" s="11"/>
      <c r="P507" s="55">
        <v>1.2</v>
      </c>
      <c r="Q507" s="25">
        <v>0.2</v>
      </c>
      <c r="R507" s="11"/>
      <c r="S507" s="11"/>
      <c r="T507" s="11"/>
      <c r="U507" s="22">
        <v>0.23080000000000001</v>
      </c>
      <c r="V507" s="22">
        <v>0.2969</v>
      </c>
      <c r="W507" s="22"/>
      <c r="X507" s="64"/>
      <c r="Y507" s="48">
        <v>0.16001454074074997</v>
      </c>
      <c r="Z507" s="60">
        <f t="shared" si="15"/>
        <v>0.71117573662555544</v>
      </c>
    </row>
    <row r="508" spans="1:26" x14ac:dyDescent="0.3">
      <c r="A508" s="43">
        <v>505</v>
      </c>
      <c r="B508" s="42" t="s">
        <v>536</v>
      </c>
      <c r="C508" s="11"/>
      <c r="D508" s="11"/>
      <c r="E508" s="11"/>
      <c r="F508" s="11"/>
      <c r="G508" s="11"/>
      <c r="H508" s="11"/>
      <c r="I508" s="11"/>
      <c r="J508" s="11"/>
      <c r="K508" s="11"/>
      <c r="L508" s="22">
        <v>225</v>
      </c>
      <c r="M508" s="11"/>
      <c r="N508" s="11"/>
      <c r="O508" s="11"/>
      <c r="P508" s="55">
        <v>1.1399999999999999</v>
      </c>
      <c r="Q508" s="25">
        <v>0.2</v>
      </c>
      <c r="R508" s="11"/>
      <c r="S508" s="11"/>
      <c r="T508" s="11"/>
      <c r="U508" s="22">
        <v>0.23039999999999999</v>
      </c>
      <c r="V508" s="22">
        <v>0.2757</v>
      </c>
      <c r="W508" s="22"/>
      <c r="X508" s="64"/>
      <c r="Y508" s="48">
        <v>0.13477408813174999</v>
      </c>
      <c r="Z508" s="60">
        <f t="shared" si="15"/>
        <v>0.59899594725222216</v>
      </c>
    </row>
    <row r="509" spans="1:26" x14ac:dyDescent="0.3">
      <c r="A509" s="34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55"/>
      <c r="Q509" s="11"/>
      <c r="R509" s="11"/>
      <c r="S509" s="11"/>
      <c r="T509" s="11"/>
      <c r="U509" s="22"/>
      <c r="V509" s="22"/>
      <c r="W509" s="22"/>
      <c r="X509" s="64"/>
      <c r="Y509" s="22"/>
      <c r="Z509" s="59"/>
    </row>
    <row r="510" spans="1:26" x14ac:dyDescent="0.3">
      <c r="A510" s="34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55"/>
      <c r="Q510" s="11"/>
      <c r="R510" s="11"/>
      <c r="S510" s="11"/>
      <c r="T510" s="11"/>
      <c r="U510" s="11"/>
      <c r="V510" s="11"/>
      <c r="W510" s="11"/>
      <c r="X510" s="64"/>
      <c r="Y510" s="22"/>
      <c r="Z510" s="59"/>
    </row>
    <row r="511" spans="1:26" x14ac:dyDescent="0.3">
      <c r="A511" s="34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55"/>
      <c r="Q511" s="11"/>
      <c r="R511" s="11"/>
      <c r="S511" s="11"/>
      <c r="T511" s="11"/>
      <c r="U511" s="11"/>
      <c r="V511" s="11"/>
      <c r="W511" s="11"/>
      <c r="X511" s="64"/>
      <c r="Y511" s="22"/>
      <c r="Z511" s="59"/>
    </row>
    <row r="512" spans="1:26" x14ac:dyDescent="0.3">
      <c r="A512" s="34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55"/>
      <c r="Q512" s="11"/>
      <c r="R512" s="11"/>
      <c r="S512" s="11"/>
      <c r="T512" s="11"/>
      <c r="U512" s="11"/>
      <c r="V512" s="11"/>
      <c r="W512" s="11"/>
      <c r="X512" s="64"/>
      <c r="Y512" s="22"/>
      <c r="Z512" s="59"/>
    </row>
    <row r="513" spans="1:26" x14ac:dyDescent="0.3">
      <c r="A513" s="34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55"/>
      <c r="Q513" s="11"/>
      <c r="R513" s="11"/>
      <c r="S513" s="11"/>
      <c r="T513" s="11"/>
      <c r="U513" s="11"/>
      <c r="V513" s="11"/>
      <c r="W513" s="11"/>
      <c r="X513" s="64"/>
      <c r="Y513" s="22"/>
      <c r="Z513" s="59"/>
    </row>
    <row r="514" spans="1:26" x14ac:dyDescent="0.3">
      <c r="A514" s="34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55"/>
      <c r="Q514" s="11"/>
      <c r="R514" s="11"/>
      <c r="S514" s="11"/>
      <c r="T514" s="11"/>
      <c r="U514" s="11"/>
      <c r="V514" s="11"/>
      <c r="W514" s="11"/>
      <c r="X514" s="64"/>
      <c r="Y514" s="22"/>
      <c r="Z514" s="59"/>
    </row>
    <row r="515" spans="1:26" x14ac:dyDescent="0.3">
      <c r="A515" s="34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55"/>
      <c r="Q515" s="11"/>
      <c r="R515" s="11"/>
      <c r="S515" s="11"/>
      <c r="T515" s="11"/>
      <c r="U515" s="11"/>
      <c r="V515" s="11"/>
      <c r="W515" s="11"/>
      <c r="X515" s="64"/>
      <c r="Y515" s="22"/>
      <c r="Z515" s="59"/>
    </row>
    <row r="516" spans="1:26" x14ac:dyDescent="0.3">
      <c r="A516" s="34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55"/>
      <c r="Q516" s="11"/>
      <c r="R516" s="11"/>
      <c r="S516" s="11"/>
      <c r="T516" s="11"/>
      <c r="U516" s="11"/>
      <c r="V516" s="11"/>
      <c r="W516" s="11"/>
      <c r="X516" s="64"/>
      <c r="Y516" s="22"/>
      <c r="Z516" s="59"/>
    </row>
    <row r="517" spans="1:26" x14ac:dyDescent="0.3">
      <c r="A517" s="34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55"/>
      <c r="Q517" s="11"/>
      <c r="R517" s="11"/>
      <c r="S517" s="11"/>
      <c r="T517" s="11"/>
      <c r="U517" s="11"/>
      <c r="V517" s="11"/>
      <c r="W517" s="11"/>
      <c r="X517" s="64"/>
      <c r="Y517" s="22"/>
      <c r="Z517" s="59"/>
    </row>
    <row r="518" spans="1:26" x14ac:dyDescent="0.3">
      <c r="A518" s="34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55"/>
      <c r="Q518" s="11"/>
      <c r="R518" s="11"/>
      <c r="S518" s="11"/>
      <c r="T518" s="11"/>
      <c r="U518" s="11"/>
      <c r="V518" s="11"/>
      <c r="W518" s="11"/>
      <c r="X518" s="64"/>
      <c r="Y518" s="22"/>
      <c r="Z518" s="59"/>
    </row>
    <row r="519" spans="1:26" x14ac:dyDescent="0.3">
      <c r="A519" s="34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55"/>
      <c r="Q519" s="11"/>
      <c r="R519" s="11"/>
      <c r="S519" s="11"/>
      <c r="T519" s="11"/>
      <c r="U519" s="11"/>
      <c r="V519" s="11"/>
      <c r="W519" s="11"/>
      <c r="X519" s="64"/>
      <c r="Y519" s="22"/>
      <c r="Z519" s="59"/>
    </row>
    <row r="520" spans="1:26" x14ac:dyDescent="0.3">
      <c r="A520" s="34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55"/>
      <c r="Q520" s="11"/>
      <c r="R520" s="11"/>
      <c r="S520" s="11"/>
      <c r="T520" s="11"/>
      <c r="U520" s="11"/>
      <c r="V520" s="11"/>
      <c r="W520" s="11"/>
      <c r="X520" s="64"/>
      <c r="Y520" s="22"/>
      <c r="Z520" s="59"/>
    </row>
    <row r="521" spans="1:26" x14ac:dyDescent="0.3">
      <c r="A521" s="34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55"/>
      <c r="Q521" s="11"/>
      <c r="R521" s="11"/>
      <c r="S521" s="11"/>
      <c r="T521" s="11"/>
      <c r="U521" s="11"/>
      <c r="V521" s="11"/>
      <c r="W521" s="11"/>
      <c r="X521" s="64"/>
      <c r="Y521" s="22"/>
      <c r="Z521" s="59"/>
    </row>
    <row r="522" spans="1:26" x14ac:dyDescent="0.3">
      <c r="A522" s="34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55"/>
      <c r="Q522" s="11"/>
      <c r="R522" s="11"/>
      <c r="S522" s="11"/>
      <c r="T522" s="11"/>
      <c r="U522" s="11"/>
      <c r="V522" s="11"/>
      <c r="W522" s="11"/>
      <c r="X522" s="64"/>
      <c r="Y522" s="22"/>
      <c r="Z522" s="59"/>
    </row>
    <row r="523" spans="1:26" x14ac:dyDescent="0.3">
      <c r="A523" s="34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55"/>
      <c r="Q523" s="11"/>
      <c r="R523" s="11"/>
      <c r="S523" s="11"/>
      <c r="T523" s="11"/>
      <c r="U523" s="11"/>
      <c r="V523" s="11"/>
      <c r="W523" s="11"/>
      <c r="X523" s="64"/>
      <c r="Y523" s="22"/>
      <c r="Z523" s="59"/>
    </row>
    <row r="524" spans="1:26" x14ac:dyDescent="0.3">
      <c r="A524" s="34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55"/>
      <c r="Q524" s="11"/>
      <c r="R524" s="11"/>
      <c r="S524" s="11"/>
      <c r="T524" s="11"/>
      <c r="U524" s="11"/>
      <c r="V524" s="11"/>
      <c r="W524" s="11"/>
      <c r="X524" s="64"/>
      <c r="Y524" s="22"/>
      <c r="Z524" s="59"/>
    </row>
    <row r="525" spans="1:26" x14ac:dyDescent="0.3">
      <c r="A525" s="34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55"/>
      <c r="Q525" s="11"/>
      <c r="R525" s="11"/>
      <c r="S525" s="11"/>
      <c r="T525" s="11"/>
      <c r="U525" s="11"/>
      <c r="V525" s="11"/>
      <c r="W525" s="11"/>
      <c r="X525" s="64"/>
      <c r="Y525" s="22"/>
      <c r="Z525" s="59"/>
    </row>
    <row r="526" spans="1:26" x14ac:dyDescent="0.3">
      <c r="A526" s="34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55"/>
      <c r="Q526" s="11"/>
      <c r="R526" s="11"/>
      <c r="S526" s="11"/>
      <c r="T526" s="11"/>
      <c r="U526" s="11"/>
      <c r="V526" s="11"/>
      <c r="W526" s="11"/>
      <c r="X526" s="64"/>
      <c r="Y526" s="22"/>
      <c r="Z526" s="59"/>
    </row>
    <row r="527" spans="1:26" x14ac:dyDescent="0.3">
      <c r="A527" s="34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55"/>
      <c r="Q527" s="11"/>
      <c r="R527" s="11"/>
      <c r="S527" s="11"/>
      <c r="T527" s="11"/>
      <c r="U527" s="11"/>
      <c r="V527" s="11"/>
      <c r="W527" s="11"/>
      <c r="X527" s="64"/>
      <c r="Y527" s="22"/>
      <c r="Z527" s="59"/>
    </row>
    <row r="528" spans="1:26" x14ac:dyDescent="0.3">
      <c r="A528" s="34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55"/>
      <c r="Q528" s="11"/>
      <c r="R528" s="11"/>
      <c r="S528" s="11"/>
      <c r="T528" s="11"/>
      <c r="U528" s="11"/>
      <c r="V528" s="11"/>
      <c r="W528" s="11"/>
      <c r="X528" s="64"/>
      <c r="Y528" s="22"/>
      <c r="Z528" s="59"/>
    </row>
    <row r="529" spans="1:26" x14ac:dyDescent="0.3">
      <c r="A529" s="34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55"/>
      <c r="Q529" s="11"/>
      <c r="R529" s="11"/>
      <c r="S529" s="11"/>
      <c r="T529" s="11"/>
      <c r="U529" s="11"/>
      <c r="V529" s="11"/>
      <c r="W529" s="11"/>
      <c r="X529" s="64"/>
      <c r="Y529" s="22"/>
      <c r="Z529" s="59"/>
    </row>
    <row r="530" spans="1:26" x14ac:dyDescent="0.3">
      <c r="A530" s="34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55"/>
      <c r="Q530" s="11"/>
      <c r="R530" s="11"/>
      <c r="S530" s="11"/>
      <c r="T530" s="11"/>
      <c r="U530" s="11"/>
      <c r="V530" s="11"/>
      <c r="W530" s="11"/>
      <c r="X530" s="64"/>
      <c r="Y530" s="22"/>
      <c r="Z530" s="59"/>
    </row>
    <row r="531" spans="1:26" x14ac:dyDescent="0.3">
      <c r="A531" s="34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55"/>
      <c r="Q531" s="11"/>
      <c r="R531" s="11"/>
      <c r="S531" s="11"/>
      <c r="T531" s="11"/>
      <c r="U531" s="11"/>
      <c r="V531" s="11"/>
      <c r="W531" s="11"/>
      <c r="X531" s="64"/>
      <c r="Y531" s="22"/>
      <c r="Z531" s="59"/>
    </row>
    <row r="532" spans="1:26" x14ac:dyDescent="0.3">
      <c r="A532" s="34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55"/>
      <c r="Q532" s="11"/>
      <c r="R532" s="11"/>
      <c r="S532" s="11"/>
      <c r="T532" s="11"/>
      <c r="U532" s="11"/>
      <c r="V532" s="11"/>
      <c r="W532" s="11"/>
      <c r="X532" s="64"/>
      <c r="Y532" s="22"/>
      <c r="Z532" s="59"/>
    </row>
    <row r="533" spans="1:26" x14ac:dyDescent="0.3">
      <c r="A533" s="34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55"/>
      <c r="Q533" s="11"/>
      <c r="R533" s="11"/>
      <c r="S533" s="11"/>
      <c r="T533" s="11"/>
      <c r="U533" s="11"/>
      <c r="V533" s="11"/>
      <c r="W533" s="11"/>
      <c r="X533" s="64"/>
      <c r="Y533" s="22"/>
      <c r="Z533" s="59"/>
    </row>
    <row r="534" spans="1:26" x14ac:dyDescent="0.3">
      <c r="A534" s="34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55"/>
      <c r="Q534" s="11"/>
      <c r="R534" s="11"/>
      <c r="S534" s="11"/>
      <c r="T534" s="11"/>
      <c r="U534" s="11"/>
      <c r="V534" s="11"/>
      <c r="W534" s="11"/>
      <c r="X534" s="64"/>
      <c r="Y534" s="22"/>
      <c r="Z534" s="59"/>
    </row>
    <row r="535" spans="1:26" x14ac:dyDescent="0.3">
      <c r="A535" s="34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55"/>
      <c r="Q535" s="11"/>
      <c r="R535" s="11"/>
      <c r="S535" s="11"/>
      <c r="T535" s="11"/>
      <c r="U535" s="11"/>
      <c r="V535" s="11"/>
      <c r="W535" s="11"/>
      <c r="X535" s="64"/>
      <c r="Y535" s="22"/>
      <c r="Z535" s="59"/>
    </row>
    <row r="536" spans="1:26" x14ac:dyDescent="0.3">
      <c r="A536" s="34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55"/>
      <c r="Q536" s="11"/>
      <c r="R536" s="11"/>
      <c r="S536" s="11"/>
      <c r="T536" s="11"/>
      <c r="U536" s="11"/>
      <c r="V536" s="11"/>
      <c r="W536" s="11"/>
      <c r="X536" s="64"/>
      <c r="Y536" s="22"/>
      <c r="Z536" s="59"/>
    </row>
    <row r="537" spans="1:26" x14ac:dyDescent="0.3">
      <c r="A537" s="34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55"/>
      <c r="Q537" s="11"/>
      <c r="R537" s="11"/>
      <c r="S537" s="11"/>
      <c r="T537" s="11"/>
      <c r="U537" s="11"/>
      <c r="V537" s="11"/>
      <c r="W537" s="11"/>
      <c r="X537" s="64"/>
      <c r="Y537" s="22"/>
      <c r="Z537" s="59"/>
    </row>
    <row r="538" spans="1:26" x14ac:dyDescent="0.3">
      <c r="A538" s="34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55"/>
      <c r="Q538" s="11"/>
      <c r="R538" s="11"/>
      <c r="S538" s="11"/>
      <c r="T538" s="11"/>
      <c r="U538" s="11"/>
      <c r="V538" s="11"/>
      <c r="W538" s="11"/>
      <c r="X538" s="64"/>
      <c r="Y538" s="22"/>
      <c r="Z538" s="59"/>
    </row>
    <row r="539" spans="1:26" x14ac:dyDescent="0.3">
      <c r="A539" s="34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55"/>
      <c r="Q539" s="11"/>
      <c r="R539" s="11"/>
      <c r="S539" s="11"/>
      <c r="T539" s="11"/>
      <c r="U539" s="11"/>
      <c r="V539" s="11"/>
      <c r="W539" s="11"/>
      <c r="X539" s="64"/>
      <c r="Y539" s="22"/>
      <c r="Z539" s="59"/>
    </row>
    <row r="540" spans="1:26" x14ac:dyDescent="0.3">
      <c r="A540" s="34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55"/>
      <c r="Q540" s="11"/>
      <c r="R540" s="11"/>
      <c r="S540" s="11"/>
      <c r="T540" s="11"/>
      <c r="U540" s="11"/>
      <c r="V540" s="11"/>
      <c r="W540" s="11"/>
      <c r="X540" s="64"/>
      <c r="Y540" s="22"/>
      <c r="Z540" s="59"/>
    </row>
    <row r="541" spans="1:26" x14ac:dyDescent="0.3">
      <c r="A541" s="34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55"/>
      <c r="Q541" s="11"/>
      <c r="R541" s="11"/>
      <c r="S541" s="11"/>
      <c r="T541" s="11"/>
      <c r="U541" s="11"/>
      <c r="V541" s="11"/>
      <c r="W541" s="11"/>
      <c r="X541" s="64"/>
      <c r="Y541" s="22"/>
      <c r="Z541" s="59"/>
    </row>
    <row r="542" spans="1:26" x14ac:dyDescent="0.3">
      <c r="A542" s="34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55"/>
      <c r="Q542" s="11"/>
      <c r="R542" s="11"/>
      <c r="S542" s="11"/>
      <c r="T542" s="11"/>
      <c r="U542" s="11"/>
      <c r="V542" s="11"/>
      <c r="W542" s="11"/>
      <c r="X542" s="64"/>
      <c r="Y542" s="22"/>
      <c r="Z542" s="59"/>
    </row>
    <row r="543" spans="1:26" x14ac:dyDescent="0.3">
      <c r="A543" s="34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55"/>
      <c r="Q543" s="11"/>
      <c r="R543" s="11"/>
      <c r="S543" s="11"/>
      <c r="T543" s="11"/>
      <c r="U543" s="11"/>
      <c r="V543" s="11"/>
      <c r="W543" s="11"/>
      <c r="X543" s="64"/>
      <c r="Y543" s="22"/>
      <c r="Z543" s="59"/>
    </row>
    <row r="544" spans="1:26" x14ac:dyDescent="0.3">
      <c r="A544" s="34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55"/>
      <c r="Q544" s="11"/>
      <c r="R544" s="11"/>
      <c r="S544" s="11"/>
      <c r="T544" s="11"/>
      <c r="U544" s="11"/>
      <c r="V544" s="11"/>
      <c r="W544" s="11"/>
      <c r="X544" s="64"/>
      <c r="Y544" s="22"/>
      <c r="Z544" s="59"/>
    </row>
    <row r="545" spans="1:26" x14ac:dyDescent="0.3">
      <c r="A545" s="34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55"/>
      <c r="Q545" s="11"/>
      <c r="R545" s="11"/>
      <c r="S545" s="11"/>
      <c r="T545" s="11"/>
      <c r="U545" s="11"/>
      <c r="V545" s="11"/>
      <c r="W545" s="11"/>
      <c r="X545" s="64"/>
      <c r="Y545" s="22"/>
      <c r="Z545" s="59"/>
    </row>
    <row r="546" spans="1:26" x14ac:dyDescent="0.3">
      <c r="A546" s="34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55"/>
      <c r="Q546" s="11"/>
      <c r="R546" s="11"/>
      <c r="S546" s="11"/>
      <c r="T546" s="11"/>
      <c r="U546" s="11"/>
      <c r="V546" s="11"/>
      <c r="W546" s="11"/>
      <c r="X546" s="64"/>
      <c r="Y546" s="22"/>
      <c r="Z546" s="59"/>
    </row>
    <row r="547" spans="1:26" x14ac:dyDescent="0.3">
      <c r="A547" s="34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55"/>
      <c r="Q547" s="11"/>
      <c r="R547" s="11"/>
      <c r="S547" s="11"/>
      <c r="T547" s="11"/>
      <c r="U547" s="11"/>
      <c r="V547" s="11"/>
      <c r="W547" s="11"/>
      <c r="X547" s="64"/>
      <c r="Y547" s="22"/>
      <c r="Z547" s="59"/>
    </row>
    <row r="548" spans="1:26" x14ac:dyDescent="0.3">
      <c r="A548" s="34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55"/>
      <c r="Q548" s="11"/>
      <c r="R548" s="11"/>
      <c r="S548" s="11"/>
      <c r="T548" s="11"/>
      <c r="U548" s="11"/>
      <c r="V548" s="11"/>
      <c r="W548" s="11"/>
      <c r="X548" s="64"/>
      <c r="Y548" s="22"/>
      <c r="Z548" s="59"/>
    </row>
    <row r="549" spans="1:26" x14ac:dyDescent="0.3">
      <c r="A549" s="34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55"/>
      <c r="Q549" s="11"/>
      <c r="R549" s="11"/>
      <c r="S549" s="11"/>
      <c r="T549" s="11"/>
      <c r="U549" s="11"/>
      <c r="V549" s="11"/>
      <c r="W549" s="11"/>
      <c r="X549" s="64"/>
      <c r="Y549" s="22"/>
      <c r="Z549" s="59"/>
    </row>
    <row r="550" spans="1:26" x14ac:dyDescent="0.3">
      <c r="A550" s="34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55"/>
      <c r="Q550" s="11"/>
      <c r="R550" s="11"/>
      <c r="S550" s="11"/>
      <c r="T550" s="11"/>
      <c r="U550" s="11"/>
      <c r="V550" s="11"/>
      <c r="W550" s="11"/>
      <c r="X550" s="64"/>
      <c r="Y550" s="22"/>
      <c r="Z550" s="59"/>
    </row>
    <row r="551" spans="1:26" x14ac:dyDescent="0.3">
      <c r="A551" s="34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55"/>
      <c r="Q551" s="11"/>
      <c r="R551" s="11"/>
      <c r="S551" s="11"/>
      <c r="T551" s="11"/>
      <c r="U551" s="11"/>
      <c r="V551" s="11"/>
      <c r="W551" s="11"/>
      <c r="X551" s="64"/>
      <c r="Y551" s="22"/>
      <c r="Z551" s="59"/>
    </row>
    <row r="552" spans="1:26" x14ac:dyDescent="0.3">
      <c r="A552" s="34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55"/>
      <c r="Q552" s="11"/>
      <c r="R552" s="11"/>
      <c r="S552" s="11"/>
      <c r="T552" s="11"/>
      <c r="U552" s="11"/>
      <c r="V552" s="11"/>
      <c r="W552" s="11"/>
      <c r="X552" s="64"/>
      <c r="Y552" s="22"/>
      <c r="Z552" s="59"/>
    </row>
    <row r="553" spans="1:26" x14ac:dyDescent="0.3">
      <c r="A553" s="34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55"/>
      <c r="Q553" s="11"/>
      <c r="R553" s="11"/>
      <c r="S553" s="11"/>
      <c r="T553" s="11"/>
      <c r="U553" s="11"/>
      <c r="V553" s="11"/>
      <c r="W553" s="11"/>
      <c r="X553" s="64"/>
      <c r="Y553" s="22"/>
      <c r="Z553" s="59"/>
    </row>
    <row r="554" spans="1:26" x14ac:dyDescent="0.3">
      <c r="A554" s="34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55"/>
      <c r="Q554" s="11"/>
      <c r="R554" s="11"/>
      <c r="S554" s="11"/>
      <c r="T554" s="11"/>
      <c r="U554" s="11"/>
      <c r="V554" s="11"/>
      <c r="W554" s="11"/>
      <c r="X554" s="64"/>
      <c r="Y554" s="22"/>
      <c r="Z554" s="59"/>
    </row>
    <row r="555" spans="1:26" x14ac:dyDescent="0.3">
      <c r="A555" s="34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55"/>
      <c r="Q555" s="11"/>
      <c r="R555" s="11"/>
      <c r="S555" s="11"/>
      <c r="T555" s="11"/>
      <c r="U555" s="11"/>
      <c r="V555" s="11"/>
      <c r="W555" s="11"/>
      <c r="X555" s="64"/>
      <c r="Y555" s="22"/>
      <c r="Z555" s="59"/>
    </row>
    <row r="556" spans="1:26" x14ac:dyDescent="0.3">
      <c r="A556" s="34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55"/>
      <c r="Q556" s="11"/>
      <c r="R556" s="11"/>
      <c r="S556" s="11"/>
      <c r="T556" s="11"/>
      <c r="U556" s="11"/>
      <c r="V556" s="11"/>
      <c r="W556" s="11"/>
      <c r="X556" s="64"/>
      <c r="Y556" s="22"/>
      <c r="Z556" s="59"/>
    </row>
    <row r="557" spans="1:26" x14ac:dyDescent="0.3">
      <c r="A557" s="34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55"/>
      <c r="Q557" s="11"/>
      <c r="R557" s="11"/>
      <c r="S557" s="11"/>
      <c r="T557" s="11"/>
      <c r="U557" s="11"/>
      <c r="V557" s="11"/>
      <c r="W557" s="11"/>
      <c r="X557" s="64"/>
      <c r="Y557" s="22"/>
      <c r="Z557" s="59"/>
    </row>
    <row r="558" spans="1:26" x14ac:dyDescent="0.3">
      <c r="A558" s="34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55"/>
      <c r="Q558" s="11"/>
      <c r="R558" s="11"/>
      <c r="S558" s="11"/>
      <c r="T558" s="11"/>
      <c r="U558" s="11"/>
      <c r="V558" s="11"/>
      <c r="W558" s="11"/>
      <c r="X558" s="64"/>
      <c r="Y558" s="22"/>
      <c r="Z558" s="59"/>
    </row>
    <row r="559" spans="1:26" x14ac:dyDescent="0.3">
      <c r="A559" s="34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55"/>
      <c r="Q559" s="11"/>
      <c r="R559" s="11"/>
      <c r="S559" s="11"/>
      <c r="T559" s="11"/>
      <c r="U559" s="11"/>
      <c r="V559" s="11"/>
      <c r="W559" s="11"/>
      <c r="X559" s="64"/>
      <c r="Y559" s="22"/>
      <c r="Z559" s="59"/>
    </row>
    <row r="560" spans="1:26" x14ac:dyDescent="0.3">
      <c r="A560" s="34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55"/>
      <c r="Q560" s="11"/>
      <c r="R560" s="11"/>
      <c r="S560" s="11"/>
      <c r="T560" s="11"/>
      <c r="U560" s="11"/>
      <c r="V560" s="11"/>
      <c r="W560" s="11"/>
      <c r="X560" s="64"/>
      <c r="Y560" s="22"/>
      <c r="Z560" s="59"/>
    </row>
    <row r="561" spans="1:26" x14ac:dyDescent="0.3">
      <c r="A561" s="34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55"/>
      <c r="Q561" s="11"/>
      <c r="R561" s="11"/>
      <c r="S561" s="11"/>
      <c r="T561" s="11"/>
      <c r="U561" s="11"/>
      <c r="V561" s="11"/>
      <c r="W561" s="11"/>
      <c r="X561" s="64"/>
      <c r="Y561" s="22"/>
      <c r="Z561" s="59"/>
    </row>
    <row r="562" spans="1:26" x14ac:dyDescent="0.3">
      <c r="A562" s="34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55"/>
      <c r="Q562" s="11"/>
      <c r="R562" s="11"/>
      <c r="S562" s="11"/>
      <c r="T562" s="11"/>
      <c r="U562" s="11"/>
      <c r="V562" s="11"/>
      <c r="W562" s="11"/>
      <c r="X562" s="64"/>
      <c r="Y562" s="22"/>
      <c r="Z562" s="59"/>
    </row>
    <row r="563" spans="1:26" x14ac:dyDescent="0.3">
      <c r="A563" s="34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55"/>
      <c r="Q563" s="11"/>
      <c r="R563" s="11"/>
      <c r="S563" s="11"/>
      <c r="T563" s="11"/>
      <c r="U563" s="11"/>
      <c r="V563" s="11"/>
      <c r="W563" s="11"/>
      <c r="X563" s="64"/>
      <c r="Y563" s="22"/>
      <c r="Z563" s="59"/>
    </row>
    <row r="564" spans="1:26" x14ac:dyDescent="0.3">
      <c r="A564" s="34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55"/>
      <c r="Q564" s="11"/>
      <c r="R564" s="11"/>
      <c r="S564" s="11"/>
      <c r="T564" s="11"/>
      <c r="U564" s="11"/>
      <c r="V564" s="11"/>
      <c r="W564" s="11"/>
      <c r="X564" s="64"/>
      <c r="Y564" s="22"/>
      <c r="Z564" s="59"/>
    </row>
    <row r="565" spans="1:26" x14ac:dyDescent="0.3">
      <c r="A565" s="34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55"/>
      <c r="Q565" s="11"/>
      <c r="R565" s="11"/>
      <c r="S565" s="11"/>
      <c r="T565" s="11"/>
      <c r="U565" s="11"/>
      <c r="V565" s="11"/>
      <c r="W565" s="11"/>
      <c r="X565" s="64"/>
      <c r="Y565" s="22"/>
      <c r="Z565" s="59"/>
    </row>
    <row r="566" spans="1:26" x14ac:dyDescent="0.3">
      <c r="A566" s="34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55"/>
      <c r="Q566" s="11"/>
      <c r="R566" s="11"/>
      <c r="S566" s="11"/>
      <c r="T566" s="11"/>
      <c r="U566" s="11"/>
      <c r="V566" s="11"/>
      <c r="W566" s="11"/>
      <c r="X566" s="64"/>
      <c r="Y566" s="22"/>
      <c r="Z566" s="59"/>
    </row>
    <row r="567" spans="1:26" x14ac:dyDescent="0.3">
      <c r="A567" s="34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55"/>
      <c r="Q567" s="11"/>
      <c r="R567" s="11"/>
      <c r="S567" s="11"/>
      <c r="T567" s="11"/>
      <c r="U567" s="11"/>
      <c r="V567" s="11"/>
      <c r="W567" s="11"/>
      <c r="X567" s="64"/>
      <c r="Y567" s="22"/>
      <c r="Z567" s="59"/>
    </row>
    <row r="568" spans="1:26" x14ac:dyDescent="0.3">
      <c r="A568" s="34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55"/>
      <c r="Q568" s="11"/>
      <c r="R568" s="11"/>
      <c r="S568" s="11"/>
      <c r="T568" s="11"/>
      <c r="U568" s="11"/>
      <c r="V568" s="11"/>
      <c r="W568" s="11"/>
      <c r="X568" s="64"/>
      <c r="Y568" s="22"/>
      <c r="Z568" s="59"/>
    </row>
    <row r="569" spans="1:26" x14ac:dyDescent="0.3">
      <c r="A569" s="34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55"/>
      <c r="Q569" s="11"/>
      <c r="R569" s="11"/>
      <c r="S569" s="11"/>
      <c r="T569" s="11"/>
      <c r="U569" s="11"/>
      <c r="V569" s="11"/>
      <c r="W569" s="11"/>
      <c r="X569" s="64"/>
      <c r="Y569" s="22"/>
      <c r="Z569" s="59"/>
    </row>
    <row r="570" spans="1:26" x14ac:dyDescent="0.3">
      <c r="A570" s="34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55"/>
      <c r="Q570" s="11"/>
      <c r="R570" s="11"/>
      <c r="S570" s="11"/>
      <c r="T570" s="11"/>
      <c r="U570" s="11"/>
      <c r="V570" s="11"/>
      <c r="W570" s="11"/>
      <c r="X570" s="64"/>
      <c r="Y570" s="22"/>
      <c r="Z570" s="59"/>
    </row>
    <row r="571" spans="1:26" x14ac:dyDescent="0.3">
      <c r="A571" s="34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55"/>
      <c r="Q571" s="11"/>
      <c r="R571" s="11"/>
      <c r="S571" s="11"/>
      <c r="T571" s="11"/>
      <c r="U571" s="11"/>
      <c r="V571" s="11"/>
      <c r="W571" s="11"/>
      <c r="X571" s="64"/>
      <c r="Y571" s="22"/>
      <c r="Z571" s="59"/>
    </row>
    <row r="572" spans="1:26" x14ac:dyDescent="0.3">
      <c r="A572" s="34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55"/>
      <c r="Q572" s="11"/>
      <c r="R572" s="11"/>
      <c r="S572" s="11"/>
      <c r="T572" s="11"/>
      <c r="U572" s="11"/>
      <c r="V572" s="11"/>
      <c r="W572" s="11"/>
      <c r="X572" s="64"/>
      <c r="Y572" s="22"/>
      <c r="Z572" s="59"/>
    </row>
  </sheetData>
  <sortState xmlns:xlrd2="http://schemas.microsoft.com/office/spreadsheetml/2017/richdata2" ref="B1:Z166">
    <sortCondition ref="B27"/>
  </sortState>
  <mergeCells count="4">
    <mergeCell ref="C2:F2"/>
    <mergeCell ref="G2:K2"/>
    <mergeCell ref="C3:F3"/>
    <mergeCell ref="G3:K3"/>
  </mergeCells>
  <phoneticPr fontId="6" type="noConversion"/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LANL DCS-CSD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Musa, Dea</dc:creator>
  <cp:lastModifiedBy>Hucke, Nicole (huck4481@vandals.uidaho.edu)</cp:lastModifiedBy>
  <cp:lastPrinted>2022-01-27T22:34:40Z</cp:lastPrinted>
  <dcterms:created xsi:type="dcterms:W3CDTF">2020-09-03T19:24:16Z</dcterms:created>
  <dcterms:modified xsi:type="dcterms:W3CDTF">2026-06-09T01:41:25Z</dcterms:modified>
</cp:coreProperties>
</file>