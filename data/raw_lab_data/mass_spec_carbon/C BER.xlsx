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irms data\EA Carbon + Nitrogen\"/>
    </mc:Choice>
  </mc:AlternateContent>
  <bookViews>
    <workbookView xWindow="0" yWindow="0" windowWidth="18735" windowHeight="5925" activeTab="6"/>
  </bookViews>
  <sheets>
    <sheet name="Run 5" sheetId="30" r:id="rId1"/>
    <sheet name="Run 4" sheetId="28" r:id="rId2"/>
    <sheet name="Run 3" sheetId="27" r:id="rId3"/>
    <sheet name="Run 2" sheetId="26" r:id="rId4"/>
    <sheet name="Run 1" sheetId="13" r:id="rId5"/>
    <sheet name="filter blank wts" sheetId="29" r:id="rId6"/>
    <sheet name="Sheet1" sheetId="20" r:id="rId7"/>
    <sheet name="Sheet3" sheetId="31" r:id="rId8"/>
  </sheets>
  <externalReferences>
    <externalReference r:id="rId9"/>
    <externalReference r:id="rId10"/>
  </externalReferences>
  <definedNames>
    <definedName name="R_2Element" localSheetId="4">[1]Experiment!$H$25</definedName>
    <definedName name="R_2Element" localSheetId="3">[1]Experiment!$H$25</definedName>
    <definedName name="R_2Element" localSheetId="2">[1]Experiment!$H$25</definedName>
    <definedName name="R_2Element" localSheetId="1">[1]Experiment!$H$25</definedName>
    <definedName name="R_2Element" localSheetId="0">[1]Experiment!$H$25</definedName>
    <definedName name="R_2Element">[2]Experiment!$H$25</definedName>
  </definedNames>
  <calcPr calcId="162913"/>
</workbook>
</file>

<file path=xl/calcChain.xml><?xml version="1.0" encoding="utf-8"?>
<calcChain xmlns="http://schemas.openxmlformats.org/spreadsheetml/2006/main">
  <c r="H155" i="20" l="1"/>
  <c r="H154" i="20"/>
  <c r="H153" i="20"/>
  <c r="I153" i="20" s="1"/>
  <c r="H151" i="20"/>
  <c r="H150" i="20"/>
  <c r="H149" i="20"/>
  <c r="H148" i="20"/>
  <c r="H147" i="20"/>
  <c r="H146" i="20"/>
  <c r="I146" i="20" s="1"/>
  <c r="H145" i="20"/>
  <c r="H144" i="20"/>
  <c r="H143" i="20"/>
  <c r="H142" i="20"/>
  <c r="H141" i="20"/>
  <c r="H140" i="20"/>
  <c r="I140" i="20" s="1"/>
  <c r="H139" i="20"/>
  <c r="H138" i="20"/>
  <c r="H137" i="20"/>
  <c r="H136" i="20"/>
  <c r="H135" i="20"/>
  <c r="H134" i="20"/>
  <c r="I134" i="20" s="1"/>
  <c r="H133" i="20"/>
  <c r="H132" i="20"/>
  <c r="H131" i="20"/>
  <c r="H130" i="20"/>
  <c r="H129" i="20"/>
  <c r="H128" i="20"/>
  <c r="I128" i="20" s="1"/>
  <c r="H127" i="20"/>
  <c r="H126" i="20"/>
  <c r="H125" i="20"/>
  <c r="H124" i="20"/>
  <c r="H123" i="20"/>
  <c r="H122" i="20"/>
  <c r="I122" i="20" s="1"/>
  <c r="H121" i="20"/>
  <c r="H120" i="20"/>
  <c r="H119" i="20"/>
  <c r="H118" i="20"/>
  <c r="H117" i="20"/>
  <c r="H116" i="20"/>
  <c r="I116" i="20" s="1"/>
  <c r="H114" i="20"/>
  <c r="H113" i="20"/>
  <c r="H112" i="20"/>
  <c r="H111" i="20"/>
  <c r="H110" i="20"/>
  <c r="H109" i="20"/>
  <c r="I109" i="20" s="1"/>
  <c r="H108" i="20"/>
  <c r="H107" i="20"/>
  <c r="H106" i="20"/>
  <c r="H105" i="20"/>
  <c r="H104" i="20"/>
  <c r="H103" i="20"/>
  <c r="I103" i="20" s="1"/>
  <c r="H102" i="20"/>
  <c r="H101" i="20"/>
  <c r="H100" i="20"/>
  <c r="H99" i="20"/>
  <c r="H98" i="20"/>
  <c r="H97" i="20"/>
  <c r="I97" i="20" s="1"/>
  <c r="H96" i="20"/>
  <c r="H95" i="20"/>
  <c r="H94" i="20"/>
  <c r="H93" i="20"/>
  <c r="H92" i="20"/>
  <c r="H91" i="20"/>
  <c r="I91" i="20" s="1"/>
  <c r="H90" i="20"/>
  <c r="H89" i="20"/>
  <c r="H88" i="20"/>
  <c r="H87" i="20"/>
  <c r="H86" i="20"/>
  <c r="H85" i="20"/>
  <c r="I85" i="20" s="1"/>
  <c r="H84" i="20"/>
  <c r="H83" i="20"/>
  <c r="H82" i="20"/>
  <c r="H81" i="20"/>
  <c r="H80" i="20"/>
  <c r="H79" i="20"/>
  <c r="I79" i="20" s="1"/>
  <c r="H77" i="20"/>
  <c r="H76" i="20"/>
  <c r="H75" i="20"/>
  <c r="H74" i="20"/>
  <c r="H73" i="20"/>
  <c r="H72" i="20"/>
  <c r="I72" i="20" s="1"/>
  <c r="H71" i="20"/>
  <c r="H70" i="20"/>
  <c r="H69" i="20"/>
  <c r="H68" i="20"/>
  <c r="H67" i="20"/>
  <c r="H66" i="20"/>
  <c r="I66" i="20" s="1"/>
  <c r="H65" i="20"/>
  <c r="H64" i="20"/>
  <c r="H63" i="20"/>
  <c r="H62" i="20"/>
  <c r="H61" i="20"/>
  <c r="H60" i="20"/>
  <c r="I60" i="20" s="1"/>
  <c r="H59" i="20"/>
  <c r="H58" i="20"/>
  <c r="H57" i="20"/>
  <c r="H56" i="20"/>
  <c r="H55" i="20"/>
  <c r="H54" i="20"/>
  <c r="I54" i="20" s="1"/>
  <c r="H53" i="20"/>
  <c r="H52" i="20"/>
  <c r="H51" i="20"/>
  <c r="H50" i="20"/>
  <c r="H49" i="20"/>
  <c r="H48" i="20"/>
  <c r="I48" i="20" s="1"/>
  <c r="H47" i="20"/>
  <c r="H46" i="20"/>
  <c r="H45" i="20"/>
  <c r="H44" i="20"/>
  <c r="H43" i="20"/>
  <c r="H42" i="20"/>
  <c r="I42" i="20" s="1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5" i="20"/>
  <c r="M3" i="29"/>
  <c r="R93" i="30"/>
  <c r="S93" i="30" s="1"/>
  <c r="P93" i="30"/>
  <c r="N93" i="30"/>
  <c r="T93" i="30" s="1"/>
  <c r="K93" i="30"/>
  <c r="M93" i="30" s="1"/>
  <c r="J93" i="30"/>
  <c r="I93" i="30"/>
  <c r="H93" i="30"/>
  <c r="R92" i="30"/>
  <c r="S92" i="30" s="1"/>
  <c r="P92" i="30"/>
  <c r="N92" i="30"/>
  <c r="T92" i="30" s="1"/>
  <c r="L92" i="30"/>
  <c r="Q92" i="30" s="1"/>
  <c r="K92" i="30"/>
  <c r="M92" i="30" s="1"/>
  <c r="J92" i="30"/>
  <c r="I92" i="30"/>
  <c r="H92" i="30"/>
  <c r="P43" i="30"/>
  <c r="N43" i="30"/>
  <c r="O43" i="30" s="1"/>
  <c r="M43" i="30"/>
  <c r="K43" i="30"/>
  <c r="Q42" i="30"/>
  <c r="P42" i="30"/>
  <c r="N42" i="30"/>
  <c r="O42" i="30" s="1"/>
  <c r="L42" i="30"/>
  <c r="K42" i="30"/>
  <c r="M42" i="30" s="1"/>
  <c r="S91" i="30"/>
  <c r="R91" i="30"/>
  <c r="P91" i="30"/>
  <c r="N91" i="30"/>
  <c r="T91" i="30" s="1"/>
  <c r="K91" i="30"/>
  <c r="M91" i="30" s="1"/>
  <c r="J91" i="30"/>
  <c r="I91" i="30"/>
  <c r="H91" i="30"/>
  <c r="R90" i="30"/>
  <c r="S90" i="30" s="1"/>
  <c r="P90" i="30"/>
  <c r="N90" i="30"/>
  <c r="T90" i="30" s="1"/>
  <c r="M90" i="30"/>
  <c r="L90" i="30"/>
  <c r="Q90" i="30" s="1"/>
  <c r="K90" i="30"/>
  <c r="J90" i="30"/>
  <c r="I90" i="30"/>
  <c r="H90" i="30"/>
  <c r="S89" i="30"/>
  <c r="R89" i="30"/>
  <c r="Q89" i="30"/>
  <c r="P89" i="30"/>
  <c r="N89" i="30"/>
  <c r="T89" i="30" s="1"/>
  <c r="L89" i="30"/>
  <c r="K89" i="30"/>
  <c r="M89" i="30" s="1"/>
  <c r="J89" i="30"/>
  <c r="I89" i="30"/>
  <c r="H89" i="30"/>
  <c r="R88" i="30"/>
  <c r="S88" i="30" s="1"/>
  <c r="Q88" i="30"/>
  <c r="P88" i="30"/>
  <c r="N88" i="30"/>
  <c r="O88" i="30" s="1"/>
  <c r="L88" i="30"/>
  <c r="K88" i="30"/>
  <c r="M88" i="30" s="1"/>
  <c r="J88" i="30"/>
  <c r="I88" i="30"/>
  <c r="H88" i="30"/>
  <c r="R87" i="30"/>
  <c r="S87" i="30" s="1"/>
  <c r="P87" i="30"/>
  <c r="O87" i="30"/>
  <c r="N87" i="30"/>
  <c r="T87" i="30" s="1"/>
  <c r="M87" i="30"/>
  <c r="L87" i="30"/>
  <c r="Q87" i="30" s="1"/>
  <c r="K87" i="30"/>
  <c r="J87" i="30"/>
  <c r="I87" i="30"/>
  <c r="H87" i="30"/>
  <c r="S86" i="30"/>
  <c r="R86" i="30"/>
  <c r="Q86" i="30"/>
  <c r="P86" i="30"/>
  <c r="N86" i="30"/>
  <c r="T86" i="30" s="1"/>
  <c r="M86" i="30"/>
  <c r="L86" i="30"/>
  <c r="K86" i="30"/>
  <c r="J86" i="30"/>
  <c r="I86" i="30"/>
  <c r="H86" i="30"/>
  <c r="D14" i="30"/>
  <c r="J43" i="30"/>
  <c r="I43" i="30"/>
  <c r="R43" i="30"/>
  <c r="S43" i="30" s="1"/>
  <c r="J42" i="30"/>
  <c r="I42" i="30"/>
  <c r="R42" i="30"/>
  <c r="T42" i="30" s="1"/>
  <c r="N41" i="30"/>
  <c r="J41" i="30"/>
  <c r="I41" i="30"/>
  <c r="R41" i="30"/>
  <c r="S41" i="30" s="1"/>
  <c r="N40" i="30"/>
  <c r="J40" i="30"/>
  <c r="I40" i="30"/>
  <c r="R40" i="30"/>
  <c r="S40" i="30" s="1"/>
  <c r="N39" i="30"/>
  <c r="O39" i="30" s="1"/>
  <c r="J39" i="30"/>
  <c r="I39" i="30"/>
  <c r="R39" i="30"/>
  <c r="S39" i="30" s="1"/>
  <c r="R38" i="30"/>
  <c r="S38" i="30" s="1"/>
  <c r="P38" i="30"/>
  <c r="N38" i="30"/>
  <c r="O38" i="30" s="1"/>
  <c r="K38" i="30"/>
  <c r="M38" i="30" s="1"/>
  <c r="J38" i="30"/>
  <c r="I38" i="30"/>
  <c r="R37" i="30"/>
  <c r="S37" i="30" s="1"/>
  <c r="Q37" i="30"/>
  <c r="P37" i="30"/>
  <c r="N37" i="30"/>
  <c r="O37" i="30" s="1"/>
  <c r="L37" i="30"/>
  <c r="K37" i="30"/>
  <c r="M37" i="30" s="1"/>
  <c r="J37" i="30"/>
  <c r="I37" i="30"/>
  <c r="R36" i="30"/>
  <c r="S36" i="30" s="1"/>
  <c r="P36" i="30"/>
  <c r="N36" i="30"/>
  <c r="L36" i="30"/>
  <c r="Q36" i="30" s="1"/>
  <c r="K36" i="30"/>
  <c r="M36" i="30" s="1"/>
  <c r="J36" i="30"/>
  <c r="I36" i="30"/>
  <c r="R35" i="30"/>
  <c r="S35" i="30" s="1"/>
  <c r="P35" i="30"/>
  <c r="N35" i="30"/>
  <c r="O35" i="30" s="1"/>
  <c r="L35" i="30"/>
  <c r="Q35" i="30" s="1"/>
  <c r="K35" i="30"/>
  <c r="M35" i="30" s="1"/>
  <c r="J35" i="30"/>
  <c r="I35" i="30"/>
  <c r="R34" i="30"/>
  <c r="S34" i="30" s="1"/>
  <c r="P34" i="30"/>
  <c r="N34" i="30"/>
  <c r="O34" i="30" s="1"/>
  <c r="L34" i="30"/>
  <c r="Q34" i="30" s="1"/>
  <c r="K34" i="30"/>
  <c r="M34" i="30" s="1"/>
  <c r="J34" i="30"/>
  <c r="I34" i="30"/>
  <c r="R33" i="30"/>
  <c r="S33" i="30" s="1"/>
  <c r="P33" i="30"/>
  <c r="N33" i="30"/>
  <c r="O33" i="30" s="1"/>
  <c r="L33" i="30"/>
  <c r="Q33" i="30" s="1"/>
  <c r="K33" i="30"/>
  <c r="M33" i="30" s="1"/>
  <c r="J33" i="30"/>
  <c r="I33" i="30"/>
  <c r="F23" i="30"/>
  <c r="F22" i="30"/>
  <c r="J14" i="30"/>
  <c r="D26" i="30"/>
  <c r="J12" i="30"/>
  <c r="J11" i="30"/>
  <c r="H4" i="29"/>
  <c r="I4" i="29" s="1"/>
  <c r="H3" i="29"/>
  <c r="I3" i="29"/>
  <c r="D16" i="29"/>
  <c r="D14" i="29"/>
  <c r="I23" i="20" l="1"/>
  <c r="I17" i="20"/>
  <c r="I32" i="20"/>
  <c r="I20" i="20"/>
  <c r="I14" i="20"/>
  <c r="I45" i="20"/>
  <c r="I57" i="20"/>
  <c r="I63" i="20"/>
  <c r="I75" i="20"/>
  <c r="I88" i="20"/>
  <c r="I94" i="20"/>
  <c r="I106" i="20"/>
  <c r="I112" i="20"/>
  <c r="I125" i="20"/>
  <c r="I131" i="20"/>
  <c r="I137" i="20"/>
  <c r="I143" i="20"/>
  <c r="I29" i="20"/>
  <c r="I5" i="20"/>
  <c r="I11" i="20"/>
  <c r="I35" i="20"/>
  <c r="I38" i="20"/>
  <c r="I26" i="20"/>
  <c r="I8" i="20"/>
  <c r="I51" i="20"/>
  <c r="I69" i="20"/>
  <c r="I82" i="20"/>
  <c r="I100" i="20"/>
  <c r="I119" i="20"/>
  <c r="I149" i="20"/>
  <c r="O91" i="30"/>
  <c r="O90" i="30"/>
  <c r="O92" i="30"/>
  <c r="O93" i="30"/>
  <c r="O89" i="30"/>
  <c r="O86" i="30"/>
  <c r="T88" i="30"/>
  <c r="I84" i="30"/>
  <c r="T33" i="30"/>
  <c r="T39" i="30"/>
  <c r="T36" i="30"/>
  <c r="H33" i="30"/>
  <c r="O36" i="30"/>
  <c r="O41" i="30"/>
  <c r="S42" i="30"/>
  <c r="P41" i="30"/>
  <c r="S84" i="30"/>
  <c r="T43" i="30"/>
  <c r="H42" i="30"/>
  <c r="H39" i="30"/>
  <c r="H38" i="30"/>
  <c r="H37" i="30"/>
  <c r="H43" i="30"/>
  <c r="H40" i="30"/>
  <c r="H36" i="30"/>
  <c r="H34" i="30"/>
  <c r="H35" i="30"/>
  <c r="H41" i="30"/>
  <c r="T40" i="30"/>
  <c r="O40" i="30"/>
  <c r="T35" i="30"/>
  <c r="P40" i="30"/>
  <c r="T34" i="30"/>
  <c r="T38" i="30"/>
  <c r="T41" i="30"/>
  <c r="T84" i="30"/>
  <c r="T37" i="30"/>
  <c r="P39" i="30"/>
  <c r="K4" i="29"/>
  <c r="O78" i="28"/>
  <c r="O77" i="28"/>
  <c r="O76" i="28"/>
  <c r="O75" i="28"/>
  <c r="O74" i="28"/>
  <c r="O73" i="28"/>
  <c r="O72" i="28"/>
  <c r="O71" i="28"/>
  <c r="O70" i="28"/>
  <c r="O69" i="28"/>
  <c r="O68" i="28"/>
  <c r="O67" i="28"/>
  <c r="O66" i="28"/>
  <c r="O65" i="28"/>
  <c r="O64" i="28"/>
  <c r="O63" i="28"/>
  <c r="O62" i="28"/>
  <c r="O61" i="28"/>
  <c r="O60" i="28"/>
  <c r="O59" i="28"/>
  <c r="O58" i="28"/>
  <c r="O57" i="28"/>
  <c r="O56" i="28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D78" i="28"/>
  <c r="D77" i="28"/>
  <c r="R77" i="28" s="1"/>
  <c r="D76" i="28"/>
  <c r="P76" i="28" s="1"/>
  <c r="D75" i="28"/>
  <c r="R75" i="28" s="1"/>
  <c r="D74" i="28"/>
  <c r="D73" i="28"/>
  <c r="R73" i="28" s="1"/>
  <c r="D72" i="28"/>
  <c r="D71" i="28"/>
  <c r="R71" i="28" s="1"/>
  <c r="D70" i="28"/>
  <c r="P70" i="28" s="1"/>
  <c r="D69" i="28"/>
  <c r="R69" i="28" s="1"/>
  <c r="D68" i="28"/>
  <c r="D67" i="28"/>
  <c r="R67" i="28" s="1"/>
  <c r="D64" i="28"/>
  <c r="D63" i="28"/>
  <c r="D62" i="28"/>
  <c r="R62" i="28" s="1"/>
  <c r="S62" i="28" s="1"/>
  <c r="D61" i="28"/>
  <c r="P61" i="28" s="1"/>
  <c r="D60" i="28"/>
  <c r="D59" i="28"/>
  <c r="R59" i="28" s="1"/>
  <c r="D58" i="28"/>
  <c r="D57" i="28"/>
  <c r="D56" i="28"/>
  <c r="R56" i="28" s="1"/>
  <c r="S56" i="28" s="1"/>
  <c r="D55" i="28"/>
  <c r="P55" i="28" s="1"/>
  <c r="D54" i="28"/>
  <c r="D53" i="28"/>
  <c r="R53" i="28" s="1"/>
  <c r="D50" i="28"/>
  <c r="D49" i="28"/>
  <c r="P49" i="28" s="1"/>
  <c r="D48" i="28"/>
  <c r="D47" i="28"/>
  <c r="D46" i="28"/>
  <c r="D45" i="28"/>
  <c r="P45" i="28" s="1"/>
  <c r="D44" i="28"/>
  <c r="D43" i="28"/>
  <c r="P43" i="28" s="1"/>
  <c r="D42" i="28"/>
  <c r="D41" i="28"/>
  <c r="D40" i="28"/>
  <c r="D39" i="28"/>
  <c r="R39" i="28" s="1"/>
  <c r="D78" i="27"/>
  <c r="D77" i="27"/>
  <c r="D76" i="27"/>
  <c r="D75" i="27"/>
  <c r="D74" i="27"/>
  <c r="R74" i="27" s="1"/>
  <c r="S74" i="27" s="1"/>
  <c r="D73" i="27"/>
  <c r="R73" i="27" s="1"/>
  <c r="D72" i="27"/>
  <c r="D71" i="27"/>
  <c r="D70" i="27"/>
  <c r="D69" i="27"/>
  <c r="D68" i="27"/>
  <c r="R68" i="27" s="1"/>
  <c r="S68" i="27" s="1"/>
  <c r="D67" i="27"/>
  <c r="R67" i="27" s="1"/>
  <c r="D64" i="27"/>
  <c r="D63" i="27"/>
  <c r="D62" i="27"/>
  <c r="D61" i="27"/>
  <c r="D60" i="27"/>
  <c r="R60" i="27" s="1"/>
  <c r="S60" i="27" s="1"/>
  <c r="D59" i="27"/>
  <c r="R59" i="27" s="1"/>
  <c r="D58" i="27"/>
  <c r="D57" i="27"/>
  <c r="D56" i="27"/>
  <c r="D55" i="27"/>
  <c r="D54" i="27"/>
  <c r="D53" i="27"/>
  <c r="P53" i="27" s="1"/>
  <c r="D50" i="27"/>
  <c r="D49" i="27"/>
  <c r="D48" i="27"/>
  <c r="D47" i="27"/>
  <c r="D46" i="27"/>
  <c r="P46" i="27" s="1"/>
  <c r="D45" i="27"/>
  <c r="R45" i="27" s="1"/>
  <c r="D44" i="27"/>
  <c r="D43" i="27"/>
  <c r="D42" i="27"/>
  <c r="D41" i="27"/>
  <c r="D40" i="27"/>
  <c r="P40" i="27" s="1"/>
  <c r="D39" i="27"/>
  <c r="R39" i="27" s="1"/>
  <c r="D78" i="26"/>
  <c r="D77" i="26"/>
  <c r="D76" i="26"/>
  <c r="D75" i="26"/>
  <c r="R75" i="26" s="1"/>
  <c r="D74" i="26"/>
  <c r="D73" i="26"/>
  <c r="D72" i="26"/>
  <c r="D71" i="26"/>
  <c r="D70" i="26"/>
  <c r="D69" i="26"/>
  <c r="R69" i="26" s="1"/>
  <c r="D68" i="26"/>
  <c r="D67" i="26"/>
  <c r="D64" i="26"/>
  <c r="D63" i="26"/>
  <c r="D62" i="26"/>
  <c r="D61" i="26"/>
  <c r="R61" i="26" s="1"/>
  <c r="D60" i="26"/>
  <c r="D59" i="26"/>
  <c r="D58" i="26"/>
  <c r="D57" i="26"/>
  <c r="D56" i="26"/>
  <c r="D55" i="26"/>
  <c r="R55" i="26" s="1"/>
  <c r="D54" i="26"/>
  <c r="D53" i="26"/>
  <c r="D50" i="26"/>
  <c r="D49" i="26"/>
  <c r="D48" i="26"/>
  <c r="D47" i="26"/>
  <c r="P47" i="26" s="1"/>
  <c r="D46" i="26"/>
  <c r="D45" i="26"/>
  <c r="D44" i="26"/>
  <c r="D43" i="26"/>
  <c r="D42" i="26"/>
  <c r="D41" i="26"/>
  <c r="R41" i="26" s="1"/>
  <c r="S41" i="26" s="1"/>
  <c r="D40" i="26"/>
  <c r="D39" i="26"/>
  <c r="O78" i="13"/>
  <c r="O77" i="13"/>
  <c r="O76" i="13"/>
  <c r="O75" i="13"/>
  <c r="O74" i="13"/>
  <c r="O73" i="13"/>
  <c r="O72" i="13"/>
  <c r="O71" i="13"/>
  <c r="O70" i="13"/>
  <c r="O69" i="13"/>
  <c r="O68" i="13"/>
  <c r="O67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40" i="13"/>
  <c r="O41" i="13"/>
  <c r="O42" i="13"/>
  <c r="O43" i="13"/>
  <c r="O44" i="13"/>
  <c r="O45" i="13"/>
  <c r="O46" i="13"/>
  <c r="O47" i="13"/>
  <c r="O48" i="13"/>
  <c r="O49" i="13"/>
  <c r="O50" i="13"/>
  <c r="O3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40" i="13"/>
  <c r="D41" i="13"/>
  <c r="D42" i="13"/>
  <c r="D43" i="13"/>
  <c r="D44" i="13"/>
  <c r="D45" i="13"/>
  <c r="D46" i="13"/>
  <c r="D47" i="13"/>
  <c r="D48" i="13"/>
  <c r="D49" i="13"/>
  <c r="D50" i="13"/>
  <c r="D39" i="13"/>
  <c r="B14" i="29"/>
  <c r="B16" i="29" s="1"/>
  <c r="R97" i="28"/>
  <c r="S97" i="28" s="1"/>
  <c r="P97" i="28"/>
  <c r="N97" i="28"/>
  <c r="T97" i="28" s="1"/>
  <c r="K97" i="28"/>
  <c r="M97" i="28" s="1"/>
  <c r="J97" i="28"/>
  <c r="I97" i="28"/>
  <c r="H97" i="28"/>
  <c r="R96" i="28"/>
  <c r="S96" i="28" s="1"/>
  <c r="P96" i="28"/>
  <c r="N96" i="28"/>
  <c r="T96" i="28" s="1"/>
  <c r="L96" i="28"/>
  <c r="Q96" i="28" s="1"/>
  <c r="K96" i="28"/>
  <c r="M96" i="28" s="1"/>
  <c r="J96" i="28"/>
  <c r="I96" i="28"/>
  <c r="H96" i="28"/>
  <c r="S95" i="28"/>
  <c r="R95" i="28"/>
  <c r="P95" i="28"/>
  <c r="N95" i="28"/>
  <c r="O95" i="28" s="1"/>
  <c r="K95" i="28"/>
  <c r="M95" i="28" s="1"/>
  <c r="J95" i="28"/>
  <c r="I95" i="28"/>
  <c r="H95" i="28"/>
  <c r="R94" i="28"/>
  <c r="S94" i="28" s="1"/>
  <c r="P94" i="28"/>
  <c r="N94" i="28"/>
  <c r="T94" i="28" s="1"/>
  <c r="M94" i="28"/>
  <c r="L94" i="28"/>
  <c r="Q94" i="28" s="1"/>
  <c r="K94" i="28"/>
  <c r="J94" i="28"/>
  <c r="I94" i="28"/>
  <c r="H94" i="28"/>
  <c r="R93" i="28"/>
  <c r="S93" i="28" s="1"/>
  <c r="P93" i="28"/>
  <c r="N93" i="28"/>
  <c r="T93" i="28" s="1"/>
  <c r="K93" i="28"/>
  <c r="M93" i="28" s="1"/>
  <c r="J93" i="28"/>
  <c r="I93" i="28"/>
  <c r="H93" i="28"/>
  <c r="T92" i="28"/>
  <c r="R92" i="28"/>
  <c r="S92" i="28" s="1"/>
  <c r="Q92" i="28"/>
  <c r="P92" i="28"/>
  <c r="N92" i="28"/>
  <c r="O92" i="28" s="1"/>
  <c r="L92" i="28"/>
  <c r="K92" i="28"/>
  <c r="M92" i="28" s="1"/>
  <c r="J92" i="28"/>
  <c r="I92" i="28"/>
  <c r="H92" i="28"/>
  <c r="S91" i="28"/>
  <c r="R91" i="28"/>
  <c r="P91" i="28"/>
  <c r="N91" i="28"/>
  <c r="O91" i="28" s="1"/>
  <c r="K91" i="28"/>
  <c r="M91" i="28" s="1"/>
  <c r="J91" i="28"/>
  <c r="I91" i="28"/>
  <c r="H91" i="28"/>
  <c r="R90" i="28"/>
  <c r="S90" i="28" s="1"/>
  <c r="P90" i="28"/>
  <c r="N90" i="28"/>
  <c r="T90" i="28" s="1"/>
  <c r="M90" i="28"/>
  <c r="L90" i="28"/>
  <c r="Q90" i="28" s="1"/>
  <c r="K90" i="28"/>
  <c r="J90" i="28"/>
  <c r="I90" i="28"/>
  <c r="H90" i="28"/>
  <c r="S89" i="28"/>
  <c r="R89" i="28"/>
  <c r="Q89" i="28"/>
  <c r="P89" i="28"/>
  <c r="N89" i="28"/>
  <c r="T89" i="28" s="1"/>
  <c r="L89" i="28"/>
  <c r="K89" i="28"/>
  <c r="M89" i="28" s="1"/>
  <c r="J89" i="28"/>
  <c r="I89" i="28"/>
  <c r="H89" i="28"/>
  <c r="R88" i="28"/>
  <c r="S88" i="28" s="1"/>
  <c r="Q88" i="28"/>
  <c r="P88" i="28"/>
  <c r="N88" i="28"/>
  <c r="O88" i="28" s="1"/>
  <c r="L88" i="28"/>
  <c r="K88" i="28"/>
  <c r="M88" i="28" s="1"/>
  <c r="J88" i="28"/>
  <c r="I88" i="28"/>
  <c r="H88" i="28"/>
  <c r="R87" i="28"/>
  <c r="S87" i="28" s="1"/>
  <c r="P87" i="28"/>
  <c r="O87" i="28"/>
  <c r="N87" i="28"/>
  <c r="T87" i="28" s="1"/>
  <c r="M87" i="28"/>
  <c r="L87" i="28"/>
  <c r="Q87" i="28" s="1"/>
  <c r="K87" i="28"/>
  <c r="J87" i="28"/>
  <c r="I87" i="28"/>
  <c r="H87" i="28"/>
  <c r="S86" i="28"/>
  <c r="R86" i="28"/>
  <c r="Q86" i="28"/>
  <c r="P86" i="28"/>
  <c r="N86" i="28"/>
  <c r="O86" i="28" s="1"/>
  <c r="M86" i="28"/>
  <c r="L86" i="28"/>
  <c r="K86" i="28"/>
  <c r="J86" i="28"/>
  <c r="I86" i="28"/>
  <c r="H86" i="28"/>
  <c r="R80" i="28"/>
  <c r="S80" i="28" s="1"/>
  <c r="P80" i="28"/>
  <c r="N80" i="28"/>
  <c r="O80" i="28" s="1"/>
  <c r="K80" i="28"/>
  <c r="M80" i="28" s="1"/>
  <c r="J80" i="28"/>
  <c r="I80" i="28"/>
  <c r="R79" i="28"/>
  <c r="S79" i="28" s="1"/>
  <c r="P79" i="28"/>
  <c r="N79" i="28"/>
  <c r="O79" i="28" s="1"/>
  <c r="L79" i="28"/>
  <c r="Q79" i="28" s="1"/>
  <c r="K79" i="28"/>
  <c r="M79" i="28" s="1"/>
  <c r="J79" i="28"/>
  <c r="I79" i="28"/>
  <c r="R78" i="28"/>
  <c r="S78" i="28" s="1"/>
  <c r="P78" i="28"/>
  <c r="N78" i="28"/>
  <c r="J78" i="28"/>
  <c r="I78" i="28"/>
  <c r="P77" i="28"/>
  <c r="N77" i="28"/>
  <c r="J77" i="28"/>
  <c r="I77" i="28"/>
  <c r="R76" i="28"/>
  <c r="S76" i="28" s="1"/>
  <c r="N76" i="28"/>
  <c r="J76" i="28"/>
  <c r="I76" i="28"/>
  <c r="P75" i="28"/>
  <c r="N75" i="28"/>
  <c r="J75" i="28"/>
  <c r="I75" i="28"/>
  <c r="R74" i="28"/>
  <c r="S74" i="28" s="1"/>
  <c r="P74" i="28"/>
  <c r="N74" i="28"/>
  <c r="J74" i="28"/>
  <c r="I74" i="28"/>
  <c r="N73" i="28"/>
  <c r="J73" i="28"/>
  <c r="I73" i="28"/>
  <c r="R72" i="28"/>
  <c r="S72" i="28" s="1"/>
  <c r="P72" i="28"/>
  <c r="N72" i="28"/>
  <c r="J72" i="28"/>
  <c r="I72" i="28"/>
  <c r="P71" i="28"/>
  <c r="N71" i="28"/>
  <c r="J71" i="28"/>
  <c r="I71" i="28"/>
  <c r="R70" i="28"/>
  <c r="S70" i="28" s="1"/>
  <c r="N70" i="28"/>
  <c r="J70" i="28"/>
  <c r="I70" i="28"/>
  <c r="P69" i="28"/>
  <c r="N69" i="28"/>
  <c r="J69" i="28"/>
  <c r="I69" i="28"/>
  <c r="R68" i="28"/>
  <c r="S68" i="28" s="1"/>
  <c r="P68" i="28"/>
  <c r="N68" i="28"/>
  <c r="J68" i="28"/>
  <c r="I68" i="28"/>
  <c r="N67" i="28"/>
  <c r="J67" i="28"/>
  <c r="I67" i="28"/>
  <c r="R66" i="28"/>
  <c r="S66" i="28" s="1"/>
  <c r="P66" i="28"/>
  <c r="N66" i="28"/>
  <c r="K66" i="28"/>
  <c r="M66" i="28" s="1"/>
  <c r="J66" i="28"/>
  <c r="I66" i="28"/>
  <c r="R65" i="28"/>
  <c r="S65" i="28" s="1"/>
  <c r="P65" i="28"/>
  <c r="N65" i="28"/>
  <c r="L65" i="28"/>
  <c r="Q65" i="28" s="1"/>
  <c r="K65" i="28"/>
  <c r="M65" i="28" s="1"/>
  <c r="J65" i="28"/>
  <c r="I65" i="28"/>
  <c r="R64" i="28"/>
  <c r="S64" i="28" s="1"/>
  <c r="P64" i="28"/>
  <c r="N64" i="28"/>
  <c r="J64" i="28"/>
  <c r="I64" i="28"/>
  <c r="R63" i="28"/>
  <c r="P63" i="28"/>
  <c r="N63" i="28"/>
  <c r="J63" i="28"/>
  <c r="I63" i="28"/>
  <c r="P62" i="28"/>
  <c r="N62" i="28"/>
  <c r="J62" i="28"/>
  <c r="I62" i="28"/>
  <c r="R61" i="28"/>
  <c r="N61" i="28"/>
  <c r="J61" i="28"/>
  <c r="I61" i="28"/>
  <c r="R60" i="28"/>
  <c r="S60" i="28" s="1"/>
  <c r="P60" i="28"/>
  <c r="N60" i="28"/>
  <c r="J60" i="28"/>
  <c r="I60" i="28"/>
  <c r="N59" i="28"/>
  <c r="J59" i="28"/>
  <c r="I59" i="28"/>
  <c r="R58" i="28"/>
  <c r="S58" i="28" s="1"/>
  <c r="P58" i="28"/>
  <c r="N58" i="28"/>
  <c r="J58" i="28"/>
  <c r="I58" i="28"/>
  <c r="R57" i="28"/>
  <c r="P57" i="28"/>
  <c r="N57" i="28"/>
  <c r="J57" i="28"/>
  <c r="I57" i="28"/>
  <c r="P56" i="28"/>
  <c r="N56" i="28"/>
  <c r="J56" i="28"/>
  <c r="I56" i="28"/>
  <c r="R55" i="28"/>
  <c r="N55" i="28"/>
  <c r="J55" i="28"/>
  <c r="I55" i="28"/>
  <c r="R54" i="28"/>
  <c r="S54" i="28" s="1"/>
  <c r="P54" i="28"/>
  <c r="N54" i="28"/>
  <c r="J54" i="28"/>
  <c r="I54" i="28"/>
  <c r="N53" i="28"/>
  <c r="J53" i="28"/>
  <c r="I53" i="28"/>
  <c r="R52" i="28"/>
  <c r="S52" i="28" s="1"/>
  <c r="P52" i="28"/>
  <c r="N52" i="28"/>
  <c r="K52" i="28"/>
  <c r="M52" i="28" s="1"/>
  <c r="J52" i="28"/>
  <c r="I52" i="28"/>
  <c r="R51" i="28"/>
  <c r="S51" i="28" s="1"/>
  <c r="P51" i="28"/>
  <c r="N51" i="28"/>
  <c r="L51" i="28"/>
  <c r="Q51" i="28" s="1"/>
  <c r="K51" i="28"/>
  <c r="M51" i="28" s="1"/>
  <c r="J51" i="28"/>
  <c r="I51" i="28"/>
  <c r="R50" i="28"/>
  <c r="S50" i="28" s="1"/>
  <c r="P50" i="28"/>
  <c r="N50" i="28"/>
  <c r="J50" i="28"/>
  <c r="I50" i="28"/>
  <c r="R49" i="28"/>
  <c r="N49" i="28"/>
  <c r="J49" i="28"/>
  <c r="I49" i="28"/>
  <c r="R48" i="28"/>
  <c r="S48" i="28" s="1"/>
  <c r="P48" i="28"/>
  <c r="N48" i="28"/>
  <c r="J48" i="28"/>
  <c r="I48" i="28"/>
  <c r="R47" i="28"/>
  <c r="P47" i="28"/>
  <c r="N47" i="28"/>
  <c r="J47" i="28"/>
  <c r="I47" i="28"/>
  <c r="R46" i="28"/>
  <c r="S46" i="28" s="1"/>
  <c r="P46" i="28"/>
  <c r="N46" i="28"/>
  <c r="J46" i="28"/>
  <c r="I46" i="28"/>
  <c r="R45" i="28"/>
  <c r="N45" i="28"/>
  <c r="J45" i="28"/>
  <c r="I45" i="28"/>
  <c r="R44" i="28"/>
  <c r="S44" i="28" s="1"/>
  <c r="P44" i="28"/>
  <c r="N44" i="28"/>
  <c r="J44" i="28"/>
  <c r="I44" i="28"/>
  <c r="R43" i="28"/>
  <c r="N43" i="28"/>
  <c r="J43" i="28"/>
  <c r="I43" i="28"/>
  <c r="R42" i="28"/>
  <c r="S42" i="28" s="1"/>
  <c r="P42" i="28"/>
  <c r="N42" i="28"/>
  <c r="J42" i="28"/>
  <c r="I42" i="28"/>
  <c r="R41" i="28"/>
  <c r="P41" i="28"/>
  <c r="N41" i="28"/>
  <c r="J41" i="28"/>
  <c r="I41" i="28"/>
  <c r="R40" i="28"/>
  <c r="S40" i="28" s="1"/>
  <c r="P40" i="28"/>
  <c r="N40" i="28"/>
  <c r="J40" i="28"/>
  <c r="I40" i="28"/>
  <c r="N39" i="28"/>
  <c r="J39" i="28"/>
  <c r="I39" i="28"/>
  <c r="R38" i="28"/>
  <c r="S38" i="28" s="1"/>
  <c r="P38" i="28"/>
  <c r="N38" i="28"/>
  <c r="O38" i="28" s="1"/>
  <c r="K38" i="28"/>
  <c r="M38" i="28" s="1"/>
  <c r="J38" i="28"/>
  <c r="I38" i="28"/>
  <c r="R37" i="28"/>
  <c r="S37" i="28" s="1"/>
  <c r="P37" i="28"/>
  <c r="N37" i="28"/>
  <c r="O37" i="28" s="1"/>
  <c r="L37" i="28"/>
  <c r="Q37" i="28" s="1"/>
  <c r="K37" i="28"/>
  <c r="M37" i="28" s="1"/>
  <c r="J37" i="28"/>
  <c r="I37" i="28"/>
  <c r="R36" i="28"/>
  <c r="S36" i="28" s="1"/>
  <c r="P36" i="28"/>
  <c r="N36" i="28"/>
  <c r="O36" i="28" s="1"/>
  <c r="L36" i="28"/>
  <c r="Q36" i="28" s="1"/>
  <c r="K36" i="28"/>
  <c r="M36" i="28" s="1"/>
  <c r="J36" i="28"/>
  <c r="I36" i="28"/>
  <c r="R35" i="28"/>
  <c r="S35" i="28" s="1"/>
  <c r="P35" i="28"/>
  <c r="N35" i="28"/>
  <c r="L35" i="28"/>
  <c r="Q35" i="28" s="1"/>
  <c r="K35" i="28"/>
  <c r="M35" i="28" s="1"/>
  <c r="J35" i="28"/>
  <c r="I35" i="28"/>
  <c r="R34" i="28"/>
  <c r="S34" i="28" s="1"/>
  <c r="P34" i="28"/>
  <c r="N34" i="28"/>
  <c r="O34" i="28" s="1"/>
  <c r="L34" i="28"/>
  <c r="Q34" i="28" s="1"/>
  <c r="K34" i="28"/>
  <c r="M34" i="28" s="1"/>
  <c r="J34" i="28"/>
  <c r="I34" i="28"/>
  <c r="R33" i="28"/>
  <c r="S33" i="28" s="1"/>
  <c r="P33" i="28"/>
  <c r="N33" i="28"/>
  <c r="L33" i="28"/>
  <c r="Q33" i="28" s="1"/>
  <c r="K33" i="28"/>
  <c r="M33" i="28" s="1"/>
  <c r="J33" i="28"/>
  <c r="I33" i="28"/>
  <c r="F23" i="28"/>
  <c r="F22" i="28"/>
  <c r="J14" i="28"/>
  <c r="D14" i="28"/>
  <c r="D26" i="28" s="1"/>
  <c r="J12" i="28"/>
  <c r="J11" i="28"/>
  <c r="R97" i="27"/>
  <c r="T97" i="27" s="1"/>
  <c r="P97" i="27"/>
  <c r="O97" i="27"/>
  <c r="N97" i="27"/>
  <c r="K97" i="27"/>
  <c r="M97" i="27" s="1"/>
  <c r="J97" i="27"/>
  <c r="I97" i="27"/>
  <c r="H97" i="27"/>
  <c r="R96" i="27"/>
  <c r="S96" i="27" s="1"/>
  <c r="P96" i="27"/>
  <c r="O96" i="27"/>
  <c r="N96" i="27"/>
  <c r="T96" i="27" s="1"/>
  <c r="L96" i="27"/>
  <c r="Q96" i="27" s="1"/>
  <c r="K96" i="27"/>
  <c r="M96" i="27" s="1"/>
  <c r="J96" i="27"/>
  <c r="I96" i="27"/>
  <c r="H96" i="27"/>
  <c r="R95" i="27"/>
  <c r="T95" i="27" s="1"/>
  <c r="P95" i="27"/>
  <c r="N95" i="27"/>
  <c r="O95" i="27" s="1"/>
  <c r="K95" i="27"/>
  <c r="M95" i="27" s="1"/>
  <c r="J95" i="27"/>
  <c r="I95" i="27"/>
  <c r="H95" i="27"/>
  <c r="R94" i="27"/>
  <c r="S94" i="27" s="1"/>
  <c r="P94" i="27"/>
  <c r="N94" i="27"/>
  <c r="T94" i="27" s="1"/>
  <c r="L94" i="27"/>
  <c r="Q94" i="27" s="1"/>
  <c r="K94" i="27"/>
  <c r="M94" i="27" s="1"/>
  <c r="J94" i="27"/>
  <c r="I94" i="27"/>
  <c r="H94" i="27"/>
  <c r="R93" i="27"/>
  <c r="T93" i="27" s="1"/>
  <c r="P93" i="27"/>
  <c r="N93" i="27"/>
  <c r="O93" i="27" s="1"/>
  <c r="K93" i="27"/>
  <c r="M93" i="27" s="1"/>
  <c r="J93" i="27"/>
  <c r="I93" i="27"/>
  <c r="H93" i="27"/>
  <c r="R92" i="27"/>
  <c r="S92" i="27" s="1"/>
  <c r="P92" i="27"/>
  <c r="O92" i="27"/>
  <c r="N92" i="27"/>
  <c r="T92" i="27" s="1"/>
  <c r="L92" i="27"/>
  <c r="Q92" i="27" s="1"/>
  <c r="K92" i="27"/>
  <c r="M92" i="27" s="1"/>
  <c r="J92" i="27"/>
  <c r="I92" i="27"/>
  <c r="H92" i="27"/>
  <c r="R91" i="27"/>
  <c r="S91" i="27" s="1"/>
  <c r="P91" i="27"/>
  <c r="O91" i="27"/>
  <c r="N91" i="27"/>
  <c r="T91" i="27" s="1"/>
  <c r="K91" i="27"/>
  <c r="M91" i="27" s="1"/>
  <c r="J91" i="27"/>
  <c r="I91" i="27"/>
  <c r="H91" i="27"/>
  <c r="R90" i="27"/>
  <c r="S90" i="27" s="1"/>
  <c r="Q90" i="27"/>
  <c r="P90" i="27"/>
  <c r="O90" i="27"/>
  <c r="N90" i="27"/>
  <c r="T90" i="27" s="1"/>
  <c r="L90" i="27"/>
  <c r="K90" i="27"/>
  <c r="M90" i="27" s="1"/>
  <c r="J90" i="27"/>
  <c r="I90" i="27"/>
  <c r="H90" i="27"/>
  <c r="R89" i="27"/>
  <c r="S89" i="27" s="1"/>
  <c r="Q89" i="27"/>
  <c r="P89" i="27"/>
  <c r="N89" i="27"/>
  <c r="T89" i="27" s="1"/>
  <c r="L89" i="27"/>
  <c r="K89" i="27"/>
  <c r="M89" i="27" s="1"/>
  <c r="J89" i="27"/>
  <c r="I89" i="27"/>
  <c r="H89" i="27"/>
  <c r="R88" i="27"/>
  <c r="S88" i="27" s="1"/>
  <c r="Q88" i="27"/>
  <c r="P88" i="27"/>
  <c r="N88" i="27"/>
  <c r="O88" i="27" s="1"/>
  <c r="L88" i="27"/>
  <c r="K88" i="27"/>
  <c r="M88" i="27" s="1"/>
  <c r="J88" i="27"/>
  <c r="I88" i="27"/>
  <c r="H88" i="27"/>
  <c r="R87" i="27"/>
  <c r="S87" i="27" s="1"/>
  <c r="P87" i="27"/>
  <c r="N87" i="27"/>
  <c r="O87" i="27" s="1"/>
  <c r="M87" i="27"/>
  <c r="L87" i="27"/>
  <c r="Q87" i="27" s="1"/>
  <c r="K87" i="27"/>
  <c r="J87" i="27"/>
  <c r="I87" i="27"/>
  <c r="H87" i="27"/>
  <c r="S86" i="27"/>
  <c r="R86" i="27"/>
  <c r="P86" i="27"/>
  <c r="N86" i="27"/>
  <c r="O86" i="27" s="1"/>
  <c r="M86" i="27"/>
  <c r="L86" i="27"/>
  <c r="Q86" i="27" s="1"/>
  <c r="K86" i="27"/>
  <c r="J86" i="27"/>
  <c r="I86" i="27"/>
  <c r="H86" i="27"/>
  <c r="R80" i="27"/>
  <c r="S80" i="27" s="1"/>
  <c r="P80" i="27"/>
  <c r="N80" i="27"/>
  <c r="O80" i="27" s="1"/>
  <c r="K80" i="27"/>
  <c r="M80" i="27" s="1"/>
  <c r="J80" i="27"/>
  <c r="I80" i="27"/>
  <c r="R79" i="27"/>
  <c r="S79" i="27" s="1"/>
  <c r="P79" i="27"/>
  <c r="N79" i="27"/>
  <c r="O79" i="27" s="1"/>
  <c r="L79" i="27"/>
  <c r="Q79" i="27" s="1"/>
  <c r="K79" i="27"/>
  <c r="M79" i="27" s="1"/>
  <c r="J79" i="27"/>
  <c r="I79" i="27"/>
  <c r="R78" i="27"/>
  <c r="S78" i="27" s="1"/>
  <c r="P78" i="27"/>
  <c r="N78" i="27"/>
  <c r="J78" i="27"/>
  <c r="I78" i="27"/>
  <c r="R77" i="27"/>
  <c r="P77" i="27"/>
  <c r="N77" i="27"/>
  <c r="J77" i="27"/>
  <c r="I77" i="27"/>
  <c r="R76" i="27"/>
  <c r="S76" i="27" s="1"/>
  <c r="P76" i="27"/>
  <c r="N76" i="27"/>
  <c r="J76" i="27"/>
  <c r="I76" i="27"/>
  <c r="R75" i="27"/>
  <c r="P75" i="27"/>
  <c r="N75" i="27"/>
  <c r="J75" i="27"/>
  <c r="I75" i="27"/>
  <c r="N74" i="27"/>
  <c r="J74" i="27"/>
  <c r="I74" i="27"/>
  <c r="N73" i="27"/>
  <c r="J73" i="27"/>
  <c r="I73" i="27"/>
  <c r="R72" i="27"/>
  <c r="S72" i="27" s="1"/>
  <c r="P72" i="27"/>
  <c r="N72" i="27"/>
  <c r="J72" i="27"/>
  <c r="I72" i="27"/>
  <c r="R71" i="27"/>
  <c r="P71" i="27"/>
  <c r="N71" i="27"/>
  <c r="J71" i="27"/>
  <c r="I71" i="27"/>
  <c r="R70" i="27"/>
  <c r="S70" i="27" s="1"/>
  <c r="P70" i="27"/>
  <c r="N70" i="27"/>
  <c r="J70" i="27"/>
  <c r="I70" i="27"/>
  <c r="R69" i="27"/>
  <c r="P69" i="27"/>
  <c r="N69" i="27"/>
  <c r="J69" i="27"/>
  <c r="I69" i="27"/>
  <c r="N68" i="27"/>
  <c r="J68" i="27"/>
  <c r="I68" i="27"/>
  <c r="N67" i="27"/>
  <c r="J67" i="27"/>
  <c r="I67" i="27"/>
  <c r="R66" i="27"/>
  <c r="S66" i="27" s="1"/>
  <c r="P66" i="27"/>
  <c r="N66" i="27"/>
  <c r="K66" i="27"/>
  <c r="M66" i="27" s="1"/>
  <c r="J66" i="27"/>
  <c r="I66" i="27"/>
  <c r="R65" i="27"/>
  <c r="S65" i="27" s="1"/>
  <c r="P65" i="27"/>
  <c r="N65" i="27"/>
  <c r="L65" i="27"/>
  <c r="Q65" i="27" s="1"/>
  <c r="K65" i="27"/>
  <c r="M65" i="27" s="1"/>
  <c r="J65" i="27"/>
  <c r="I65" i="27"/>
  <c r="R64" i="27"/>
  <c r="S64" i="27" s="1"/>
  <c r="P64" i="27"/>
  <c r="N64" i="27"/>
  <c r="J64" i="27"/>
  <c r="I64" i="27"/>
  <c r="R63" i="27"/>
  <c r="P63" i="27"/>
  <c r="N63" i="27"/>
  <c r="J63" i="27"/>
  <c r="I63" i="27"/>
  <c r="R62" i="27"/>
  <c r="S62" i="27" s="1"/>
  <c r="P62" i="27"/>
  <c r="N62" i="27"/>
  <c r="J62" i="27"/>
  <c r="I62" i="27"/>
  <c r="R61" i="27"/>
  <c r="P61" i="27"/>
  <c r="N61" i="27"/>
  <c r="J61" i="27"/>
  <c r="I61" i="27"/>
  <c r="P60" i="27"/>
  <c r="N60" i="27"/>
  <c r="J60" i="27"/>
  <c r="I60" i="27"/>
  <c r="N59" i="27"/>
  <c r="J59" i="27"/>
  <c r="I59" i="27"/>
  <c r="R58" i="27"/>
  <c r="S58" i="27" s="1"/>
  <c r="P58" i="27"/>
  <c r="N58" i="27"/>
  <c r="J58" i="27"/>
  <c r="I58" i="27"/>
  <c r="R57" i="27"/>
  <c r="P57" i="27"/>
  <c r="N57" i="27"/>
  <c r="J57" i="27"/>
  <c r="I57" i="27"/>
  <c r="S56" i="27"/>
  <c r="R56" i="27"/>
  <c r="P56" i="27"/>
  <c r="N56" i="27"/>
  <c r="J56" i="27"/>
  <c r="I56" i="27"/>
  <c r="R55" i="27"/>
  <c r="P55" i="27"/>
  <c r="N55" i="27"/>
  <c r="J55" i="27"/>
  <c r="I55" i="27"/>
  <c r="R54" i="27"/>
  <c r="S54" i="27" s="1"/>
  <c r="P54" i="27"/>
  <c r="N54" i="27"/>
  <c r="J54" i="27"/>
  <c r="I54" i="27"/>
  <c r="N53" i="27"/>
  <c r="J53" i="27"/>
  <c r="I53" i="27"/>
  <c r="R52" i="27"/>
  <c r="S52" i="27" s="1"/>
  <c r="P52" i="27"/>
  <c r="N52" i="27"/>
  <c r="K52" i="27"/>
  <c r="M52" i="27" s="1"/>
  <c r="J52" i="27"/>
  <c r="I52" i="27"/>
  <c r="R51" i="27"/>
  <c r="S51" i="27" s="1"/>
  <c r="P51" i="27"/>
  <c r="N51" i="27"/>
  <c r="L51" i="27"/>
  <c r="Q51" i="27" s="1"/>
  <c r="K51" i="27"/>
  <c r="M51" i="27" s="1"/>
  <c r="J51" i="27"/>
  <c r="I51" i="27"/>
  <c r="R50" i="27"/>
  <c r="S50" i="27" s="1"/>
  <c r="P50" i="27"/>
  <c r="N50" i="27"/>
  <c r="J50" i="27"/>
  <c r="I50" i="27"/>
  <c r="R49" i="27"/>
  <c r="P49" i="27"/>
  <c r="N49" i="27"/>
  <c r="J49" i="27"/>
  <c r="I49" i="27"/>
  <c r="R48" i="27"/>
  <c r="S48" i="27" s="1"/>
  <c r="P48" i="27"/>
  <c r="N48" i="27"/>
  <c r="J48" i="27"/>
  <c r="I48" i="27"/>
  <c r="R47" i="27"/>
  <c r="P47" i="27"/>
  <c r="N47" i="27"/>
  <c r="J47" i="27"/>
  <c r="I47" i="27"/>
  <c r="R46" i="27"/>
  <c r="S46" i="27" s="1"/>
  <c r="N46" i="27"/>
  <c r="J46" i="27"/>
  <c r="I46" i="27"/>
  <c r="P45" i="27"/>
  <c r="N45" i="27"/>
  <c r="J45" i="27"/>
  <c r="I45" i="27"/>
  <c r="R44" i="27"/>
  <c r="S44" i="27" s="1"/>
  <c r="P44" i="27"/>
  <c r="N44" i="27"/>
  <c r="J44" i="27"/>
  <c r="I44" i="27"/>
  <c r="R43" i="27"/>
  <c r="P43" i="27"/>
  <c r="N43" i="27"/>
  <c r="J43" i="27"/>
  <c r="I43" i="27"/>
  <c r="R42" i="27"/>
  <c r="S42" i="27" s="1"/>
  <c r="P42" i="27"/>
  <c r="N42" i="27"/>
  <c r="J42" i="27"/>
  <c r="I42" i="27"/>
  <c r="R41" i="27"/>
  <c r="P41" i="27"/>
  <c r="N41" i="27"/>
  <c r="J41" i="27"/>
  <c r="I41" i="27"/>
  <c r="R40" i="27"/>
  <c r="S40" i="27" s="1"/>
  <c r="N40" i="27"/>
  <c r="J40" i="27"/>
  <c r="I40" i="27"/>
  <c r="P39" i="27"/>
  <c r="N39" i="27"/>
  <c r="J39" i="27"/>
  <c r="I39" i="27"/>
  <c r="R38" i="27"/>
  <c r="S38" i="27" s="1"/>
  <c r="P38" i="27"/>
  <c r="N38" i="27"/>
  <c r="O38" i="27" s="1"/>
  <c r="K38" i="27"/>
  <c r="M38" i="27" s="1"/>
  <c r="J38" i="27"/>
  <c r="I38" i="27"/>
  <c r="R37" i="27"/>
  <c r="S37" i="27" s="1"/>
  <c r="P37" i="27"/>
  <c r="N37" i="27"/>
  <c r="O37" i="27" s="1"/>
  <c r="L37" i="27"/>
  <c r="Q37" i="27" s="1"/>
  <c r="K37" i="27"/>
  <c r="M37" i="27" s="1"/>
  <c r="J37" i="27"/>
  <c r="I37" i="27"/>
  <c r="R36" i="27"/>
  <c r="S36" i="27" s="1"/>
  <c r="P36" i="27"/>
  <c r="N36" i="27"/>
  <c r="O36" i="27" s="1"/>
  <c r="M36" i="27"/>
  <c r="L36" i="27"/>
  <c r="Q36" i="27" s="1"/>
  <c r="K36" i="27"/>
  <c r="J36" i="27"/>
  <c r="I36" i="27"/>
  <c r="R35" i="27"/>
  <c r="S35" i="27" s="1"/>
  <c r="Q35" i="27"/>
  <c r="P35" i="27"/>
  <c r="N35" i="27"/>
  <c r="O35" i="27" s="1"/>
  <c r="L35" i="27"/>
  <c r="K35" i="27"/>
  <c r="M35" i="27" s="1"/>
  <c r="J35" i="27"/>
  <c r="I35" i="27"/>
  <c r="R34" i="27"/>
  <c r="S34" i="27" s="1"/>
  <c r="P34" i="27"/>
  <c r="N34" i="27"/>
  <c r="T34" i="27" s="1"/>
  <c r="L34" i="27"/>
  <c r="Q34" i="27" s="1"/>
  <c r="K34" i="27"/>
  <c r="M34" i="27" s="1"/>
  <c r="J34" i="27"/>
  <c r="I34" i="27"/>
  <c r="R33" i="27"/>
  <c r="S33" i="27" s="1"/>
  <c r="P33" i="27"/>
  <c r="N33" i="27"/>
  <c r="L33" i="27"/>
  <c r="Q33" i="27" s="1"/>
  <c r="K33" i="27"/>
  <c r="M33" i="27" s="1"/>
  <c r="J33" i="27"/>
  <c r="I33" i="27"/>
  <c r="F23" i="27"/>
  <c r="F22" i="27"/>
  <c r="J14" i="27"/>
  <c r="D14" i="27"/>
  <c r="D26" i="27" s="1"/>
  <c r="J12" i="27"/>
  <c r="J11" i="27"/>
  <c r="R97" i="26"/>
  <c r="S97" i="26" s="1"/>
  <c r="P97" i="26"/>
  <c r="N97" i="26"/>
  <c r="T97" i="26" s="1"/>
  <c r="K97" i="26"/>
  <c r="M97" i="26" s="1"/>
  <c r="J97" i="26"/>
  <c r="I97" i="26"/>
  <c r="H97" i="26"/>
  <c r="R96" i="26"/>
  <c r="S96" i="26" s="1"/>
  <c r="P96" i="26"/>
  <c r="O96" i="26"/>
  <c r="N96" i="26"/>
  <c r="T96" i="26" s="1"/>
  <c r="L96" i="26"/>
  <c r="Q96" i="26" s="1"/>
  <c r="K96" i="26"/>
  <c r="M96" i="26" s="1"/>
  <c r="J96" i="26"/>
  <c r="I96" i="26"/>
  <c r="H96" i="26"/>
  <c r="R95" i="26"/>
  <c r="P95" i="26"/>
  <c r="N95" i="26"/>
  <c r="O95" i="26" s="1"/>
  <c r="K95" i="26"/>
  <c r="M95" i="26" s="1"/>
  <c r="J95" i="26"/>
  <c r="I95" i="26"/>
  <c r="H95" i="26"/>
  <c r="R94" i="26"/>
  <c r="S94" i="26" s="1"/>
  <c r="P94" i="26"/>
  <c r="N94" i="26"/>
  <c r="T94" i="26" s="1"/>
  <c r="L94" i="26"/>
  <c r="Q94" i="26" s="1"/>
  <c r="K94" i="26"/>
  <c r="M94" i="26" s="1"/>
  <c r="J94" i="26"/>
  <c r="I94" i="26"/>
  <c r="H94" i="26"/>
  <c r="R93" i="26"/>
  <c r="S93" i="26" s="1"/>
  <c r="P93" i="26"/>
  <c r="N93" i="26"/>
  <c r="T93" i="26" s="1"/>
  <c r="K93" i="26"/>
  <c r="M93" i="26" s="1"/>
  <c r="J93" i="26"/>
  <c r="I93" i="26"/>
  <c r="H93" i="26"/>
  <c r="R92" i="26"/>
  <c r="S92" i="26" s="1"/>
  <c r="P92" i="26"/>
  <c r="N92" i="26"/>
  <c r="O92" i="26" s="1"/>
  <c r="L92" i="26"/>
  <c r="Q92" i="26" s="1"/>
  <c r="K92" i="26"/>
  <c r="M92" i="26" s="1"/>
  <c r="J92" i="26"/>
  <c r="I92" i="26"/>
  <c r="H92" i="26"/>
  <c r="R91" i="26"/>
  <c r="P91" i="26"/>
  <c r="N91" i="26"/>
  <c r="O91" i="26" s="1"/>
  <c r="K91" i="26"/>
  <c r="M91" i="26" s="1"/>
  <c r="J91" i="26"/>
  <c r="I91" i="26"/>
  <c r="H91" i="26"/>
  <c r="R90" i="26"/>
  <c r="S90" i="26" s="1"/>
  <c r="P90" i="26"/>
  <c r="N90" i="26"/>
  <c r="T90" i="26" s="1"/>
  <c r="L90" i="26"/>
  <c r="Q90" i="26" s="1"/>
  <c r="K90" i="26"/>
  <c r="M90" i="26" s="1"/>
  <c r="J90" i="26"/>
  <c r="I90" i="26"/>
  <c r="H90" i="26"/>
  <c r="R89" i="26"/>
  <c r="S89" i="26" s="1"/>
  <c r="P89" i="26"/>
  <c r="N89" i="26"/>
  <c r="T89" i="26" s="1"/>
  <c r="L89" i="26"/>
  <c r="Q89" i="26" s="1"/>
  <c r="K89" i="26"/>
  <c r="M89" i="26" s="1"/>
  <c r="J89" i="26"/>
  <c r="I89" i="26"/>
  <c r="H89" i="26"/>
  <c r="R88" i="26"/>
  <c r="S88" i="26" s="1"/>
  <c r="Q88" i="26"/>
  <c r="P88" i="26"/>
  <c r="N88" i="26"/>
  <c r="O88" i="26" s="1"/>
  <c r="L88" i="26"/>
  <c r="K88" i="26"/>
  <c r="M88" i="26" s="1"/>
  <c r="J88" i="26"/>
  <c r="I88" i="26"/>
  <c r="H88" i="26"/>
  <c r="R87" i="26"/>
  <c r="S87" i="26" s="1"/>
  <c r="P87" i="26"/>
  <c r="N87" i="26"/>
  <c r="T87" i="26" s="1"/>
  <c r="M87" i="26"/>
  <c r="L87" i="26"/>
  <c r="Q87" i="26" s="1"/>
  <c r="K87" i="26"/>
  <c r="J87" i="26"/>
  <c r="I87" i="26"/>
  <c r="H87" i="26"/>
  <c r="S86" i="26"/>
  <c r="R86" i="26"/>
  <c r="Q86" i="26"/>
  <c r="P86" i="26"/>
  <c r="N86" i="26"/>
  <c r="O86" i="26" s="1"/>
  <c r="M86" i="26"/>
  <c r="L86" i="26"/>
  <c r="K86" i="26"/>
  <c r="J86" i="26"/>
  <c r="I86" i="26"/>
  <c r="H86" i="26"/>
  <c r="R80" i="26"/>
  <c r="S80" i="26" s="1"/>
  <c r="P80" i="26"/>
  <c r="N80" i="26"/>
  <c r="O80" i="26" s="1"/>
  <c r="K80" i="26"/>
  <c r="M80" i="26" s="1"/>
  <c r="J80" i="26"/>
  <c r="I80" i="26"/>
  <c r="R79" i="26"/>
  <c r="S79" i="26" s="1"/>
  <c r="P79" i="26"/>
  <c r="N79" i="26"/>
  <c r="O79" i="26" s="1"/>
  <c r="L79" i="26"/>
  <c r="Q79" i="26" s="1"/>
  <c r="K79" i="26"/>
  <c r="M79" i="26" s="1"/>
  <c r="J79" i="26"/>
  <c r="I79" i="26"/>
  <c r="R78" i="26"/>
  <c r="S78" i="26" s="1"/>
  <c r="P78" i="26"/>
  <c r="N78" i="26"/>
  <c r="J78" i="26"/>
  <c r="I78" i="26"/>
  <c r="R77" i="26"/>
  <c r="P77" i="26"/>
  <c r="N77" i="26"/>
  <c r="J77" i="26"/>
  <c r="I77" i="26"/>
  <c r="R76" i="26"/>
  <c r="S76" i="26" s="1"/>
  <c r="P76" i="26"/>
  <c r="N76" i="26"/>
  <c r="J76" i="26"/>
  <c r="I76" i="26"/>
  <c r="N75" i="26"/>
  <c r="J75" i="26"/>
  <c r="I75" i="26"/>
  <c r="R74" i="26"/>
  <c r="S74" i="26" s="1"/>
  <c r="P74" i="26"/>
  <c r="N74" i="26"/>
  <c r="J74" i="26"/>
  <c r="I74" i="26"/>
  <c r="R73" i="26"/>
  <c r="P73" i="26"/>
  <c r="N73" i="26"/>
  <c r="J73" i="26"/>
  <c r="I73" i="26"/>
  <c r="R72" i="26"/>
  <c r="S72" i="26" s="1"/>
  <c r="P72" i="26"/>
  <c r="N72" i="26"/>
  <c r="J72" i="26"/>
  <c r="I72" i="26"/>
  <c r="R71" i="26"/>
  <c r="P71" i="26"/>
  <c r="N71" i="26"/>
  <c r="J71" i="26"/>
  <c r="I71" i="26"/>
  <c r="R70" i="26"/>
  <c r="S70" i="26" s="1"/>
  <c r="P70" i="26"/>
  <c r="N70" i="26"/>
  <c r="J70" i="26"/>
  <c r="I70" i="26"/>
  <c r="N69" i="26"/>
  <c r="J69" i="26"/>
  <c r="I69" i="26"/>
  <c r="S68" i="26"/>
  <c r="R68" i="26"/>
  <c r="P68" i="26"/>
  <c r="N68" i="26"/>
  <c r="J68" i="26"/>
  <c r="I68" i="26"/>
  <c r="R67" i="26"/>
  <c r="P67" i="26"/>
  <c r="N67" i="26"/>
  <c r="J67" i="26"/>
  <c r="I67" i="26"/>
  <c r="R66" i="26"/>
  <c r="P66" i="26"/>
  <c r="N66" i="26"/>
  <c r="K66" i="26"/>
  <c r="M66" i="26" s="1"/>
  <c r="J66" i="26"/>
  <c r="I66" i="26"/>
  <c r="R65" i="26"/>
  <c r="S65" i="26" s="1"/>
  <c r="P65" i="26"/>
  <c r="N65" i="26"/>
  <c r="L65" i="26"/>
  <c r="Q65" i="26" s="1"/>
  <c r="K65" i="26"/>
  <c r="M65" i="26" s="1"/>
  <c r="J65" i="26"/>
  <c r="I65" i="26"/>
  <c r="R64" i="26"/>
  <c r="S64" i="26" s="1"/>
  <c r="P64" i="26"/>
  <c r="N64" i="26"/>
  <c r="J64" i="26"/>
  <c r="I64" i="26"/>
  <c r="R63" i="26"/>
  <c r="P63" i="26"/>
  <c r="N63" i="26"/>
  <c r="J63" i="26"/>
  <c r="I63" i="26"/>
  <c r="R62" i="26"/>
  <c r="P62" i="26"/>
  <c r="N62" i="26"/>
  <c r="J62" i="26"/>
  <c r="I62" i="26"/>
  <c r="N61" i="26"/>
  <c r="J61" i="26"/>
  <c r="I61" i="26"/>
  <c r="R60" i="26"/>
  <c r="S60" i="26" s="1"/>
  <c r="P60" i="26"/>
  <c r="N60" i="26"/>
  <c r="J60" i="26"/>
  <c r="I60" i="26"/>
  <c r="R59" i="26"/>
  <c r="S59" i="26" s="1"/>
  <c r="P59" i="26"/>
  <c r="N59" i="26"/>
  <c r="J59" i="26"/>
  <c r="I59" i="26"/>
  <c r="R58" i="26"/>
  <c r="S58" i="26" s="1"/>
  <c r="P58" i="26"/>
  <c r="N58" i="26"/>
  <c r="T58" i="26" s="1"/>
  <c r="J58" i="26"/>
  <c r="I58" i="26"/>
  <c r="R57" i="26"/>
  <c r="P57" i="26"/>
  <c r="N57" i="26"/>
  <c r="J57" i="26"/>
  <c r="I57" i="26"/>
  <c r="R56" i="26"/>
  <c r="S56" i="26" s="1"/>
  <c r="P56" i="26"/>
  <c r="N56" i="26"/>
  <c r="J56" i="26"/>
  <c r="I56" i="26"/>
  <c r="N55" i="26"/>
  <c r="J55" i="26"/>
  <c r="I55" i="26"/>
  <c r="R54" i="26"/>
  <c r="S54" i="26" s="1"/>
  <c r="P54" i="26"/>
  <c r="N54" i="26"/>
  <c r="J54" i="26"/>
  <c r="I54" i="26"/>
  <c r="R53" i="26"/>
  <c r="S53" i="26" s="1"/>
  <c r="P53" i="26"/>
  <c r="N53" i="26"/>
  <c r="J53" i="26"/>
  <c r="I53" i="26"/>
  <c r="R52" i="26"/>
  <c r="S52" i="26" s="1"/>
  <c r="P52" i="26"/>
  <c r="N52" i="26"/>
  <c r="T52" i="26" s="1"/>
  <c r="K52" i="26"/>
  <c r="M52" i="26" s="1"/>
  <c r="J52" i="26"/>
  <c r="I52" i="26"/>
  <c r="R51" i="26"/>
  <c r="S51" i="26" s="1"/>
  <c r="P51" i="26"/>
  <c r="N51" i="26"/>
  <c r="L51" i="26"/>
  <c r="Q51" i="26" s="1"/>
  <c r="K51" i="26"/>
  <c r="M51" i="26" s="1"/>
  <c r="J51" i="26"/>
  <c r="I51" i="26"/>
  <c r="R50" i="26"/>
  <c r="S50" i="26" s="1"/>
  <c r="P50" i="26"/>
  <c r="N50" i="26"/>
  <c r="J50" i="26"/>
  <c r="I50" i="26"/>
  <c r="R49" i="26"/>
  <c r="P49" i="26"/>
  <c r="N49" i="26"/>
  <c r="J49" i="26"/>
  <c r="I49" i="26"/>
  <c r="R48" i="26"/>
  <c r="S48" i="26" s="1"/>
  <c r="P48" i="26"/>
  <c r="N48" i="26"/>
  <c r="J48" i="26"/>
  <c r="I48" i="26"/>
  <c r="R47" i="26"/>
  <c r="N47" i="26"/>
  <c r="J47" i="26"/>
  <c r="I47" i="26"/>
  <c r="R46" i="26"/>
  <c r="S46" i="26" s="1"/>
  <c r="P46" i="26"/>
  <c r="N46" i="26"/>
  <c r="J46" i="26"/>
  <c r="I46" i="26"/>
  <c r="R45" i="26"/>
  <c r="P45" i="26"/>
  <c r="N45" i="26"/>
  <c r="J45" i="26"/>
  <c r="I45" i="26"/>
  <c r="S44" i="26"/>
  <c r="R44" i="26"/>
  <c r="P44" i="26"/>
  <c r="N44" i="26"/>
  <c r="T44" i="26" s="1"/>
  <c r="J44" i="26"/>
  <c r="I44" i="26"/>
  <c r="R43" i="26"/>
  <c r="P43" i="26"/>
  <c r="N43" i="26"/>
  <c r="J43" i="26"/>
  <c r="I43" i="26"/>
  <c r="R42" i="26"/>
  <c r="S42" i="26" s="1"/>
  <c r="P42" i="26"/>
  <c r="N42" i="26"/>
  <c r="J42" i="26"/>
  <c r="I42" i="26"/>
  <c r="N41" i="26"/>
  <c r="J41" i="26"/>
  <c r="I41" i="26"/>
  <c r="R40" i="26"/>
  <c r="S40" i="26" s="1"/>
  <c r="P40" i="26"/>
  <c r="N40" i="26"/>
  <c r="J40" i="26"/>
  <c r="I40" i="26"/>
  <c r="R39" i="26"/>
  <c r="P39" i="26"/>
  <c r="N39" i="26"/>
  <c r="J39" i="26"/>
  <c r="I39" i="26"/>
  <c r="R38" i="26"/>
  <c r="S38" i="26" s="1"/>
  <c r="P38" i="26"/>
  <c r="N38" i="26"/>
  <c r="K38" i="26"/>
  <c r="M38" i="26" s="1"/>
  <c r="J38" i="26"/>
  <c r="I38" i="26"/>
  <c r="R37" i="26"/>
  <c r="S37" i="26" s="1"/>
  <c r="P37" i="26"/>
  <c r="N37" i="26"/>
  <c r="L37" i="26"/>
  <c r="Q37" i="26" s="1"/>
  <c r="K37" i="26"/>
  <c r="M37" i="26" s="1"/>
  <c r="J37" i="26"/>
  <c r="I37" i="26"/>
  <c r="R36" i="26"/>
  <c r="S36" i="26" s="1"/>
  <c r="P36" i="26"/>
  <c r="N36" i="26"/>
  <c r="O36" i="26" s="1"/>
  <c r="L36" i="26"/>
  <c r="Q36" i="26" s="1"/>
  <c r="K36" i="26"/>
  <c r="M36" i="26" s="1"/>
  <c r="J36" i="26"/>
  <c r="I36" i="26"/>
  <c r="R35" i="26"/>
  <c r="S35" i="26" s="1"/>
  <c r="P35" i="26"/>
  <c r="N35" i="26"/>
  <c r="L35" i="26"/>
  <c r="Q35" i="26" s="1"/>
  <c r="K35" i="26"/>
  <c r="M35" i="26" s="1"/>
  <c r="J35" i="26"/>
  <c r="I35" i="26"/>
  <c r="R34" i="26"/>
  <c r="S34" i="26" s="1"/>
  <c r="P34" i="26"/>
  <c r="N34" i="26"/>
  <c r="L34" i="26"/>
  <c r="Q34" i="26" s="1"/>
  <c r="K34" i="26"/>
  <c r="M34" i="26" s="1"/>
  <c r="J34" i="26"/>
  <c r="I34" i="26"/>
  <c r="R33" i="26"/>
  <c r="S33" i="26" s="1"/>
  <c r="P33" i="26"/>
  <c r="N33" i="26"/>
  <c r="O33" i="26" s="1"/>
  <c r="L33" i="26"/>
  <c r="Q33" i="26" s="1"/>
  <c r="K33" i="26"/>
  <c r="M33" i="26" s="1"/>
  <c r="J33" i="26"/>
  <c r="I33" i="26"/>
  <c r="F23" i="26"/>
  <c r="F22" i="26"/>
  <c r="J14" i="26"/>
  <c r="D14" i="26"/>
  <c r="D26" i="26" s="1"/>
  <c r="J12" i="26"/>
  <c r="J11" i="26"/>
  <c r="O84" i="13"/>
  <c r="H84" i="13"/>
  <c r="R97" i="13"/>
  <c r="P97" i="13"/>
  <c r="N97" i="13"/>
  <c r="O97" i="13" s="1"/>
  <c r="K97" i="13"/>
  <c r="M97" i="13" s="1"/>
  <c r="J97" i="13"/>
  <c r="I97" i="13"/>
  <c r="H97" i="13"/>
  <c r="R96" i="13"/>
  <c r="S96" i="13" s="1"/>
  <c r="Q96" i="13"/>
  <c r="P96" i="13"/>
  <c r="N96" i="13"/>
  <c r="T96" i="13" s="1"/>
  <c r="L96" i="13"/>
  <c r="K96" i="13"/>
  <c r="M96" i="13" s="1"/>
  <c r="J96" i="13"/>
  <c r="I96" i="13"/>
  <c r="H96" i="13"/>
  <c r="R95" i="13"/>
  <c r="P95" i="13"/>
  <c r="N95" i="13"/>
  <c r="O95" i="13" s="1"/>
  <c r="K95" i="13"/>
  <c r="M95" i="13" s="1"/>
  <c r="J95" i="13"/>
  <c r="I95" i="13"/>
  <c r="H95" i="13"/>
  <c r="R94" i="13"/>
  <c r="S94" i="13" s="1"/>
  <c r="Q94" i="13"/>
  <c r="P94" i="13"/>
  <c r="N94" i="13"/>
  <c r="T94" i="13" s="1"/>
  <c r="L94" i="13"/>
  <c r="K94" i="13"/>
  <c r="M94" i="13" s="1"/>
  <c r="J94" i="13"/>
  <c r="I94" i="13"/>
  <c r="H94" i="13"/>
  <c r="R93" i="13"/>
  <c r="P93" i="13"/>
  <c r="N93" i="13"/>
  <c r="O93" i="13" s="1"/>
  <c r="K93" i="13"/>
  <c r="M93" i="13" s="1"/>
  <c r="J93" i="13"/>
  <c r="I93" i="13"/>
  <c r="H93" i="13"/>
  <c r="R92" i="13"/>
  <c r="S92" i="13" s="1"/>
  <c r="Q92" i="13"/>
  <c r="P92" i="13"/>
  <c r="N92" i="13"/>
  <c r="T92" i="13" s="1"/>
  <c r="L92" i="13"/>
  <c r="K92" i="13"/>
  <c r="M92" i="13" s="1"/>
  <c r="J92" i="13"/>
  <c r="I92" i="13"/>
  <c r="H92" i="13"/>
  <c r="R91" i="13"/>
  <c r="P91" i="13"/>
  <c r="N91" i="13"/>
  <c r="O91" i="13" s="1"/>
  <c r="K91" i="13"/>
  <c r="M91" i="13" s="1"/>
  <c r="J91" i="13"/>
  <c r="I91" i="13"/>
  <c r="H91" i="13"/>
  <c r="R90" i="13"/>
  <c r="S90" i="13" s="1"/>
  <c r="Q90" i="13"/>
  <c r="P90" i="13"/>
  <c r="N90" i="13"/>
  <c r="T90" i="13" s="1"/>
  <c r="L90" i="13"/>
  <c r="K90" i="13"/>
  <c r="M90" i="13" s="1"/>
  <c r="J90" i="13"/>
  <c r="I90" i="13"/>
  <c r="H90" i="13"/>
  <c r="R89" i="13"/>
  <c r="S89" i="13" s="1"/>
  <c r="P89" i="13"/>
  <c r="N89" i="13"/>
  <c r="O89" i="13" s="1"/>
  <c r="M89" i="13"/>
  <c r="L89" i="13"/>
  <c r="Q89" i="13" s="1"/>
  <c r="K89" i="13"/>
  <c r="J89" i="13"/>
  <c r="I89" i="13"/>
  <c r="H89" i="13"/>
  <c r="S88" i="13"/>
  <c r="R88" i="13"/>
  <c r="Q88" i="13"/>
  <c r="P88" i="13"/>
  <c r="N88" i="13"/>
  <c r="O88" i="13" s="1"/>
  <c r="M88" i="13"/>
  <c r="L88" i="13"/>
  <c r="K88" i="13"/>
  <c r="J88" i="13"/>
  <c r="I88" i="13"/>
  <c r="H88" i="13"/>
  <c r="R87" i="13"/>
  <c r="S87" i="13" s="1"/>
  <c r="P87" i="13"/>
  <c r="N87" i="13"/>
  <c r="T87" i="13" s="1"/>
  <c r="M87" i="13"/>
  <c r="L87" i="13"/>
  <c r="Q87" i="13" s="1"/>
  <c r="K87" i="13"/>
  <c r="J87" i="13"/>
  <c r="I87" i="13"/>
  <c r="H87" i="13"/>
  <c r="S86" i="13"/>
  <c r="R86" i="13"/>
  <c r="Q86" i="13"/>
  <c r="P86" i="13"/>
  <c r="N86" i="13"/>
  <c r="T86" i="13" s="1"/>
  <c r="M86" i="13"/>
  <c r="L86" i="13"/>
  <c r="K86" i="13"/>
  <c r="J86" i="13"/>
  <c r="I86" i="13"/>
  <c r="H86" i="13"/>
  <c r="D26" i="13"/>
  <c r="D14" i="13"/>
  <c r="N80" i="13"/>
  <c r="K80" i="13"/>
  <c r="M80" i="13" s="1"/>
  <c r="N66" i="13"/>
  <c r="K66" i="13"/>
  <c r="M66" i="13" s="1"/>
  <c r="N52" i="13"/>
  <c r="K52" i="13"/>
  <c r="M52" i="13" s="1"/>
  <c r="K38" i="13"/>
  <c r="M38" i="13"/>
  <c r="Q79" i="13"/>
  <c r="P79" i="13"/>
  <c r="N79" i="13"/>
  <c r="O79" i="13" s="1"/>
  <c r="L79" i="13"/>
  <c r="K79" i="13"/>
  <c r="M79" i="13" s="1"/>
  <c r="Q65" i="13"/>
  <c r="P65" i="13"/>
  <c r="N65" i="13"/>
  <c r="O65" i="13" s="1"/>
  <c r="M65" i="13"/>
  <c r="L65" i="13"/>
  <c r="K65" i="13"/>
  <c r="Q51" i="13"/>
  <c r="P51" i="13"/>
  <c r="N51" i="13"/>
  <c r="O51" i="13" s="1"/>
  <c r="L51" i="13"/>
  <c r="K51" i="13"/>
  <c r="M51" i="13" s="1"/>
  <c r="P37" i="13"/>
  <c r="N37" i="13"/>
  <c r="O37" i="13" s="1"/>
  <c r="M37" i="13"/>
  <c r="L37" i="13"/>
  <c r="Q37" i="13" s="1"/>
  <c r="K37" i="13"/>
  <c r="O84" i="30" l="1"/>
  <c r="H84" i="30"/>
  <c r="P53" i="28"/>
  <c r="P59" i="28"/>
  <c r="P67" i="28"/>
  <c r="P73" i="28"/>
  <c r="P39" i="28"/>
  <c r="P59" i="27"/>
  <c r="P68" i="27"/>
  <c r="P74" i="27"/>
  <c r="R53" i="27"/>
  <c r="T53" i="27" s="1"/>
  <c r="P67" i="27"/>
  <c r="P73" i="27"/>
  <c r="T40" i="26"/>
  <c r="P41" i="26"/>
  <c r="P69" i="26"/>
  <c r="P75" i="26"/>
  <c r="P55" i="26"/>
  <c r="T60" i="26"/>
  <c r="P61" i="26"/>
  <c r="T68" i="26"/>
  <c r="T39" i="28"/>
  <c r="O94" i="28"/>
  <c r="O90" i="28"/>
  <c r="T91" i="28"/>
  <c r="T95" i="28"/>
  <c r="O96" i="28"/>
  <c r="O97" i="28"/>
  <c r="O93" i="28"/>
  <c r="O89" i="28"/>
  <c r="T86" i="28"/>
  <c r="T88" i="28"/>
  <c r="T45" i="28"/>
  <c r="T49" i="28"/>
  <c r="T47" i="28"/>
  <c r="T43" i="28"/>
  <c r="T84" i="28"/>
  <c r="T41" i="28"/>
  <c r="T35" i="28"/>
  <c r="I84" i="28"/>
  <c r="T53" i="28"/>
  <c r="T55" i="28"/>
  <c r="T57" i="28"/>
  <c r="T59" i="28"/>
  <c r="T61" i="28"/>
  <c r="T63" i="28"/>
  <c r="T33" i="28"/>
  <c r="T67" i="28"/>
  <c r="T69" i="28"/>
  <c r="T71" i="28"/>
  <c r="T73" i="28"/>
  <c r="T75" i="28"/>
  <c r="T77" i="28"/>
  <c r="T34" i="28"/>
  <c r="T36" i="28"/>
  <c r="H33" i="28"/>
  <c r="H80" i="28"/>
  <c r="H66" i="28"/>
  <c r="H52" i="28"/>
  <c r="H38" i="28"/>
  <c r="H79" i="28"/>
  <c r="H77" i="28"/>
  <c r="H75" i="28"/>
  <c r="H73" i="28"/>
  <c r="H71" i="28"/>
  <c r="H69" i="28"/>
  <c r="H67" i="28"/>
  <c r="H65" i="28"/>
  <c r="H63" i="28"/>
  <c r="H61" i="28"/>
  <c r="H59" i="28"/>
  <c r="H57" i="28"/>
  <c r="H55" i="28"/>
  <c r="H53" i="28"/>
  <c r="H51" i="28"/>
  <c r="H49" i="28"/>
  <c r="H47" i="28"/>
  <c r="H45" i="28"/>
  <c r="H43" i="28"/>
  <c r="H41" i="28"/>
  <c r="H39" i="28"/>
  <c r="H37" i="28"/>
  <c r="H36" i="28"/>
  <c r="H35" i="28"/>
  <c r="H78" i="28"/>
  <c r="H76" i="28"/>
  <c r="H74" i="28"/>
  <c r="H72" i="28"/>
  <c r="H70" i="28"/>
  <c r="H68" i="28"/>
  <c r="H64" i="28"/>
  <c r="H62" i="28"/>
  <c r="H60" i="28"/>
  <c r="H58" i="28"/>
  <c r="H56" i="28"/>
  <c r="H54" i="28"/>
  <c r="H50" i="28"/>
  <c r="H48" i="28"/>
  <c r="H46" i="28"/>
  <c r="H44" i="28"/>
  <c r="H42" i="28"/>
  <c r="H40" i="28"/>
  <c r="H34" i="28"/>
  <c r="O33" i="28"/>
  <c r="O35" i="28"/>
  <c r="T38" i="28"/>
  <c r="T40" i="28"/>
  <c r="T42" i="28"/>
  <c r="T44" i="28"/>
  <c r="T46" i="28"/>
  <c r="T48" i="28"/>
  <c r="T50" i="28"/>
  <c r="T52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37" i="28"/>
  <c r="T51" i="28"/>
  <c r="T65" i="28"/>
  <c r="T79" i="28"/>
  <c r="S39" i="28"/>
  <c r="S41" i="28"/>
  <c r="S43" i="28"/>
  <c r="S45" i="28"/>
  <c r="S47" i="28"/>
  <c r="S49" i="28"/>
  <c r="S53" i="28"/>
  <c r="S55" i="28"/>
  <c r="S57" i="28"/>
  <c r="S59" i="28"/>
  <c r="S61" i="28"/>
  <c r="S63" i="28"/>
  <c r="S67" i="28"/>
  <c r="S69" i="28"/>
  <c r="S71" i="28"/>
  <c r="S73" i="28"/>
  <c r="S75" i="28"/>
  <c r="S77" i="28"/>
  <c r="O94" i="27"/>
  <c r="O89" i="27"/>
  <c r="S97" i="27"/>
  <c r="S95" i="27"/>
  <c r="S93" i="27"/>
  <c r="T86" i="27"/>
  <c r="T84" i="27" s="1"/>
  <c r="T87" i="27"/>
  <c r="T88" i="27"/>
  <c r="T33" i="27"/>
  <c r="T55" i="27"/>
  <c r="T59" i="27"/>
  <c r="T57" i="27"/>
  <c r="T63" i="27"/>
  <c r="T61" i="27"/>
  <c r="O34" i="27"/>
  <c r="T36" i="27"/>
  <c r="I84" i="27"/>
  <c r="T39" i="27"/>
  <c r="T41" i="27"/>
  <c r="T43" i="27"/>
  <c r="T45" i="27"/>
  <c r="T47" i="27"/>
  <c r="T49" i="27"/>
  <c r="T67" i="27"/>
  <c r="T69" i="27"/>
  <c r="T71" i="27"/>
  <c r="T73" i="27"/>
  <c r="T75" i="27"/>
  <c r="T77" i="27"/>
  <c r="H35" i="27"/>
  <c r="O33" i="27"/>
  <c r="H34" i="27"/>
  <c r="H40" i="27"/>
  <c r="H42" i="27"/>
  <c r="H44" i="27"/>
  <c r="H46" i="27"/>
  <c r="H48" i="27"/>
  <c r="H50" i="27"/>
  <c r="H54" i="27"/>
  <c r="H56" i="27"/>
  <c r="H58" i="27"/>
  <c r="H60" i="27"/>
  <c r="H62" i="27"/>
  <c r="H64" i="27"/>
  <c r="H68" i="27"/>
  <c r="H70" i="27"/>
  <c r="H72" i="27"/>
  <c r="H74" i="27"/>
  <c r="H76" i="27"/>
  <c r="H78" i="27"/>
  <c r="T35" i="27"/>
  <c r="H36" i="27"/>
  <c r="T38" i="27"/>
  <c r="T40" i="27"/>
  <c r="T42" i="27"/>
  <c r="T44" i="27"/>
  <c r="T46" i="27"/>
  <c r="T48" i="27"/>
  <c r="T50" i="27"/>
  <c r="T52" i="27"/>
  <c r="T54" i="27"/>
  <c r="T56" i="27"/>
  <c r="T58" i="27"/>
  <c r="T60" i="27"/>
  <c r="T62" i="27"/>
  <c r="T64" i="27"/>
  <c r="T66" i="27"/>
  <c r="T68" i="27"/>
  <c r="T70" i="27"/>
  <c r="T72" i="27"/>
  <c r="T74" i="27"/>
  <c r="T76" i="27"/>
  <c r="T78" i="27"/>
  <c r="T80" i="27"/>
  <c r="H37" i="27"/>
  <c r="T37" i="27"/>
  <c r="H39" i="27"/>
  <c r="H41" i="27"/>
  <c r="H43" i="27"/>
  <c r="H45" i="27"/>
  <c r="H47" i="27"/>
  <c r="H49" i="27"/>
  <c r="H51" i="27"/>
  <c r="T51" i="27"/>
  <c r="H53" i="27"/>
  <c r="H55" i="27"/>
  <c r="H57" i="27"/>
  <c r="H59" i="27"/>
  <c r="H61" i="27"/>
  <c r="H63" i="27"/>
  <c r="H65" i="27"/>
  <c r="T65" i="27"/>
  <c r="H67" i="27"/>
  <c r="H69" i="27"/>
  <c r="H71" i="27"/>
  <c r="H73" i="27"/>
  <c r="H75" i="27"/>
  <c r="H77" i="27"/>
  <c r="H79" i="27"/>
  <c r="T79" i="27"/>
  <c r="H38" i="27"/>
  <c r="S39" i="27"/>
  <c r="S41" i="27"/>
  <c r="S43" i="27"/>
  <c r="S45" i="27"/>
  <c r="S47" i="27"/>
  <c r="S49" i="27"/>
  <c r="H52" i="27"/>
  <c r="S53" i="27"/>
  <c r="S55" i="27"/>
  <c r="S57" i="27"/>
  <c r="S59" i="27"/>
  <c r="S61" i="27"/>
  <c r="S63" i="27"/>
  <c r="H66" i="27"/>
  <c r="S67" i="27"/>
  <c r="S69" i="27"/>
  <c r="S71" i="27"/>
  <c r="S73" i="27"/>
  <c r="S75" i="27"/>
  <c r="S77" i="27"/>
  <c r="H80" i="27"/>
  <c r="H33" i="27"/>
  <c r="O90" i="26"/>
  <c r="T95" i="26"/>
  <c r="O94" i="26"/>
  <c r="O97" i="26"/>
  <c r="O87" i="26"/>
  <c r="T91" i="26"/>
  <c r="S95" i="26"/>
  <c r="I84" i="26"/>
  <c r="T92" i="26"/>
  <c r="O93" i="26"/>
  <c r="O89" i="26"/>
  <c r="T86" i="26"/>
  <c r="T88" i="26"/>
  <c r="S91" i="26"/>
  <c r="T34" i="26"/>
  <c r="T54" i="26"/>
  <c r="T37" i="26"/>
  <c r="T61" i="26"/>
  <c r="T62" i="26"/>
  <c r="T72" i="26"/>
  <c r="T64" i="26"/>
  <c r="T66" i="26"/>
  <c r="T41" i="26"/>
  <c r="T50" i="26"/>
  <c r="T70" i="26"/>
  <c r="S62" i="26"/>
  <c r="S66" i="26"/>
  <c r="T38" i="26"/>
  <c r="T47" i="26"/>
  <c r="T55" i="26"/>
  <c r="T57" i="26"/>
  <c r="O38" i="26"/>
  <c r="S47" i="26"/>
  <c r="T65" i="26"/>
  <c r="T71" i="26"/>
  <c r="T76" i="26"/>
  <c r="T43" i="26"/>
  <c r="T46" i="26"/>
  <c r="T49" i="26"/>
  <c r="S57" i="26"/>
  <c r="T63" i="26"/>
  <c r="T69" i="26"/>
  <c r="T73" i="26"/>
  <c r="T35" i="26"/>
  <c r="S43" i="26"/>
  <c r="S49" i="26"/>
  <c r="T53" i="26"/>
  <c r="T56" i="26"/>
  <c r="T59" i="26"/>
  <c r="S63" i="26"/>
  <c r="S69" i="26"/>
  <c r="T74" i="26"/>
  <c r="T75" i="26"/>
  <c r="T80" i="26"/>
  <c r="H35" i="26"/>
  <c r="T39" i="26"/>
  <c r="T42" i="26"/>
  <c r="T45" i="26"/>
  <c r="T48" i="26"/>
  <c r="T51" i="26"/>
  <c r="T77" i="26"/>
  <c r="S39" i="26"/>
  <c r="S45" i="26"/>
  <c r="T67" i="26"/>
  <c r="T78" i="26"/>
  <c r="O34" i="26"/>
  <c r="T36" i="26"/>
  <c r="O37" i="26"/>
  <c r="S55" i="26"/>
  <c r="S61" i="26"/>
  <c r="S67" i="26"/>
  <c r="S71" i="26"/>
  <c r="O84" i="26"/>
  <c r="H38" i="26"/>
  <c r="H33" i="26"/>
  <c r="T33" i="26"/>
  <c r="H34" i="26"/>
  <c r="H40" i="26"/>
  <c r="H42" i="26"/>
  <c r="H44" i="26"/>
  <c r="H46" i="26"/>
  <c r="H48" i="26"/>
  <c r="H50" i="26"/>
  <c r="H54" i="26"/>
  <c r="H56" i="26"/>
  <c r="H58" i="26"/>
  <c r="H60" i="26"/>
  <c r="H62" i="26"/>
  <c r="H64" i="26"/>
  <c r="H68" i="26"/>
  <c r="H70" i="26"/>
  <c r="H72" i="26"/>
  <c r="H74" i="26"/>
  <c r="H76" i="26"/>
  <c r="H78" i="26"/>
  <c r="O35" i="26"/>
  <c r="H36" i="26"/>
  <c r="T84" i="26"/>
  <c r="H37" i="26"/>
  <c r="H39" i="26"/>
  <c r="H41" i="26"/>
  <c r="H43" i="26"/>
  <c r="H45" i="26"/>
  <c r="H47" i="26"/>
  <c r="H49" i="26"/>
  <c r="H51" i="26"/>
  <c r="H53" i="26"/>
  <c r="H55" i="26"/>
  <c r="H57" i="26"/>
  <c r="H59" i="26"/>
  <c r="H61" i="26"/>
  <c r="H63" i="26"/>
  <c r="H65" i="26"/>
  <c r="H67" i="26"/>
  <c r="H69" i="26"/>
  <c r="H71" i="26"/>
  <c r="H73" i="26"/>
  <c r="H75" i="26"/>
  <c r="H77" i="26"/>
  <c r="H79" i="26"/>
  <c r="T79" i="26"/>
  <c r="H52" i="26"/>
  <c r="H66" i="26"/>
  <c r="S73" i="26"/>
  <c r="S75" i="26"/>
  <c r="S77" i="26"/>
  <c r="H80" i="26"/>
  <c r="O86" i="13"/>
  <c r="T91" i="13"/>
  <c r="T93" i="13"/>
  <c r="T95" i="13"/>
  <c r="T97" i="13"/>
  <c r="O90" i="13"/>
  <c r="O92" i="13"/>
  <c r="O94" i="13"/>
  <c r="O96" i="13"/>
  <c r="S97" i="13"/>
  <c r="S95" i="13"/>
  <c r="S93" i="13"/>
  <c r="O87" i="13"/>
  <c r="T88" i="13"/>
  <c r="S91" i="13"/>
  <c r="T89" i="13"/>
  <c r="I75" i="13"/>
  <c r="J75" i="13"/>
  <c r="N75" i="13"/>
  <c r="P75" i="13"/>
  <c r="R75" i="13"/>
  <c r="S75" i="13" s="1"/>
  <c r="I76" i="13"/>
  <c r="J76" i="13"/>
  <c r="N76" i="13"/>
  <c r="P76" i="13"/>
  <c r="R76" i="13"/>
  <c r="S76" i="13" s="1"/>
  <c r="I77" i="13"/>
  <c r="J77" i="13"/>
  <c r="N77" i="13"/>
  <c r="P77" i="13"/>
  <c r="R77" i="13"/>
  <c r="S77" i="13" s="1"/>
  <c r="I78" i="13"/>
  <c r="J78" i="13"/>
  <c r="N78" i="13"/>
  <c r="P78" i="13"/>
  <c r="R78" i="13"/>
  <c r="S78" i="13" s="1"/>
  <c r="I79" i="13"/>
  <c r="J79" i="13"/>
  <c r="R79" i="13"/>
  <c r="S79" i="13" s="1"/>
  <c r="I80" i="13"/>
  <c r="J80" i="13"/>
  <c r="O80" i="13"/>
  <c r="P80" i="13"/>
  <c r="R80" i="13"/>
  <c r="S80" i="13" s="1"/>
  <c r="O84" i="28" l="1"/>
  <c r="S84" i="28"/>
  <c r="H84" i="28"/>
  <c r="O84" i="27"/>
  <c r="S84" i="27"/>
  <c r="H84" i="27"/>
  <c r="S84" i="26"/>
  <c r="H84" i="26"/>
  <c r="T84" i="13"/>
  <c r="I84" i="13"/>
  <c r="T77" i="13"/>
  <c r="T78" i="13"/>
  <c r="T76" i="13"/>
  <c r="T79" i="13"/>
  <c r="T80" i="13"/>
  <c r="S84" i="13"/>
  <c r="T75" i="13"/>
  <c r="P72" i="13"/>
  <c r="N72" i="13"/>
  <c r="P66" i="13"/>
  <c r="O66" i="13"/>
  <c r="P60" i="13"/>
  <c r="N60" i="13"/>
  <c r="P54" i="13"/>
  <c r="N54" i="13"/>
  <c r="P48" i="13"/>
  <c r="N48" i="13"/>
  <c r="F23" i="13"/>
  <c r="F22" i="13"/>
  <c r="P74" i="13" l="1"/>
  <c r="N74" i="13"/>
  <c r="P53" i="13"/>
  <c r="N53" i="13"/>
  <c r="R74" i="13" l="1"/>
  <c r="J74" i="13"/>
  <c r="I74" i="13"/>
  <c r="R73" i="13"/>
  <c r="P73" i="13"/>
  <c r="N73" i="13"/>
  <c r="J73" i="13"/>
  <c r="I73" i="13"/>
  <c r="R72" i="13"/>
  <c r="S72" i="13" s="1"/>
  <c r="J72" i="13"/>
  <c r="I72" i="13"/>
  <c r="R71" i="13"/>
  <c r="P71" i="13"/>
  <c r="N71" i="13"/>
  <c r="J71" i="13"/>
  <c r="I71" i="13"/>
  <c r="R70" i="13"/>
  <c r="S70" i="13" s="1"/>
  <c r="P70" i="13"/>
  <c r="N70" i="13"/>
  <c r="J70" i="13"/>
  <c r="I70" i="13"/>
  <c r="R69" i="13"/>
  <c r="S69" i="13" s="1"/>
  <c r="P69" i="13"/>
  <c r="N69" i="13"/>
  <c r="J69" i="13"/>
  <c r="I69" i="13"/>
  <c r="R68" i="13"/>
  <c r="P68" i="13"/>
  <c r="N68" i="13"/>
  <c r="J68" i="13"/>
  <c r="I68" i="13"/>
  <c r="R67" i="13"/>
  <c r="S67" i="13" s="1"/>
  <c r="P67" i="13"/>
  <c r="N67" i="13"/>
  <c r="J67" i="13"/>
  <c r="I67" i="13"/>
  <c r="R66" i="13"/>
  <c r="S66" i="13" s="1"/>
  <c r="J66" i="13"/>
  <c r="I66" i="13"/>
  <c r="R65" i="13"/>
  <c r="S65" i="13" s="1"/>
  <c r="J65" i="13"/>
  <c r="I65" i="13"/>
  <c r="R64" i="13"/>
  <c r="S64" i="13" s="1"/>
  <c r="P64" i="13"/>
  <c r="N64" i="13"/>
  <c r="J64" i="13"/>
  <c r="I64" i="13"/>
  <c r="R63" i="13"/>
  <c r="S63" i="13" s="1"/>
  <c r="P63" i="13"/>
  <c r="N63" i="13"/>
  <c r="J63" i="13"/>
  <c r="I63" i="13"/>
  <c r="R62" i="13"/>
  <c r="S62" i="13" s="1"/>
  <c r="P62" i="13"/>
  <c r="N62" i="13"/>
  <c r="J62" i="13"/>
  <c r="I62" i="13"/>
  <c r="R61" i="13"/>
  <c r="P61" i="13"/>
  <c r="N61" i="13"/>
  <c r="J61" i="13"/>
  <c r="I61" i="13"/>
  <c r="R60" i="13"/>
  <c r="S60" i="13" s="1"/>
  <c r="J60" i="13"/>
  <c r="I60" i="13"/>
  <c r="R59" i="13"/>
  <c r="S59" i="13" s="1"/>
  <c r="P59" i="13"/>
  <c r="N59" i="13"/>
  <c r="J59" i="13"/>
  <c r="I59" i="13"/>
  <c r="R58" i="13"/>
  <c r="S58" i="13" s="1"/>
  <c r="P58" i="13"/>
  <c r="N58" i="13"/>
  <c r="J58" i="13"/>
  <c r="I58" i="13"/>
  <c r="R57" i="13"/>
  <c r="S57" i="13" s="1"/>
  <c r="P57" i="13"/>
  <c r="N57" i="13"/>
  <c r="J57" i="13"/>
  <c r="I57" i="13"/>
  <c r="R56" i="13"/>
  <c r="S56" i="13" s="1"/>
  <c r="P56" i="13"/>
  <c r="N56" i="13"/>
  <c r="J56" i="13"/>
  <c r="I56" i="13"/>
  <c r="R55" i="13"/>
  <c r="S55" i="13" s="1"/>
  <c r="P55" i="13"/>
  <c r="N55" i="13"/>
  <c r="J55" i="13"/>
  <c r="I55" i="13"/>
  <c r="R54" i="13"/>
  <c r="S54" i="13" s="1"/>
  <c r="J54" i="13"/>
  <c r="I54" i="13"/>
  <c r="R53" i="13"/>
  <c r="S53" i="13" s="1"/>
  <c r="J53" i="13"/>
  <c r="I53" i="13"/>
  <c r="R52" i="13"/>
  <c r="S52" i="13" s="1"/>
  <c r="P52" i="13"/>
  <c r="O52" i="13"/>
  <c r="J52" i="13"/>
  <c r="I52" i="13"/>
  <c r="R51" i="13"/>
  <c r="S51" i="13" s="1"/>
  <c r="J51" i="13"/>
  <c r="I51" i="13"/>
  <c r="R50" i="13"/>
  <c r="P50" i="13"/>
  <c r="N50" i="13"/>
  <c r="J50" i="13"/>
  <c r="I50" i="13"/>
  <c r="R49" i="13"/>
  <c r="S49" i="13" s="1"/>
  <c r="P49" i="13"/>
  <c r="N49" i="13"/>
  <c r="J49" i="13"/>
  <c r="I49" i="13"/>
  <c r="R48" i="13"/>
  <c r="S48" i="13" s="1"/>
  <c r="J48" i="13"/>
  <c r="I48" i="13"/>
  <c r="R47" i="13"/>
  <c r="S47" i="13" s="1"/>
  <c r="P47" i="13"/>
  <c r="N47" i="13"/>
  <c r="J47" i="13"/>
  <c r="I47" i="13"/>
  <c r="R46" i="13"/>
  <c r="S46" i="13" s="1"/>
  <c r="P46" i="13"/>
  <c r="N46" i="13"/>
  <c r="J46" i="13"/>
  <c r="I46" i="13"/>
  <c r="R45" i="13"/>
  <c r="S45" i="13" s="1"/>
  <c r="P45" i="13"/>
  <c r="N45" i="13"/>
  <c r="J45" i="13"/>
  <c r="I45" i="13"/>
  <c r="R44" i="13"/>
  <c r="S44" i="13" s="1"/>
  <c r="P44" i="13"/>
  <c r="N44" i="13"/>
  <c r="J44" i="13"/>
  <c r="I44" i="13"/>
  <c r="R43" i="13"/>
  <c r="S43" i="13" s="1"/>
  <c r="P43" i="13"/>
  <c r="N43" i="13"/>
  <c r="J43" i="13"/>
  <c r="I43" i="13"/>
  <c r="R42" i="13"/>
  <c r="S42" i="13" s="1"/>
  <c r="P42" i="13"/>
  <c r="N42" i="13"/>
  <c r="J42" i="13"/>
  <c r="I42" i="13"/>
  <c r="R41" i="13"/>
  <c r="P41" i="13"/>
  <c r="N41" i="13"/>
  <c r="J41" i="13"/>
  <c r="I41" i="13"/>
  <c r="R40" i="13"/>
  <c r="S40" i="13" s="1"/>
  <c r="P40" i="13"/>
  <c r="N40" i="13"/>
  <c r="J40" i="13"/>
  <c r="I40" i="13"/>
  <c r="R39" i="13"/>
  <c r="S39" i="13" s="1"/>
  <c r="P39" i="13"/>
  <c r="N39" i="13"/>
  <c r="J39" i="13"/>
  <c r="I39" i="13"/>
  <c r="R38" i="13"/>
  <c r="P38" i="13"/>
  <c r="N38" i="13"/>
  <c r="O38" i="13" s="1"/>
  <c r="J38" i="13"/>
  <c r="I38" i="13"/>
  <c r="R37" i="13"/>
  <c r="S37" i="13" s="1"/>
  <c r="J37" i="13"/>
  <c r="I37" i="13"/>
  <c r="R36" i="13"/>
  <c r="S36" i="13" s="1"/>
  <c r="P36" i="13"/>
  <c r="N36" i="13"/>
  <c r="L36" i="13"/>
  <c r="Q36" i="13" s="1"/>
  <c r="K36" i="13"/>
  <c r="M36" i="13" s="1"/>
  <c r="J36" i="13"/>
  <c r="I36" i="13"/>
  <c r="R35" i="13"/>
  <c r="S35" i="13" s="1"/>
  <c r="P35" i="13"/>
  <c r="N35" i="13"/>
  <c r="L35" i="13"/>
  <c r="Q35" i="13" s="1"/>
  <c r="K35" i="13"/>
  <c r="M35" i="13" s="1"/>
  <c r="J35" i="13"/>
  <c r="I35" i="13"/>
  <c r="R34" i="13"/>
  <c r="S34" i="13" s="1"/>
  <c r="P34" i="13"/>
  <c r="N34" i="13"/>
  <c r="O34" i="13" s="1"/>
  <c r="L34" i="13"/>
  <c r="Q34" i="13" s="1"/>
  <c r="K34" i="13"/>
  <c r="M34" i="13" s="1"/>
  <c r="J34" i="13"/>
  <c r="I34" i="13"/>
  <c r="R33" i="13"/>
  <c r="S33" i="13" s="1"/>
  <c r="P33" i="13"/>
  <c r="N33" i="13"/>
  <c r="O33" i="13" s="1"/>
  <c r="L33" i="13"/>
  <c r="Q33" i="13" s="1"/>
  <c r="K33" i="13"/>
  <c r="M33" i="13" s="1"/>
  <c r="J33" i="13"/>
  <c r="I33" i="13"/>
  <c r="J14" i="13"/>
  <c r="J12" i="13"/>
  <c r="J11" i="13"/>
  <c r="T48" i="13" l="1"/>
  <c r="T43" i="13"/>
  <c r="T68" i="13"/>
  <c r="T70" i="13"/>
  <c r="T35" i="13"/>
  <c r="T74" i="13"/>
  <c r="T42" i="13"/>
  <c r="T61" i="13"/>
  <c r="T66" i="13"/>
  <c r="T71" i="13"/>
  <c r="T49" i="13"/>
  <c r="S74" i="13"/>
  <c r="S71" i="13"/>
  <c r="T53" i="13"/>
  <c r="T38" i="13"/>
  <c r="T50" i="13"/>
  <c r="T52" i="13"/>
  <c r="T56" i="13"/>
  <c r="T67" i="13"/>
  <c r="T36" i="13"/>
  <c r="T55" i="13"/>
  <c r="T37" i="13"/>
  <c r="T51" i="13"/>
  <c r="O35" i="13"/>
  <c r="O36" i="13"/>
  <c r="T40" i="13"/>
  <c r="S50" i="13"/>
  <c r="S68" i="13"/>
  <c r="T72" i="13"/>
  <c r="S38" i="13"/>
  <c r="T41" i="13"/>
  <c r="T59" i="13"/>
  <c r="T63" i="13"/>
  <c r="T64" i="13"/>
  <c r="T46" i="13"/>
  <c r="S41" i="13"/>
  <c r="T44" i="13"/>
  <c r="T58" i="13"/>
  <c r="S61" i="13"/>
  <c r="T62" i="13"/>
  <c r="T33" i="13"/>
  <c r="T47" i="13"/>
  <c r="T65" i="13"/>
  <c r="T73" i="13"/>
  <c r="T54" i="13"/>
  <c r="T57" i="13"/>
  <c r="T60" i="13"/>
  <c r="S73" i="13"/>
  <c r="T34" i="13"/>
  <c r="T39" i="13"/>
  <c r="T45" i="13"/>
  <c r="T69" i="13"/>
  <c r="H66" i="13" l="1"/>
  <c r="H44" i="13"/>
  <c r="H38" i="13"/>
  <c r="H68" i="13"/>
  <c r="H56" i="13"/>
  <c r="H61" i="13"/>
  <c r="H42" i="13"/>
  <c r="H51" i="13"/>
  <c r="H57" i="13"/>
  <c r="H54" i="13"/>
  <c r="H43" i="13"/>
  <c r="H36" i="13"/>
  <c r="H67" i="13"/>
  <c r="H55" i="13"/>
  <c r="H53" i="13"/>
  <c r="H77" i="13"/>
  <c r="H48" i="13"/>
  <c r="H72" i="13"/>
  <c r="H65" i="13"/>
  <c r="H52" i="13"/>
  <c r="H69" i="13"/>
  <c r="H62" i="13"/>
  <c r="H80" i="13"/>
  <c r="H47" i="13"/>
  <c r="H41" i="13"/>
  <c r="H71" i="13"/>
  <c r="H59" i="13"/>
  <c r="H50" i="13"/>
  <c r="H37" i="13"/>
  <c r="H79" i="13"/>
  <c r="H46" i="13"/>
  <c r="H40" i="13"/>
  <c r="H58" i="13"/>
  <c r="H49" i="13"/>
  <c r="H63" i="13"/>
  <c r="H34" i="13"/>
  <c r="H45" i="13"/>
  <c r="H39" i="13"/>
  <c r="H35" i="13"/>
  <c r="H75" i="13"/>
  <c r="H33" i="13"/>
  <c r="H70" i="13" l="1"/>
  <c r="H64" i="13"/>
  <c r="H78" i="13"/>
  <c r="H60" i="13"/>
  <c r="H73" i="13"/>
  <c r="H76" i="13"/>
  <c r="H74" i="13"/>
</calcChain>
</file>

<file path=xl/comments1.xml><?xml version="1.0" encoding="utf-8"?>
<comments xmlns="http://schemas.openxmlformats.org/spreadsheetml/2006/main">
  <authors>
    <author>Micromass UK Ltd</author>
  </authors>
  <commentList>
    <comment ref="A102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2.xml><?xml version="1.0" encoding="utf-8"?>
<comments xmlns="http://schemas.openxmlformats.org/spreadsheetml/2006/main">
  <authors>
    <author>Micromass UK Ltd</author>
  </authors>
  <commentList>
    <comment ref="A102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3.xml><?xml version="1.0" encoding="utf-8"?>
<comments xmlns="http://schemas.openxmlformats.org/spreadsheetml/2006/main">
  <authors>
    <author>Micromass UK Ltd</author>
  </authors>
  <commentList>
    <comment ref="A102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4.xml><?xml version="1.0" encoding="utf-8"?>
<comments xmlns="http://schemas.openxmlformats.org/spreadsheetml/2006/main">
  <authors>
    <author>Micromass UK Ltd</author>
  </authors>
  <commentList>
    <comment ref="A102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comments5.xml><?xml version="1.0" encoding="utf-8"?>
<comments xmlns="http://schemas.openxmlformats.org/spreadsheetml/2006/main">
  <authors>
    <author>Micromass UK Ltd</author>
  </authors>
  <commentList>
    <comment ref="A102" authorId="0" shapeId="0">
      <text>
        <r>
          <rPr>
            <sz val="8"/>
            <color indexed="81"/>
            <rFont val="Tahoma"/>
            <family val="2"/>
          </rPr>
          <t>This is the batch report table. 
Unhide the row below to display the table columns.
Double click to set the columns data source.</t>
        </r>
      </text>
    </comment>
  </commentList>
</comments>
</file>

<file path=xl/sharedStrings.xml><?xml version="1.0" encoding="utf-8"?>
<sst xmlns="http://schemas.openxmlformats.org/spreadsheetml/2006/main" count="1163" uniqueCount="250">
  <si>
    <t>EA-C Calibrated Isotope data</t>
  </si>
  <si>
    <t>Date:</t>
  </si>
  <si>
    <t>Operator:</t>
  </si>
  <si>
    <t>George Perkins</t>
  </si>
  <si>
    <t>Isoprime data file:</t>
  </si>
  <si>
    <t>MS file:</t>
  </si>
  <si>
    <t>EA %C run</t>
  </si>
  <si>
    <t>Capsules:</t>
  </si>
  <si>
    <t>Dilution:</t>
  </si>
  <si>
    <t>80 for C</t>
  </si>
  <si>
    <t>Generation of calibration curve:</t>
  </si>
  <si>
    <r>
      <t xml:space="preserve">     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 Value</t>
    </r>
  </si>
  <si>
    <r>
      <t xml:space="preserve">     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 Value</t>
    </r>
  </si>
  <si>
    <t>obs.</t>
  </si>
  <si>
    <t>actual</t>
  </si>
  <si>
    <t>observed</t>
  </si>
  <si>
    <t>44/28 PHR</t>
  </si>
  <si>
    <t>%C</t>
  </si>
  <si>
    <t>%N</t>
  </si>
  <si>
    <t>CN ratio</t>
  </si>
  <si>
    <t>BBOT: Eurovector</t>
  </si>
  <si>
    <t>Urea: Eurovector</t>
  </si>
  <si>
    <t>Peach Leaves (1570a)</t>
  </si>
  <si>
    <t>IAEA oxalic acid C8</t>
  </si>
  <si>
    <t>IAEA Wood C5</t>
  </si>
  <si>
    <t>IAEA sucrose C6</t>
  </si>
  <si>
    <t>IAEA cellulose C3</t>
  </si>
  <si>
    <t>USGS35</t>
  </si>
  <si>
    <t>USGS32</t>
  </si>
  <si>
    <t>USGS34</t>
  </si>
  <si>
    <t>IAEA N1</t>
  </si>
  <si>
    <t>IAEA N2</t>
  </si>
  <si>
    <t>IAEA N3</t>
  </si>
  <si>
    <t>slope</t>
  </si>
  <si>
    <t>b-int.</t>
  </si>
  <si>
    <r>
      <t>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  <r>
      <rPr>
        <b/>
        <sz val="10"/>
        <rFont val="Arial"/>
        <family val="2"/>
      </rPr>
      <t>=</t>
    </r>
  </si>
  <si>
    <t>+</t>
  </si>
  <si>
    <r>
      <t>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  <r>
      <rPr>
        <b/>
        <sz val="10"/>
        <rFont val="Arial"/>
        <family val="2"/>
      </rPr>
      <t>=</t>
    </r>
  </si>
  <si>
    <t>mg C</t>
  </si>
  <si>
    <t>mg N</t>
  </si>
  <si>
    <t>Name</t>
  </si>
  <si>
    <t>Raw 15N</t>
  </si>
  <si>
    <t>Raw 13C</t>
  </si>
  <si>
    <r>
      <t xml:space="preserve">corr </t>
    </r>
    <r>
      <rPr>
        <b/>
        <sz val="8"/>
        <rFont val="Symbol"/>
        <family val="1"/>
        <charset val="2"/>
      </rPr>
      <t>d</t>
    </r>
    <r>
      <rPr>
        <b/>
        <vertAlign val="superscript"/>
        <sz val="8"/>
        <rFont val="Arial"/>
        <family val="2"/>
      </rPr>
      <t>13</t>
    </r>
    <r>
      <rPr>
        <b/>
        <sz val="8"/>
        <rFont val="Arial"/>
        <family val="2"/>
      </rPr>
      <t>C</t>
    </r>
  </si>
  <si>
    <r>
      <t xml:space="preserve">corr. </t>
    </r>
    <r>
      <rPr>
        <b/>
        <sz val="8"/>
        <rFont val="Symbol"/>
        <family val="1"/>
        <charset val="2"/>
      </rPr>
      <t>d</t>
    </r>
    <r>
      <rPr>
        <b/>
        <vertAlign val="superscript"/>
        <sz val="8"/>
        <rFont val="Arial"/>
        <family val="2"/>
      </rPr>
      <t>15</t>
    </r>
    <r>
      <rPr>
        <b/>
        <sz val="8"/>
        <rFont val="Arial"/>
        <family val="2"/>
      </rPr>
      <t>N</t>
    </r>
  </si>
  <si>
    <t>ht/wt C</t>
  </si>
  <si>
    <t>%C std</t>
  </si>
  <si>
    <t>%N std</t>
  </si>
  <si>
    <t>% C</t>
  </si>
  <si>
    <t>ht/wt N</t>
  </si>
  <si>
    <t>% N'</t>
  </si>
  <si>
    <t>C/N</t>
  </si>
  <si>
    <t>`</t>
  </si>
  <si>
    <t>4x6 mm tin capsules</t>
  </si>
  <si>
    <t>Weight (mg)</t>
  </si>
  <si>
    <t>Peach-1.raw</t>
  </si>
  <si>
    <t>Peach-2.raw</t>
  </si>
  <si>
    <t>Peach-3.raw</t>
  </si>
  <si>
    <t>Peach-4.raw</t>
  </si>
  <si>
    <t>Peach-5.raw</t>
  </si>
  <si>
    <t>Peach-7.raw</t>
  </si>
  <si>
    <t>Sample Number</t>
  </si>
  <si>
    <t>Height (nA)</t>
  </si>
  <si>
    <t>13C</t>
  </si>
  <si>
    <t>SampleNo/s</t>
  </si>
  <si>
    <t>DataFileName/s</t>
  </si>
  <si>
    <t>MajorHeightnA</t>
  </si>
  <si>
    <t>SampleWeight/s</t>
  </si>
  <si>
    <t>DisplayDelta1</t>
  </si>
  <si>
    <t>Pk Ht C</t>
  </si>
  <si>
    <t>Peach-6.raw</t>
  </si>
  <si>
    <t>AVG</t>
  </si>
  <si>
    <t>Peach-8.raw</t>
  </si>
  <si>
    <t xml:space="preserve"> </t>
  </si>
  <si>
    <t>RT (Sec)</t>
  </si>
  <si>
    <t>Sample Description</t>
  </si>
  <si>
    <t>RetTimeSecs</t>
  </si>
  <si>
    <t>SampleDescription/s</t>
  </si>
  <si>
    <t>2704-1.raw</t>
  </si>
  <si>
    <t>VC-BER-6-1.raw</t>
  </si>
  <si>
    <t>VC-BER-6-2.raw</t>
  </si>
  <si>
    <t>VC-BER-6-3.raw</t>
  </si>
  <si>
    <t>VC-BER-7-1.raw</t>
  </si>
  <si>
    <t>VC-BER-7-2.raw</t>
  </si>
  <si>
    <t>VC-BER-7-3.raw</t>
  </si>
  <si>
    <t>VC-BER-8-1.raw</t>
  </si>
  <si>
    <t>VC-BER-8-2.raw</t>
  </si>
  <si>
    <t>VC-BER-8-3.raw</t>
  </si>
  <si>
    <t>VC-BER-9-1.raw</t>
  </si>
  <si>
    <t>VC-BER-9-2.raw</t>
  </si>
  <si>
    <t>VC-BER-9-3.raw</t>
  </si>
  <si>
    <t>2704-2.raw</t>
  </si>
  <si>
    <t>VC-BER-10-1.raw</t>
  </si>
  <si>
    <t>VC-BER-10-2.raw</t>
  </si>
  <si>
    <t>VC-BER-10-3.raw</t>
  </si>
  <si>
    <t>VC-BER-11-1.raw</t>
  </si>
  <si>
    <t>VC-BER-11-2.raw</t>
  </si>
  <si>
    <t>VC-BER-11-3.raw</t>
  </si>
  <si>
    <t>VC-BER-12-1.raw</t>
  </si>
  <si>
    <t>VC-BER-12-2.raw</t>
  </si>
  <si>
    <t>VC-BER-12-3.raw</t>
  </si>
  <si>
    <t>VC-BER-13-1.raw</t>
  </si>
  <si>
    <t>VC-BER-13-2.raw</t>
  </si>
  <si>
    <t>VC-BER-13-3.raw</t>
  </si>
  <si>
    <t>2704-3.raw</t>
  </si>
  <si>
    <t>VC-BER-14-1.raw</t>
  </si>
  <si>
    <t>VC-BER-14-2.raw</t>
  </si>
  <si>
    <t>VC-BER-14-3.raw</t>
  </si>
  <si>
    <t>VC-BER-15-1.raw</t>
  </si>
  <si>
    <t>VC-BER-15-2.raw</t>
  </si>
  <si>
    <t>VC-BER-15-3.raw</t>
  </si>
  <si>
    <t>VC-BER-16-1.raw</t>
  </si>
  <si>
    <t>VC-BER-16-2.raw</t>
  </si>
  <si>
    <t>VC-BER-16-3.raw</t>
  </si>
  <si>
    <t>VC-BER-18-1.raw</t>
  </si>
  <si>
    <t>VC-BER-18-2.raw</t>
  </si>
  <si>
    <t>VC-BER-18-3.raw</t>
  </si>
  <si>
    <t>2704-4.raw</t>
  </si>
  <si>
    <t>VC-BER-19-1.raw</t>
  </si>
  <si>
    <t>VC-BER-19-2.raw</t>
  </si>
  <si>
    <t>VC-BER-19-3.raw</t>
  </si>
  <si>
    <t>VC-BER-32-1.raw</t>
  </si>
  <si>
    <t>VC-BER-32-2.raw</t>
  </si>
  <si>
    <t>VC-BER-32-3.raw</t>
  </si>
  <si>
    <t>VC-BER-33-1.raw</t>
  </si>
  <si>
    <t>VC-BER-33-2.raw</t>
  </si>
  <si>
    <t>VC-BER-33-3.raw</t>
  </si>
  <si>
    <t>VC-BER-39-1.raw</t>
  </si>
  <si>
    <t>VC-BER-39-2.raw</t>
  </si>
  <si>
    <t>VC-BER-39-3.raw</t>
  </si>
  <si>
    <t>VC-BER-40-1.raw</t>
  </si>
  <si>
    <t>VC-BER-40-2.raw</t>
  </si>
  <si>
    <t>VC-BER-40-3.raw</t>
  </si>
  <si>
    <t>VC-BER-41-1.raw</t>
  </si>
  <si>
    <t>VC-BER-41-2.raw</t>
  </si>
  <si>
    <t>VC-BER-41-3.raw</t>
  </si>
  <si>
    <t>VC-BER-42-1.raw</t>
  </si>
  <si>
    <t>VC-BER-42-2.raw</t>
  </si>
  <si>
    <t>VC-BER-42-3.raw</t>
  </si>
  <si>
    <t>VC-BER-43-1.raw</t>
  </si>
  <si>
    <t>VC-BER-43-2.raw</t>
  </si>
  <si>
    <t>VC-BER-43-3.raw</t>
  </si>
  <si>
    <t>VC-BER-44-1.raw</t>
  </si>
  <si>
    <t>VC-BER-44-2.raw</t>
  </si>
  <si>
    <t>VC-BER-44-3.raw</t>
  </si>
  <si>
    <t>VC-BER-45-1.raw</t>
  </si>
  <si>
    <t>VC-BER-45-2.raw</t>
  </si>
  <si>
    <t>VC-BER-45-3.raw</t>
  </si>
  <si>
    <t>VC-BER-46-1.raw</t>
  </si>
  <si>
    <t>VC-BER-46-2.raw</t>
  </si>
  <si>
    <t>VC-BER-46-3.raw</t>
  </si>
  <si>
    <t>VC-BER-47-1.raw</t>
  </si>
  <si>
    <t>VC-BER-47-2.raw</t>
  </si>
  <si>
    <t>VC-BER-47-3.raw</t>
  </si>
  <si>
    <t>EA 3-15-22</t>
  </si>
  <si>
    <t>EA 3-16-22</t>
  </si>
  <si>
    <t>VC-BER-23-1.raw</t>
  </si>
  <si>
    <t>VC-BER-23-2.raw</t>
  </si>
  <si>
    <t>VC-BER-23-3.raw</t>
  </si>
  <si>
    <t>VC-BER-24-1.raw</t>
  </si>
  <si>
    <t>VC-BER-24-2.raw</t>
  </si>
  <si>
    <t>VC-BER-24-3.raw</t>
  </si>
  <si>
    <t>VC-BER-25-1.raw</t>
  </si>
  <si>
    <t>VC-BER-25-2.raw</t>
  </si>
  <si>
    <t>VC-BER-25-3.raw</t>
  </si>
  <si>
    <t>VC-BER-3-1.raw</t>
  </si>
  <si>
    <t>VC-BER-3-2.raw</t>
  </si>
  <si>
    <t>VC-BER-3-3.raw</t>
  </si>
  <si>
    <t>VC-BER-30-1.raw</t>
  </si>
  <si>
    <t>VC-BER-30-2.raw</t>
  </si>
  <si>
    <t>VC-BER-30-3.raw</t>
  </si>
  <si>
    <t>VC-BER-27-1.raw</t>
  </si>
  <si>
    <t>VC-BER-27-2.raw</t>
  </si>
  <si>
    <t>VC-BER-27-3.raw</t>
  </si>
  <si>
    <t>La Jara Upstream 10-28-21-1.raw</t>
  </si>
  <si>
    <t>La Jara Upstream 10-28-21-2.raw</t>
  </si>
  <si>
    <t>La Jara Upstream 10-28-21-3.raw</t>
  </si>
  <si>
    <t>VC-BER-34-1.raw</t>
  </si>
  <si>
    <t>VC-BER-34-2.raw</t>
  </si>
  <si>
    <t>VC-BER-34-3.raw</t>
  </si>
  <si>
    <t>VC-BER-35-1.raw</t>
  </si>
  <si>
    <t>VC-BER-35-2.raw</t>
  </si>
  <si>
    <t>VC-BER-35-3.raw</t>
  </si>
  <si>
    <t>Downstream Sonde 10-28-21-1.raw</t>
  </si>
  <si>
    <t>Downstream Sonde 10-28-21-2.raw</t>
  </si>
  <si>
    <t>Downstream Sonde 10-28-21-3.raw</t>
  </si>
  <si>
    <t>VC-BER-2-1.raw</t>
  </si>
  <si>
    <t>VC-BER-2-2.raw</t>
  </si>
  <si>
    <t>VC-BER-2-3.raw</t>
  </si>
  <si>
    <t>VC-BER-5-1.raw</t>
  </si>
  <si>
    <t>VC-BER-5-2.raw</t>
  </si>
  <si>
    <t>VC-BER-5-3.raw</t>
  </si>
  <si>
    <t>EA 3-17-22</t>
  </si>
  <si>
    <t>VC-BER-38-1.raw</t>
  </si>
  <si>
    <t>VC-BER-38-2.raw</t>
  </si>
  <si>
    <t>VC-BER-38-3.raw</t>
  </si>
  <si>
    <t>VC-BER-36-1.raw</t>
  </si>
  <si>
    <t>VC-BER-36-2.raw</t>
  </si>
  <si>
    <t>VC-BER-36-3.raw</t>
  </si>
  <si>
    <t>VC-BER-37-1.raw</t>
  </si>
  <si>
    <t>VC-BER-37-2.raw</t>
  </si>
  <si>
    <t>VC-BER-37-3.raw</t>
  </si>
  <si>
    <t>VC-BER-31-1.raw</t>
  </si>
  <si>
    <t>VC-BER-31-2.raw</t>
  </si>
  <si>
    <t>VC-BER-31-3.raw</t>
  </si>
  <si>
    <t>VC-BER-29-1.raw</t>
  </si>
  <si>
    <t>VC-BER-29-2.raw</t>
  </si>
  <si>
    <t>VC-BER-29-3.raw</t>
  </si>
  <si>
    <t>VC-BER-28-1.raw</t>
  </si>
  <si>
    <t>VC-BER-28-2.raw</t>
  </si>
  <si>
    <t>VC-BER-28-3.raw</t>
  </si>
  <si>
    <t>VC-BER-20-1.raw</t>
  </si>
  <si>
    <t>VC-BER-20-2.raw</t>
  </si>
  <si>
    <t>VC-BER-20-3.raw</t>
  </si>
  <si>
    <t>VC-BER-21-1.raw</t>
  </si>
  <si>
    <t>VC-BER-21-2.raw</t>
  </si>
  <si>
    <t>VC-BER-21-3.raw</t>
  </si>
  <si>
    <t>VC-BER-17-1.raw</t>
  </si>
  <si>
    <t>VC-BER-17-2.raw</t>
  </si>
  <si>
    <t>VC-BER-17-3.raw</t>
  </si>
  <si>
    <t>VC-BER-22-1.raw</t>
  </si>
  <si>
    <t>VC-BER-22-2.raw</t>
  </si>
  <si>
    <t>VC-BER-22-3.raw</t>
  </si>
  <si>
    <t>VC-BER-4-1.raw</t>
  </si>
  <si>
    <t>VC-BER-4-2.raw</t>
  </si>
  <si>
    <t>VC-BER-4-3.raw</t>
  </si>
  <si>
    <t>VC-BER-1-1.raw</t>
  </si>
  <si>
    <t>VC-BER-1-2.raw</t>
  </si>
  <si>
    <t>VC-BER-1-3.raw</t>
  </si>
  <si>
    <t>Bypass-1.raw</t>
  </si>
  <si>
    <t>Bypass-2.raw</t>
  </si>
  <si>
    <t>5mm hole punch wt</t>
  </si>
  <si>
    <t>avg</t>
  </si>
  <si>
    <t>avg for 2 filters</t>
  </si>
  <si>
    <t>Wt - filter</t>
  </si>
  <si>
    <t>Blank filter wt</t>
  </si>
  <si>
    <t>Not baked</t>
  </si>
  <si>
    <t>Baked</t>
  </si>
  <si>
    <t>size filter</t>
  </si>
  <si>
    <t>mm diameter</t>
  </si>
  <si>
    <t>size subsample</t>
  </si>
  <si>
    <t>area</t>
  </si>
  <si>
    <t>per 2 sample</t>
  </si>
  <si>
    <t>% sampled sampled in ea. Sample</t>
  </si>
  <si>
    <t>VC-BER-26-1.raw</t>
  </si>
  <si>
    <t>VC-BER-26-2.raw</t>
  </si>
  <si>
    <t>VC-BER-26-3.raw</t>
  </si>
  <si>
    <t>EA 3-18-22</t>
  </si>
  <si>
    <t>mg C if upscaled to whole sample from 1 split</t>
  </si>
  <si>
    <t>mgC for whole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</si>
</sst>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0"/>
    <numFmt numFmtId="166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Palatino Linotype"/>
      <family val="1"/>
    </font>
    <font>
      <b/>
      <sz val="10"/>
      <name val="Arial"/>
      <family val="2"/>
    </font>
    <font>
      <b/>
      <sz val="8"/>
      <name val="Arial"/>
      <family val="2"/>
    </font>
    <font>
      <sz val="10"/>
      <name val="Century Gothic"/>
      <family val="2"/>
    </font>
    <font>
      <b/>
      <sz val="10"/>
      <name val="Symbol"/>
      <family val="1"/>
      <charset val="2"/>
    </font>
    <font>
      <b/>
      <vertAlign val="superscript"/>
      <sz val="10"/>
      <name val="Arial"/>
      <family val="2"/>
    </font>
    <font>
      <sz val="10"/>
      <color indexed="48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0"/>
      <name val="Times New Roman"/>
      <family val="1"/>
    </font>
    <font>
      <b/>
      <sz val="8"/>
      <name val="Symbol"/>
      <family val="1"/>
      <charset val="2"/>
    </font>
    <font>
      <b/>
      <vertAlign val="superscript"/>
      <sz val="8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color indexed="81"/>
      <name val="Tahoma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182">
    <xf numFmtId="0" fontId="0" fillId="0" borderId="0" xfId="0"/>
    <xf numFmtId="0" fontId="1" fillId="0" borderId="0" xfId="0" applyFont="1"/>
    <xf numFmtId="0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/>
    <xf numFmtId="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5" fillId="0" borderId="0" xfId="0" applyFont="1" applyFill="1" applyBorder="1"/>
    <xf numFmtId="0" fontId="3" fillId="0" borderId="0" xfId="0" applyFont="1"/>
    <xf numFmtId="0" fontId="1" fillId="0" borderId="2" xfId="0" applyFont="1" applyBorder="1"/>
    <xf numFmtId="164" fontId="1" fillId="0" borderId="3" xfId="0" applyNumberFormat="1" applyFont="1" applyFill="1" applyBorder="1" applyAlignment="1">
      <alignment horizontal="right"/>
    </xf>
    <xf numFmtId="164" fontId="1" fillId="0" borderId="0" xfId="0" applyNumberFormat="1" applyFont="1" applyFill="1" applyBorder="1" applyAlignment="1">
      <alignment horizontal="right"/>
    </xf>
    <xf numFmtId="0" fontId="3" fillId="2" borderId="2" xfId="0" applyFont="1" applyFill="1" applyBorder="1"/>
    <xf numFmtId="0" fontId="0" fillId="2" borderId="4" xfId="0" applyFill="1" applyBorder="1"/>
    <xf numFmtId="0" fontId="6" fillId="2" borderId="2" xfId="0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3" fillId="2" borderId="2" xfId="0" applyFont="1" applyFill="1" applyBorder="1" applyAlignment="1"/>
    <xf numFmtId="0" fontId="3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/>
    <xf numFmtId="0" fontId="1" fillId="0" borderId="3" xfId="0" applyFont="1" applyBorder="1"/>
    <xf numFmtId="0" fontId="0" fillId="2" borderId="3" xfId="0" applyFill="1" applyBorder="1"/>
    <xf numFmtId="0" fontId="0" fillId="2" borderId="0" xfId="0" applyFill="1" applyBorder="1"/>
    <xf numFmtId="0" fontId="1" fillId="2" borderId="3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/>
    <xf numFmtId="0" fontId="0" fillId="0" borderId="2" xfId="0" applyFill="1" applyBorder="1"/>
    <xf numFmtId="0" fontId="3" fillId="0" borderId="4" xfId="0" applyFont="1" applyFill="1" applyBorder="1" applyAlignment="1">
      <alignment horizontal="right"/>
    </xf>
    <xf numFmtId="0" fontId="1" fillId="0" borderId="2" xfId="0" applyFont="1" applyBorder="1" applyAlignment="1">
      <alignment horizontal="right"/>
    </xf>
    <xf numFmtId="2" fontId="8" fillId="0" borderId="5" xfId="0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2" fontId="0" fillId="0" borderId="4" xfId="0" applyNumberFormat="1" applyBorder="1"/>
    <xf numFmtId="2" fontId="0" fillId="0" borderId="6" xfId="0" applyNumberFormat="1" applyBorder="1"/>
    <xf numFmtId="0" fontId="0" fillId="0" borderId="4" xfId="0" applyFill="1" applyBorder="1" applyAlignment="1">
      <alignment horizontal="left"/>
    </xf>
    <xf numFmtId="2" fontId="0" fillId="0" borderId="6" xfId="0" applyNumberFormat="1" applyBorder="1" applyAlignment="1">
      <alignment horizontal="center"/>
    </xf>
    <xf numFmtId="0" fontId="0" fillId="0" borderId="3" xfId="0" applyFill="1" applyBorder="1"/>
    <xf numFmtId="0" fontId="3" fillId="0" borderId="0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2" fontId="8" fillId="0" borderId="7" xfId="0" applyNumberFormat="1" applyFont="1" applyBorder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0" fontId="0" fillId="0" borderId="0" xfId="0" applyFill="1" applyBorder="1" applyAlignment="1">
      <alignment horizontal="left"/>
    </xf>
    <xf numFmtId="2" fontId="0" fillId="0" borderId="9" xfId="0" applyNumberFormat="1" applyBorder="1" applyAlignment="1">
      <alignment horizontal="center"/>
    </xf>
    <xf numFmtId="2" fontId="0" fillId="0" borderId="9" xfId="0" applyNumberFormat="1" applyBorder="1"/>
    <xf numFmtId="0" fontId="1" fillId="0" borderId="3" xfId="0" applyFont="1" applyFill="1" applyBorder="1" applyAlignment="1">
      <alignment horizontal="right"/>
    </xf>
    <xf numFmtId="2" fontId="1" fillId="0" borderId="7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0" borderId="3" xfId="0" applyBorder="1" applyAlignment="1">
      <alignment horizontal="right"/>
    </xf>
    <xf numFmtId="2" fontId="0" fillId="0" borderId="7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9" xfId="0" applyBorder="1"/>
    <xf numFmtId="0" fontId="9" fillId="0" borderId="0" xfId="0" applyFont="1" applyFill="1" applyBorder="1"/>
    <xf numFmtId="0" fontId="3" fillId="0" borderId="0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164" fontId="1" fillId="0" borderId="3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3" xfId="0" applyBorder="1" applyAlignment="1">
      <alignment horizontal="center"/>
    </xf>
    <xf numFmtId="0" fontId="1" fillId="0" borderId="0" xfId="0" applyFont="1" applyBorder="1" applyAlignment="1">
      <alignment horizontal="right"/>
    </xf>
    <xf numFmtId="0" fontId="0" fillId="0" borderId="3" xfId="0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6" fillId="0" borderId="3" xfId="0" applyFont="1" applyFill="1" applyBorder="1" applyAlignment="1">
      <alignment horizontal="right"/>
    </xf>
    <xf numFmtId="0" fontId="0" fillId="0" borderId="0" xfId="0" quotePrefix="1" applyFill="1" applyBorder="1" applyAlignment="1">
      <alignment horizontal="center"/>
    </xf>
    <xf numFmtId="0" fontId="0" fillId="0" borderId="7" xfId="0" applyBorder="1"/>
    <xf numFmtId="165" fontId="0" fillId="0" borderId="0" xfId="0" applyNumberFormat="1" applyFill="1" applyBorder="1" applyAlignment="1">
      <alignment horizontal="center"/>
    </xf>
    <xf numFmtId="0" fontId="3" fillId="0" borderId="3" xfId="0" applyFont="1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10" fillId="0" borderId="0" xfId="0" applyFont="1" applyFill="1" applyBorder="1"/>
    <xf numFmtId="0" fontId="11" fillId="0" borderId="0" xfId="0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center"/>
    </xf>
    <xf numFmtId="0" fontId="1" fillId="0" borderId="0" xfId="0" quotePrefix="1" applyFont="1" applyFill="1" applyBorder="1" applyAlignment="1">
      <alignment horizontal="center"/>
    </xf>
    <xf numFmtId="0" fontId="1" fillId="0" borderId="0" xfId="0" applyFont="1" applyBorder="1"/>
    <xf numFmtId="0" fontId="1" fillId="0" borderId="0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2" borderId="6" xfId="0" applyNumberFormat="1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left" wrapText="1"/>
    </xf>
    <xf numFmtId="0" fontId="4" fillId="2" borderId="12" xfId="0" applyFont="1" applyFill="1" applyBorder="1" applyAlignment="1">
      <alignment horizontal="right" wrapText="1"/>
    </xf>
    <xf numFmtId="2" fontId="4" fillId="0" borderId="12" xfId="0" applyNumberFormat="1" applyFont="1" applyFill="1" applyBorder="1" applyAlignment="1">
      <alignment horizontal="right" wrapText="1"/>
    </xf>
    <xf numFmtId="2" fontId="14" fillId="0" borderId="12" xfId="0" applyNumberFormat="1" applyFont="1" applyFill="1" applyBorder="1" applyAlignment="1">
      <alignment horizontal="right" wrapText="1"/>
    </xf>
    <xf numFmtId="165" fontId="14" fillId="0" borderId="12" xfId="0" applyNumberFormat="1" applyFont="1" applyFill="1" applyBorder="1" applyAlignment="1">
      <alignment horizontal="right" wrapText="1"/>
    </xf>
    <xf numFmtId="2" fontId="4" fillId="0" borderId="12" xfId="0" applyNumberFormat="1" applyFont="1" applyFill="1" applyBorder="1" applyAlignment="1">
      <alignment horizontal="right" vertical="top"/>
    </xf>
    <xf numFmtId="166" fontId="4" fillId="0" borderId="12" xfId="0" applyNumberFormat="1" applyFont="1" applyFill="1" applyBorder="1" applyAlignment="1">
      <alignment horizontal="right" vertical="top"/>
    </xf>
    <xf numFmtId="0" fontId="1" fillId="0" borderId="0" xfId="0" applyFont="1" applyFill="1"/>
    <xf numFmtId="0" fontId="1" fillId="0" borderId="0" xfId="0" applyNumberFormat="1" applyFont="1"/>
    <xf numFmtId="0" fontId="16" fillId="0" borderId="3" xfId="1" applyNumberFormat="1" applyFont="1" applyFill="1" applyBorder="1" applyAlignment="1">
      <alignment horizontal="center" vertical="top"/>
    </xf>
    <xf numFmtId="2" fontId="16" fillId="0" borderId="3" xfId="1" applyNumberFormat="1" applyFont="1" applyFill="1" applyBorder="1" applyAlignment="1">
      <alignment horizontal="center" vertical="top"/>
    </xf>
    <xf numFmtId="2" fontId="16" fillId="0" borderId="10" xfId="1" applyNumberFormat="1" applyFont="1" applyFill="1" applyBorder="1" applyAlignment="1">
      <alignment horizontal="center" vertical="top"/>
    </xf>
    <xf numFmtId="2" fontId="4" fillId="3" borderId="12" xfId="0" applyNumberFormat="1" applyFont="1" applyFill="1" applyBorder="1" applyAlignment="1">
      <alignment horizontal="right" wrapText="1"/>
    </xf>
    <xf numFmtId="2" fontId="14" fillId="3" borderId="12" xfId="0" applyNumberFormat="1" applyFont="1" applyFill="1" applyBorder="1" applyAlignment="1">
      <alignment horizontal="right" wrapText="1"/>
    </xf>
    <xf numFmtId="165" fontId="14" fillId="3" borderId="12" xfId="0" applyNumberFormat="1" applyFont="1" applyFill="1" applyBorder="1" applyAlignment="1">
      <alignment horizontal="right" wrapText="1"/>
    </xf>
    <xf numFmtId="166" fontId="4" fillId="3" borderId="12" xfId="0" applyNumberFormat="1" applyFont="1" applyFill="1" applyBorder="1" applyAlignment="1">
      <alignment horizontal="right" vertical="top"/>
    </xf>
    <xf numFmtId="0" fontId="1" fillId="3" borderId="0" xfId="0" applyFont="1" applyFill="1"/>
    <xf numFmtId="2" fontId="4" fillId="3" borderId="12" xfId="0" applyNumberFormat="1" applyFont="1" applyFill="1" applyBorder="1" applyAlignment="1">
      <alignment horizontal="right" vertical="top"/>
    </xf>
    <xf numFmtId="0" fontId="15" fillId="2" borderId="6" xfId="1" applyFill="1" applyBorder="1" applyAlignment="1">
      <alignment horizontal="center" wrapText="1"/>
    </xf>
    <xf numFmtId="0" fontId="15" fillId="2" borderId="4" xfId="1" applyFill="1" applyBorder="1" applyAlignment="1">
      <alignment horizontal="center" wrapText="1"/>
    </xf>
    <xf numFmtId="0" fontId="15" fillId="2" borderId="2" xfId="1" applyFill="1" applyBorder="1" applyAlignment="1">
      <alignment horizontal="center" wrapText="1"/>
    </xf>
    <xf numFmtId="2" fontId="16" fillId="0" borderId="3" xfId="1" applyNumberFormat="1" applyFont="1" applyBorder="1" applyAlignment="1">
      <alignment horizontal="center" vertical="top"/>
    </xf>
    <xf numFmtId="0" fontId="16" fillId="4" borderId="3" xfId="1" applyNumberFormat="1" applyFont="1" applyFill="1" applyBorder="1" applyAlignment="1">
      <alignment horizontal="center" vertical="top"/>
    </xf>
    <xf numFmtId="2" fontId="16" fillId="4" borderId="3" xfId="1" applyNumberFormat="1" applyFont="1" applyFill="1" applyBorder="1" applyAlignment="1">
      <alignment horizontal="center" vertical="top"/>
    </xf>
    <xf numFmtId="0" fontId="16" fillId="0" borderId="2" xfId="1" applyNumberFormat="1" applyFont="1" applyFill="1" applyBorder="1" applyAlignment="1">
      <alignment horizontal="center" vertical="top"/>
    </xf>
    <xf numFmtId="2" fontId="16" fillId="0" borderId="2" xfId="1" applyNumberFormat="1" applyFont="1" applyFill="1" applyBorder="1" applyAlignment="1">
      <alignment horizontal="center" vertical="top"/>
    </xf>
    <xf numFmtId="2" fontId="16" fillId="0" borderId="2" xfId="1" applyNumberFormat="1" applyFont="1" applyBorder="1" applyAlignment="1">
      <alignment horizontal="center" vertical="top"/>
    </xf>
    <xf numFmtId="2" fontId="16" fillId="0" borderId="10" xfId="1" applyNumberFormat="1" applyFont="1" applyBorder="1" applyAlignment="1">
      <alignment horizontal="center" vertical="top"/>
    </xf>
    <xf numFmtId="0" fontId="4" fillId="2" borderId="2" xfId="0" applyFont="1" applyFill="1" applyBorder="1" applyAlignment="1">
      <alignment horizontal="center" wrapText="1"/>
    </xf>
    <xf numFmtId="2" fontId="4" fillId="3" borderId="13" xfId="0" applyNumberFormat="1" applyFont="1" applyFill="1" applyBorder="1" applyAlignment="1">
      <alignment horizontal="right" wrapText="1"/>
    </xf>
    <xf numFmtId="2" fontId="4" fillId="0" borderId="13" xfId="0" applyNumberFormat="1" applyFont="1" applyFill="1" applyBorder="1" applyAlignment="1">
      <alignment horizontal="right" wrapText="1"/>
    </xf>
    <xf numFmtId="2" fontId="4" fillId="0" borderId="0" xfId="0" applyNumberFormat="1" applyFont="1" applyFill="1" applyBorder="1" applyAlignment="1">
      <alignment horizontal="right" wrapText="1"/>
    </xf>
    <xf numFmtId="2" fontId="4" fillId="0" borderId="0" xfId="0" applyNumberFormat="1" applyFont="1" applyFill="1" applyBorder="1" applyAlignment="1">
      <alignment horizontal="right" vertical="top"/>
    </xf>
    <xf numFmtId="166" fontId="4" fillId="0" borderId="0" xfId="0" applyNumberFormat="1" applyFont="1" applyFill="1" applyBorder="1" applyAlignment="1">
      <alignment horizontal="right" vertical="top"/>
    </xf>
    <xf numFmtId="0" fontId="16" fillId="3" borderId="3" xfId="1" applyNumberFormat="1" applyFont="1" applyFill="1" applyBorder="1" applyAlignment="1">
      <alignment horizontal="center" vertical="top"/>
    </xf>
    <xf numFmtId="2" fontId="16" fillId="3" borderId="3" xfId="1" applyNumberFormat="1" applyFont="1" applyFill="1" applyBorder="1" applyAlignment="1">
      <alignment horizontal="center" vertical="top"/>
    </xf>
    <xf numFmtId="0" fontId="16" fillId="0" borderId="10" xfId="1" applyNumberFormat="1" applyFont="1" applyFill="1" applyBorder="1" applyAlignment="1">
      <alignment horizontal="center" vertical="top"/>
    </xf>
    <xf numFmtId="2" fontId="14" fillId="0" borderId="0" xfId="0" applyNumberFormat="1" applyFont="1" applyFill="1" applyBorder="1" applyAlignment="1">
      <alignment horizontal="right" wrapText="1"/>
    </xf>
    <xf numFmtId="165" fontId="14" fillId="0" borderId="0" xfId="0" applyNumberFormat="1" applyFont="1" applyFill="1" applyBorder="1" applyAlignment="1">
      <alignment horizontal="right" wrapText="1"/>
    </xf>
    <xf numFmtId="2" fontId="16" fillId="4" borderId="10" xfId="1" applyNumberFormat="1" applyFont="1" applyFill="1" applyBorder="1" applyAlignment="1">
      <alignment horizontal="center" vertical="top"/>
    </xf>
    <xf numFmtId="15" fontId="3" fillId="0" borderId="0" xfId="0" quotePrefix="1" applyNumberFormat="1" applyFont="1" applyAlignment="1">
      <alignment horizontal="left"/>
    </xf>
    <xf numFmtId="0" fontId="4" fillId="0" borderId="0" xfId="0" applyFont="1" applyFill="1" applyBorder="1" applyAlignment="1">
      <alignment horizontal="left"/>
    </xf>
    <xf numFmtId="0" fontId="15" fillId="2" borderId="5" xfId="1" applyFill="1" applyBorder="1" applyAlignment="1">
      <alignment horizontal="center" wrapText="1"/>
    </xf>
    <xf numFmtId="164" fontId="16" fillId="0" borderId="2" xfId="1" applyNumberFormat="1" applyFont="1" applyFill="1" applyBorder="1" applyAlignment="1">
      <alignment horizontal="center" vertical="top"/>
    </xf>
    <xf numFmtId="164" fontId="16" fillId="0" borderId="3" xfId="1" applyNumberFormat="1" applyFont="1" applyFill="1" applyBorder="1" applyAlignment="1">
      <alignment horizontal="center" vertical="top"/>
    </xf>
    <xf numFmtId="164" fontId="16" fillId="4" borderId="3" xfId="1" applyNumberFormat="1" applyFont="1" applyFill="1" applyBorder="1" applyAlignment="1">
      <alignment horizontal="center" vertical="top"/>
    </xf>
    <xf numFmtId="164" fontId="16" fillId="0" borderId="10" xfId="1" applyNumberFormat="1" applyFont="1" applyFill="1" applyBorder="1" applyAlignment="1">
      <alignment horizontal="center" vertical="top"/>
    </xf>
    <xf numFmtId="0" fontId="16" fillId="4" borderId="10" xfId="1" applyNumberFormat="1" applyFont="1" applyFill="1" applyBorder="1" applyAlignment="1">
      <alignment horizontal="center" vertical="top"/>
    </xf>
    <xf numFmtId="164" fontId="16" fillId="4" borderId="10" xfId="1" applyNumberFormat="1" applyFont="1" applyFill="1" applyBorder="1" applyAlignment="1">
      <alignment horizontal="center" vertical="top"/>
    </xf>
    <xf numFmtId="0" fontId="19" fillId="0" borderId="0" xfId="0" applyFont="1" applyFill="1"/>
    <xf numFmtId="0" fontId="16" fillId="0" borderId="2" xfId="1" applyNumberFormat="1" applyFont="1" applyBorder="1" applyAlignment="1">
      <alignment vertical="top"/>
    </xf>
    <xf numFmtId="0" fontId="16" fillId="0" borderId="3" xfId="1" applyNumberFormat="1" applyFont="1" applyBorder="1" applyAlignment="1">
      <alignment vertical="top"/>
    </xf>
    <xf numFmtId="0" fontId="16" fillId="4" borderId="3" xfId="1" applyNumberFormat="1" applyFont="1" applyFill="1" applyBorder="1" applyAlignment="1">
      <alignment vertical="top"/>
    </xf>
    <xf numFmtId="0" fontId="16" fillId="4" borderId="10" xfId="1" applyNumberFormat="1" applyFont="1" applyFill="1" applyBorder="1" applyAlignment="1">
      <alignment vertical="top"/>
    </xf>
    <xf numFmtId="0" fontId="16" fillId="3" borderId="3" xfId="1" applyNumberFormat="1" applyFont="1" applyFill="1" applyBorder="1" applyAlignment="1">
      <alignment vertical="top"/>
    </xf>
    <xf numFmtId="0" fontId="16" fillId="0" borderId="3" xfId="1" applyNumberFormat="1" applyFont="1" applyFill="1" applyBorder="1" applyAlignment="1">
      <alignment vertical="top"/>
    </xf>
    <xf numFmtId="0" fontId="16" fillId="5" borderId="3" xfId="1" applyNumberFormat="1" applyFont="1" applyFill="1" applyBorder="1" applyAlignment="1">
      <alignment horizontal="center" vertical="top"/>
    </xf>
    <xf numFmtId="2" fontId="16" fillId="5" borderId="3" xfId="1" applyNumberFormat="1" applyFont="1" applyFill="1" applyBorder="1" applyAlignment="1">
      <alignment horizontal="center" vertical="top"/>
    </xf>
    <xf numFmtId="0" fontId="1" fillId="5" borderId="0" xfId="0" applyFont="1" applyFill="1"/>
    <xf numFmtId="0" fontId="16" fillId="5" borderId="3" xfId="1" applyNumberFormat="1" applyFont="1" applyFill="1" applyBorder="1" applyAlignment="1">
      <alignment vertical="top"/>
    </xf>
    <xf numFmtId="2" fontId="4" fillId="5" borderId="13" xfId="0" applyNumberFormat="1" applyFont="1" applyFill="1" applyBorder="1" applyAlignment="1">
      <alignment horizontal="right" wrapText="1"/>
    </xf>
    <xf numFmtId="2" fontId="4" fillId="5" borderId="12" xfId="0" applyNumberFormat="1" applyFont="1" applyFill="1" applyBorder="1" applyAlignment="1">
      <alignment horizontal="right" wrapText="1"/>
    </xf>
    <xf numFmtId="2" fontId="14" fillId="5" borderId="12" xfId="0" applyNumberFormat="1" applyFont="1" applyFill="1" applyBorder="1" applyAlignment="1">
      <alignment horizontal="right" wrapText="1"/>
    </xf>
    <xf numFmtId="165" fontId="14" fillId="5" borderId="12" xfId="0" applyNumberFormat="1" applyFont="1" applyFill="1" applyBorder="1" applyAlignment="1">
      <alignment horizontal="right" wrapText="1"/>
    </xf>
    <xf numFmtId="2" fontId="4" fillId="5" borderId="12" xfId="0" applyNumberFormat="1" applyFont="1" applyFill="1" applyBorder="1" applyAlignment="1">
      <alignment horizontal="right" vertical="top"/>
    </xf>
    <xf numFmtId="166" fontId="4" fillId="5" borderId="12" xfId="0" applyNumberFormat="1" applyFont="1" applyFill="1" applyBorder="1" applyAlignment="1">
      <alignment horizontal="right" vertical="top"/>
    </xf>
    <xf numFmtId="0" fontId="16" fillId="5" borderId="10" xfId="1" applyNumberFormat="1" applyFont="1" applyFill="1" applyBorder="1" applyAlignment="1">
      <alignment horizontal="center" vertical="top"/>
    </xf>
    <xf numFmtId="2" fontId="16" fillId="5" borderId="10" xfId="1" applyNumberFormat="1" applyFont="1" applyFill="1" applyBorder="1" applyAlignment="1">
      <alignment horizontal="center" vertical="top"/>
    </xf>
    <xf numFmtId="0" fontId="16" fillId="5" borderId="10" xfId="1" applyNumberFormat="1" applyFont="1" applyFill="1" applyBorder="1" applyAlignment="1">
      <alignment vertical="top"/>
    </xf>
    <xf numFmtId="0" fontId="16" fillId="0" borderId="0" xfId="1" applyNumberFormat="1" applyFont="1" applyFill="1" applyBorder="1" applyAlignment="1">
      <alignment horizontal="center" vertical="top"/>
    </xf>
    <xf numFmtId="14" fontId="4" fillId="0" borderId="0" xfId="0" applyNumberFormat="1" applyFont="1" applyFill="1" applyBorder="1" applyAlignment="1">
      <alignment horizontal="left"/>
    </xf>
    <xf numFmtId="0" fontId="0" fillId="3" borderId="0" xfId="0" applyFill="1"/>
    <xf numFmtId="2" fontId="1" fillId="0" borderId="0" xfId="0" applyNumberFormat="1" applyFont="1"/>
    <xf numFmtId="2" fontId="1" fillId="0" borderId="0" xfId="0" applyNumberFormat="1" applyFont="1" applyFill="1"/>
    <xf numFmtId="2" fontId="0" fillId="0" borderId="0" xfId="0" applyNumberFormat="1"/>
    <xf numFmtId="0" fontId="20" fillId="2" borderId="12" xfId="0" applyFont="1" applyFill="1" applyBorder="1" applyAlignment="1">
      <alignment horizontal="right" wrapText="1"/>
    </xf>
    <xf numFmtId="165" fontId="18" fillId="3" borderId="12" xfId="0" applyNumberFormat="1" applyFont="1" applyFill="1" applyBorder="1" applyAlignment="1">
      <alignment horizontal="right" wrapText="1"/>
    </xf>
    <xf numFmtId="165" fontId="18" fillId="5" borderId="12" xfId="0" applyNumberFormat="1" applyFont="1" applyFill="1" applyBorder="1" applyAlignment="1">
      <alignment horizontal="right" wrapText="1"/>
    </xf>
    <xf numFmtId="165" fontId="18" fillId="0" borderId="12" xfId="0" applyNumberFormat="1" applyFont="1" applyFill="1" applyBorder="1" applyAlignment="1">
      <alignment horizontal="right" wrapText="1"/>
    </xf>
    <xf numFmtId="14" fontId="1" fillId="0" borderId="0" xfId="0" applyNumberFormat="1" applyFont="1" applyFill="1"/>
    <xf numFmtId="0" fontId="14" fillId="0" borderId="0" xfId="0" applyFont="1"/>
    <xf numFmtId="0" fontId="14" fillId="0" borderId="0" xfId="0" applyFont="1" applyFill="1"/>
    <xf numFmtId="0" fontId="21" fillId="0" borderId="0" xfId="0" applyFont="1"/>
    <xf numFmtId="0" fontId="18" fillId="0" borderId="0" xfId="0" applyFont="1" applyFill="1"/>
    <xf numFmtId="0" fontId="14" fillId="0" borderId="0" xfId="0" applyFont="1" applyFill="1" applyBorder="1"/>
    <xf numFmtId="0" fontId="4" fillId="0" borderId="0" xfId="0" applyFont="1" applyFill="1" applyBorder="1" applyAlignment="1">
      <alignment horizontal="center" wrapText="1"/>
    </xf>
    <xf numFmtId="0" fontId="4" fillId="0" borderId="0" xfId="0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righ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('Run 5'!$D$15,'Run 5'!$D$17:$D$18)</c:f>
              <c:numCache>
                <c:formatCode>0.00</c:formatCode>
                <c:ptCount val="3"/>
              </c:numCache>
            </c:numRef>
          </c:xVal>
          <c:yVal>
            <c:numRef>
              <c:f>('Run 5'!$C$15,'Run 5'!$C$17:$C$18)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CE-4722-948E-97FBBD53E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'Run 5'!$F$86:$F$97</c:f>
              <c:numCache>
                <c:formatCode>0.00</c:formatCode>
                <c:ptCount val="12"/>
                <c:pt idx="0">
                  <c:v>5.2633010000000002</c:v>
                </c:pt>
                <c:pt idx="1">
                  <c:v>3.5439997499999998</c:v>
                </c:pt>
                <c:pt idx="2">
                  <c:v>7.3287880000000003</c:v>
                </c:pt>
                <c:pt idx="3">
                  <c:v>6.5384390000000003</c:v>
                </c:pt>
                <c:pt idx="4">
                  <c:v>5.9665499999999998</c:v>
                </c:pt>
                <c:pt idx="5">
                  <c:v>0.38153896874999998</c:v>
                </c:pt>
                <c:pt idx="6">
                  <c:v>2.9687600000000001</c:v>
                </c:pt>
                <c:pt idx="7">
                  <c:v>0.92832081249999998</c:v>
                </c:pt>
              </c:numCache>
            </c:numRef>
          </c:xVal>
          <c:yVal>
            <c:numRef>
              <c:f>'Run 5'!$M$86:$M$97</c:f>
              <c:numCache>
                <c:formatCode>0.00</c:formatCode>
                <c:ptCount val="12"/>
                <c:pt idx="0">
                  <c:v>0.34380500000000003</c:v>
                </c:pt>
                <c:pt idx="1">
                  <c:v>0.23351950000000002</c:v>
                </c:pt>
                <c:pt idx="2">
                  <c:v>0.48177349999999997</c:v>
                </c:pt>
                <c:pt idx="3">
                  <c:v>0.43801649999999998</c:v>
                </c:pt>
                <c:pt idx="4">
                  <c:v>0.399171</c:v>
                </c:pt>
                <c:pt idx="5">
                  <c:v>2.7687959999999994E-2</c:v>
                </c:pt>
                <c:pt idx="6">
                  <c:v>0.19779950000000002</c:v>
                </c:pt>
                <c:pt idx="7">
                  <c:v>6.3611999999999988E-2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2D-456C-860E-5F5F3CF49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('Run 4'!$D$15,'Run 4'!$D$17:$D$18)</c:f>
              <c:numCache>
                <c:formatCode>0.00</c:formatCode>
                <c:ptCount val="3"/>
              </c:numCache>
            </c:numRef>
          </c:xVal>
          <c:yVal>
            <c:numRef>
              <c:f>('Run 4'!$C$15,'Run 4'!$C$17:$C$18)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3B-48DD-A123-F0B04859B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'Run 4'!$F$86:$F$97</c:f>
              <c:numCache>
                <c:formatCode>0.00</c:formatCode>
                <c:ptCount val="12"/>
                <c:pt idx="0">
                  <c:v>7.3773115000000002</c:v>
                </c:pt>
                <c:pt idx="1">
                  <c:v>4.7832520000000001</c:v>
                </c:pt>
                <c:pt idx="2">
                  <c:v>5.8776275</c:v>
                </c:pt>
                <c:pt idx="3">
                  <c:v>5.8102324999999997</c:v>
                </c:pt>
                <c:pt idx="4">
                  <c:v>5.2164739999999998</c:v>
                </c:pt>
                <c:pt idx="5">
                  <c:v>0.37196756250000002</c:v>
                </c:pt>
                <c:pt idx="6">
                  <c:v>7.1805139999999996</c:v>
                </c:pt>
                <c:pt idx="7">
                  <c:v>0.60166193749999997</c:v>
                </c:pt>
                <c:pt idx="8">
                  <c:v>4.0913887500000001</c:v>
                </c:pt>
                <c:pt idx="9">
                  <c:v>1.1171781249999999</c:v>
                </c:pt>
                <c:pt idx="10">
                  <c:v>3.0748692499999999</c:v>
                </c:pt>
                <c:pt idx="11">
                  <c:v>0.78586462499999998</c:v>
                </c:pt>
              </c:numCache>
            </c:numRef>
          </c:xVal>
          <c:yVal>
            <c:numRef>
              <c:f>'Run 4'!$M$86:$M$97</c:f>
              <c:numCache>
                <c:formatCode>0.00</c:formatCode>
                <c:ptCount val="12"/>
                <c:pt idx="0">
                  <c:v>0.48847100000000004</c:v>
                </c:pt>
                <c:pt idx="1">
                  <c:v>0.3156755</c:v>
                </c:pt>
                <c:pt idx="2">
                  <c:v>0.38800849999999998</c:v>
                </c:pt>
                <c:pt idx="3">
                  <c:v>0.38532949999999999</c:v>
                </c:pt>
                <c:pt idx="4">
                  <c:v>0.34380500000000003</c:v>
                </c:pt>
                <c:pt idx="5">
                  <c:v>2.6717039999999997E-2</c:v>
                </c:pt>
                <c:pt idx="6">
                  <c:v>0.46971800000000002</c:v>
                </c:pt>
                <c:pt idx="7">
                  <c:v>3.8736359999999997E-2</c:v>
                </c:pt>
                <c:pt idx="8">
                  <c:v>0.26075599999999999</c:v>
                </c:pt>
                <c:pt idx="9">
                  <c:v>7.7573160000000002E-2</c:v>
                </c:pt>
                <c:pt idx="10">
                  <c:v>0.19556699999999999</c:v>
                </c:pt>
                <c:pt idx="11">
                  <c:v>5.4706319999999989E-2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AA-4C16-BBF3-DF6C812C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('Run 3'!$D$15,'Run 3'!$D$17:$D$18)</c:f>
              <c:numCache>
                <c:formatCode>0.00</c:formatCode>
                <c:ptCount val="3"/>
              </c:numCache>
            </c:numRef>
          </c:xVal>
          <c:yVal>
            <c:numRef>
              <c:f>('Run 3'!$C$15,'Run 3'!$C$17:$C$18)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E8-4CAF-83DA-E3AED7AC1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'Run 3'!$F$86:$F$97</c:f>
              <c:numCache>
                <c:formatCode>0.00</c:formatCode>
                <c:ptCount val="12"/>
                <c:pt idx="0">
                  <c:v>3.1950847499999999</c:v>
                </c:pt>
                <c:pt idx="1">
                  <c:v>5.1217490000000003</c:v>
                </c:pt>
                <c:pt idx="2">
                  <c:v>7.8886000000000003</c:v>
                </c:pt>
                <c:pt idx="3">
                  <c:v>3.5121617500000002</c:v>
                </c:pt>
                <c:pt idx="4">
                  <c:v>7.3743334999999997</c:v>
                </c:pt>
                <c:pt idx="5">
                  <c:v>1.0061453124999999</c:v>
                </c:pt>
                <c:pt idx="6">
                  <c:v>4.8784859999999997</c:v>
                </c:pt>
                <c:pt idx="7">
                  <c:v>0.97650106250000002</c:v>
                </c:pt>
                <c:pt idx="8">
                  <c:v>3.97514675</c:v>
                </c:pt>
                <c:pt idx="9">
                  <c:v>1.5668932499999999</c:v>
                </c:pt>
                <c:pt idx="10">
                  <c:v>1.938166625</c:v>
                </c:pt>
                <c:pt idx="11">
                  <c:v>1.164066375</c:v>
                </c:pt>
              </c:numCache>
            </c:numRef>
          </c:xVal>
          <c:yVal>
            <c:numRef>
              <c:f>'Run 3'!$M$86:$M$97</c:f>
              <c:numCache>
                <c:formatCode>0.00</c:formatCode>
                <c:ptCount val="12"/>
                <c:pt idx="0">
                  <c:v>0.211641</c:v>
                </c:pt>
                <c:pt idx="1">
                  <c:v>0.3415725</c:v>
                </c:pt>
                <c:pt idx="2">
                  <c:v>0.52597700000000003</c:v>
                </c:pt>
                <c:pt idx="3">
                  <c:v>0.23530550000000003</c:v>
                </c:pt>
                <c:pt idx="4">
                  <c:v>0.49472200000000005</c:v>
                </c:pt>
                <c:pt idx="5">
                  <c:v>6.829919999999999E-2</c:v>
                </c:pt>
                <c:pt idx="6">
                  <c:v>0.323266</c:v>
                </c:pt>
                <c:pt idx="7">
                  <c:v>6.7160879999999978E-2</c:v>
                </c:pt>
                <c:pt idx="8">
                  <c:v>0.26656049999999998</c:v>
                </c:pt>
                <c:pt idx="9">
                  <c:v>0.10803995999999998</c:v>
                </c:pt>
                <c:pt idx="10">
                  <c:v>0.13082449999999998</c:v>
                </c:pt>
                <c:pt idx="11">
                  <c:v>7.8778439999999991E-2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9-4BA4-94F6-EA6460CFE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('Run 2'!$D$15,'Run 2'!$D$17:$D$18)</c:f>
              <c:numCache>
                <c:formatCode>0.00</c:formatCode>
                <c:ptCount val="3"/>
              </c:numCache>
            </c:numRef>
          </c:xVal>
          <c:yVal>
            <c:numRef>
              <c:f>('Run 2'!$C$15,'Run 2'!$C$17:$C$18)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83-459E-908A-A7A0015AD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'Run 2'!$F$86:$F$97</c:f>
              <c:numCache>
                <c:formatCode>0.00</c:formatCode>
                <c:ptCount val="12"/>
                <c:pt idx="0">
                  <c:v>7.4501289999999996</c:v>
                </c:pt>
                <c:pt idx="1">
                  <c:v>6.1843044999999996</c:v>
                </c:pt>
                <c:pt idx="2">
                  <c:v>6.3039825</c:v>
                </c:pt>
                <c:pt idx="3">
                  <c:v>7.7796215000000002</c:v>
                </c:pt>
                <c:pt idx="4">
                  <c:v>7.0831875000000002</c:v>
                </c:pt>
                <c:pt idx="5">
                  <c:v>1.1979498749999999</c:v>
                </c:pt>
                <c:pt idx="6">
                  <c:v>8.6292460000000002</c:v>
                </c:pt>
                <c:pt idx="7">
                  <c:v>1.2838572500000001</c:v>
                </c:pt>
                <c:pt idx="8">
                  <c:v>10.098096999999999</c:v>
                </c:pt>
                <c:pt idx="9">
                  <c:v>0.80595775000000003</c:v>
                </c:pt>
                <c:pt idx="10">
                  <c:v>7.5119034999999998</c:v>
                </c:pt>
                <c:pt idx="11">
                  <c:v>0.82613412500000005</c:v>
                </c:pt>
              </c:numCache>
            </c:numRef>
          </c:xVal>
          <c:yVal>
            <c:numRef>
              <c:f>'Run 2'!$M$86:$M$97</c:f>
              <c:numCache>
                <c:formatCode>0.00</c:formatCode>
                <c:ptCount val="12"/>
                <c:pt idx="0">
                  <c:v>0.48311300000000001</c:v>
                </c:pt>
                <c:pt idx="1">
                  <c:v>0.40274300000000002</c:v>
                </c:pt>
                <c:pt idx="2">
                  <c:v>0.40944050000000004</c:v>
                </c:pt>
                <c:pt idx="3">
                  <c:v>0.509903</c:v>
                </c:pt>
                <c:pt idx="4">
                  <c:v>0.45900200000000002</c:v>
                </c:pt>
                <c:pt idx="5">
                  <c:v>8.2427760000000003E-2</c:v>
                </c:pt>
                <c:pt idx="6">
                  <c:v>0.570627</c:v>
                </c:pt>
                <c:pt idx="7">
                  <c:v>8.9157239999999985E-2</c:v>
                </c:pt>
                <c:pt idx="8">
                  <c:v>0.67019649999999997</c:v>
                </c:pt>
                <c:pt idx="9">
                  <c:v>5.5677239999999996E-2</c:v>
                </c:pt>
                <c:pt idx="10">
                  <c:v>0.49695450000000002</c:v>
                </c:pt>
                <c:pt idx="11">
                  <c:v>5.7418199999999996E-2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BD-4B99-A797-7E69E9FA7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Carbon calibration</a:t>
            </a:r>
          </a:p>
        </c:rich>
      </c:tx>
      <c:layout>
        <c:manualLayout>
          <c:xMode val="edge"/>
          <c:yMode val="edge"/>
          <c:x val="0.532180293247275"/>
          <c:y val="1.59684498362220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63361858130713"/>
          <c:y val="6.7726754670473538E-2"/>
          <c:w val="0.70737007922308892"/>
          <c:h val="0.72816131253172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10253974849537283"/>
                  <c:y val="-5.482976089158986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('Run 1'!$D$15,'Run 1'!$D$17:$D$18)</c:f>
              <c:numCache>
                <c:formatCode>0.00</c:formatCode>
                <c:ptCount val="3"/>
              </c:numCache>
            </c:numRef>
          </c:xVal>
          <c:yVal>
            <c:numRef>
              <c:f>('Run 1'!$C$15,'Run 1'!$C$17:$C$18)</c:f>
              <c:numCache>
                <c:formatCode>General</c:formatCode>
                <c:ptCount val="3"/>
                <c:pt idx="0">
                  <c:v>-18.3</c:v>
                </c:pt>
                <c:pt idx="1">
                  <c:v>-10.8</c:v>
                </c:pt>
                <c:pt idx="2">
                  <c:v>-24.91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27-4F62-8D71-A504EEBD0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09256"/>
        <c:axId val="236110040"/>
      </c:scatterChart>
      <c:valAx>
        <c:axId val="2361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observed 13C</a:t>
                </a:r>
              </a:p>
            </c:rich>
          </c:tx>
          <c:layout>
            <c:manualLayout>
              <c:xMode val="edge"/>
              <c:yMode val="edge"/>
              <c:x val="0.3834342485508318"/>
              <c:y val="0.9006205707629215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040"/>
        <c:crossesAt val="-30"/>
        <c:crossBetween val="midCat"/>
      </c:valAx>
      <c:valAx>
        <c:axId val="236110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d13C</a:t>
                </a:r>
              </a:p>
            </c:rich>
          </c:tx>
          <c:layout>
            <c:manualLayout>
              <c:xMode val="edge"/>
              <c:yMode val="edge"/>
              <c:x val="1.6527338299604882E-2"/>
              <c:y val="0.274657337183018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09256"/>
        <c:crossesAt val="-40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%C calibration</a:t>
            </a:r>
          </a:p>
        </c:rich>
      </c:tx>
      <c:layout>
        <c:manualLayout>
          <c:xMode val="edge"/>
          <c:yMode val="edge"/>
          <c:x val="0.38643060734645129"/>
          <c:y val="3.8141536638700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66205906304943"/>
          <c:y val="0.16660721449119567"/>
          <c:w val="0.83713035556410165"/>
          <c:h val="0.712269555618357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8705069743050746"/>
                  <c:y val="0.14038545547499007"/>
                </c:manualLayout>
              </c:layout>
              <c:numFmt formatCode="#,##0.000000" sourceLinked="0"/>
            </c:trendlineLbl>
          </c:trendline>
          <c:xVal>
            <c:numRef>
              <c:f>'Run 1'!$F$86:$F$97</c:f>
              <c:numCache>
                <c:formatCode>0.00</c:formatCode>
                <c:ptCount val="12"/>
                <c:pt idx="0">
                  <c:v>9.38246</c:v>
                </c:pt>
                <c:pt idx="1">
                  <c:v>11.394083</c:v>
                </c:pt>
                <c:pt idx="2">
                  <c:v>10.426011000000001</c:v>
                </c:pt>
                <c:pt idx="3">
                  <c:v>6.9432345</c:v>
                </c:pt>
                <c:pt idx="4">
                  <c:v>8.4723819999999996</c:v>
                </c:pt>
                <c:pt idx="5">
                  <c:v>1.5864233750000001</c:v>
                </c:pt>
                <c:pt idx="6">
                  <c:v>5.3125855</c:v>
                </c:pt>
                <c:pt idx="7">
                  <c:v>1.1253442499999999</c:v>
                </c:pt>
                <c:pt idx="8">
                  <c:v>11.200150000000001</c:v>
                </c:pt>
                <c:pt idx="9">
                  <c:v>1.4289728749999999</c:v>
                </c:pt>
                <c:pt idx="10">
                  <c:v>12.889695</c:v>
                </c:pt>
                <c:pt idx="11">
                  <c:v>1.2695743749999999</c:v>
                </c:pt>
              </c:numCache>
            </c:numRef>
          </c:xVal>
          <c:yVal>
            <c:numRef>
              <c:f>'Run 1'!$M$86:$M$97</c:f>
              <c:numCache>
                <c:formatCode>0.00</c:formatCode>
                <c:ptCount val="12"/>
                <c:pt idx="0">
                  <c:v>0.61795599999999995</c:v>
                </c:pt>
                <c:pt idx="1">
                  <c:v>0.76351499999999994</c:v>
                </c:pt>
                <c:pt idx="2">
                  <c:v>0.69341449999999993</c:v>
                </c:pt>
                <c:pt idx="3">
                  <c:v>0.45632300000000003</c:v>
                </c:pt>
                <c:pt idx="4">
                  <c:v>0.55991100000000005</c:v>
                </c:pt>
                <c:pt idx="5">
                  <c:v>0.10767167999999999</c:v>
                </c:pt>
                <c:pt idx="6">
                  <c:v>0.34559100000000004</c:v>
                </c:pt>
                <c:pt idx="7">
                  <c:v>7.934759999999999E-2</c:v>
                </c:pt>
                <c:pt idx="8">
                  <c:v>0.74252950000000006</c:v>
                </c:pt>
                <c:pt idx="9">
                  <c:v>9.7661159999999983E-2</c:v>
                </c:pt>
                <c:pt idx="10">
                  <c:v>0.85460099999999994</c:v>
                </c:pt>
                <c:pt idx="11">
                  <c:v>8.8487639999999979E-2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39-498C-AB65-937492C56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110432"/>
        <c:axId val="236112000"/>
      </c:scatterChart>
      <c:valAx>
        <c:axId val="2361104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2000"/>
        <c:crosses val="autoZero"/>
        <c:crossBetween val="midCat"/>
      </c:valAx>
      <c:valAx>
        <c:axId val="23611200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1104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609600</xdr:colOff>
      <xdr:row>4</xdr:row>
      <xdr:rowOff>123825</xdr:rowOff>
    </xdr:to>
    <xdr:pic>
      <xdr:nvPicPr>
        <xdr:cNvPr id="2" name="Picture 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8575"/>
          <a:ext cx="609600" cy="109537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226919</xdr:colOff>
      <xdr:row>0</xdr:row>
      <xdr:rowOff>130548</xdr:rowOff>
    </xdr:from>
    <xdr:to>
      <xdr:col>14</xdr:col>
      <xdr:colOff>683559</xdr:colOff>
      <xdr:row>15</xdr:row>
      <xdr:rowOff>0</xdr:rowOff>
    </xdr:to>
    <xdr:graphicFrame macro="">
      <xdr:nvGraphicFramePr>
        <xdr:cNvPr id="3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753596</xdr:colOff>
      <xdr:row>11</xdr:row>
      <xdr:rowOff>89647</xdr:rowOff>
    </xdr:from>
    <xdr:to>
      <xdr:col>15</xdr:col>
      <xdr:colOff>112059</xdr:colOff>
      <xdr:row>29</xdr:row>
      <xdr:rowOff>88526</xdr:rowOff>
    </xdr:to>
    <xdr:graphicFrame macro="">
      <xdr:nvGraphicFramePr>
        <xdr:cNvPr id="4" name="Chart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onVantage%20Projects\EA%20ChromeHD.PRO\Data\blank%205o2-1.raw\Results%20for%20CO2%20by%20CF%20(uncalibrated)(Fn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onVantage%20Projects\EA%20ChromeHD.PRO\Data\Peach-1.raw\Results%20for%20N2%20by%20CF%20(uncalibrated)(Fn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C Batch report"/>
      <sheetName val="Printout"/>
      <sheetName val="Batch report"/>
      <sheetName val="APC (N) Batch report"/>
      <sheetName val="Default Batch report"/>
      <sheetName val="Experiment"/>
      <sheetName val="LIMS"/>
      <sheetName val="Analog Data"/>
      <sheetName val="Batch log"/>
      <sheetName val="Calculation"/>
      <sheetName val="Printout APC"/>
      <sheetName val="Printout APC (N)"/>
      <sheetName val="default"/>
      <sheetName val="Printout G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C Batch report"/>
      <sheetName val="Printout"/>
      <sheetName val="Batch report"/>
      <sheetName val="APC (N) Batch report"/>
      <sheetName val="Default Batch report"/>
      <sheetName val="Experiment"/>
      <sheetName val="LIMS"/>
      <sheetName val="Analog Data"/>
      <sheetName val="Batch log"/>
      <sheetName val="Calculation"/>
      <sheetName val="Printout APC"/>
      <sheetName val="Printout APC (N)"/>
      <sheetName val="default"/>
      <sheetName val="Printout G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203"/>
  <sheetViews>
    <sheetView zoomScale="85" zoomScaleNormal="85" workbookViewId="0">
      <selection activeCell="F38" sqref="F38"/>
    </sheetView>
  </sheetViews>
  <sheetFormatPr defaultColWidth="9.140625" defaultRowHeight="11.25" customHeight="1" x14ac:dyDescent="0.25"/>
  <cols>
    <col min="1" max="1" width="12" style="1" customWidth="1"/>
    <col min="2" max="2" width="25.28515625" style="101" customWidth="1"/>
    <col min="3" max="3" width="10.85546875" style="1" customWidth="1"/>
    <col min="4" max="4" width="8.28515625" style="1" customWidth="1"/>
    <col min="5" max="5" width="14" style="1" bestFit="1" customWidth="1"/>
    <col min="6" max="6" width="10.7109375" style="1" customWidth="1"/>
    <col min="7" max="7" width="11.42578125" style="1" bestFit="1" customWidth="1"/>
    <col min="8" max="8" width="9" style="1" customWidth="1"/>
    <col min="9" max="9" width="9.5703125" style="1" customWidth="1"/>
    <col min="10" max="10" width="11.42578125" style="10" customWidth="1"/>
    <col min="11" max="12" width="9.42578125" style="10" customWidth="1"/>
    <col min="13" max="14" width="10" style="7" customWidth="1"/>
    <col min="15" max="15" width="13" style="7" customWidth="1"/>
    <col min="16" max="16" width="9.140625" style="7"/>
    <col min="17" max="17" width="9.5703125" style="7" bestFit="1" customWidth="1"/>
    <col min="18" max="18" width="9.140625" style="1"/>
    <col min="19" max="19" width="9.5703125" style="1" bestFit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3"/>
      <c r="D2" s="3"/>
      <c r="E2" s="3"/>
      <c r="F2" s="3"/>
      <c r="G2" s="4"/>
      <c r="H2" s="4"/>
      <c r="I2" s="4"/>
      <c r="J2" s="5"/>
      <c r="K2" s="5"/>
      <c r="L2" s="6"/>
      <c r="M2" s="7"/>
      <c r="N2" s="7"/>
      <c r="O2" s="7"/>
      <c r="P2" s="7"/>
      <c r="Q2" s="7"/>
    </row>
    <row r="3" spans="1:19" s="1" customFormat="1" ht="11.25" customHeight="1" x14ac:dyDescent="0.2">
      <c r="B3" s="8" t="s">
        <v>1</v>
      </c>
      <c r="C3" s="9"/>
      <c r="D3" s="9"/>
      <c r="E3" s="9"/>
      <c r="F3" s="9"/>
      <c r="G3" s="133">
        <v>44638</v>
      </c>
      <c r="J3" s="10"/>
      <c r="K3" s="10"/>
      <c r="L3" s="10"/>
      <c r="M3" s="7"/>
      <c r="N3" s="7"/>
      <c r="O3" s="7"/>
      <c r="P3" s="7"/>
      <c r="Q3" s="7"/>
    </row>
    <row r="4" spans="1:19" s="1" customFormat="1" ht="11.25" customHeight="1" x14ac:dyDescent="0.2">
      <c r="B4" s="8" t="s">
        <v>2</v>
      </c>
      <c r="C4" s="9"/>
      <c r="D4" s="9"/>
      <c r="E4" s="9"/>
      <c r="F4" s="9"/>
      <c r="G4" s="1" t="s">
        <v>3</v>
      </c>
      <c r="J4" s="10"/>
      <c r="K4" s="10"/>
      <c r="L4" s="10"/>
      <c r="M4" s="7"/>
      <c r="N4" s="7"/>
      <c r="O4" s="7"/>
      <c r="P4" s="7"/>
      <c r="Q4" s="7"/>
    </row>
    <row r="5" spans="1:19" s="1" customFormat="1" ht="11.25" customHeight="1" x14ac:dyDescent="0.25">
      <c r="B5" s="8" t="s">
        <v>4</v>
      </c>
      <c r="C5" s="9"/>
      <c r="D5" s="9"/>
      <c r="E5" s="9"/>
      <c r="F5" s="9"/>
      <c r="G5" s="134" t="s">
        <v>247</v>
      </c>
      <c r="J5" s="10"/>
      <c r="K5" s="10"/>
      <c r="L5" s="10"/>
      <c r="M5" s="11"/>
      <c r="N5" s="11"/>
      <c r="O5" s="7"/>
      <c r="P5" s="7"/>
      <c r="Q5" s="7"/>
    </row>
    <row r="6" spans="1:19" s="1" customFormat="1" ht="11.25" customHeight="1" x14ac:dyDescent="0.2">
      <c r="B6" s="8" t="s">
        <v>5</v>
      </c>
      <c r="C6" s="9"/>
      <c r="D6" s="9"/>
      <c r="E6" s="9"/>
      <c r="F6" s="9"/>
      <c r="G6" s="1" t="s">
        <v>6</v>
      </c>
      <c r="J6" s="10"/>
      <c r="K6" s="10"/>
      <c r="L6" s="10"/>
      <c r="M6" s="7"/>
      <c r="N6" s="7"/>
      <c r="O6" s="7"/>
      <c r="P6" s="7"/>
      <c r="Q6" s="7"/>
      <c r="S6" s="12"/>
    </row>
    <row r="7" spans="1:19" s="1" customFormat="1" ht="11.25" customHeight="1" x14ac:dyDescent="0.2">
      <c r="B7" s="8" t="s">
        <v>7</v>
      </c>
      <c r="C7" s="9"/>
      <c r="D7" s="9"/>
      <c r="E7" s="9"/>
      <c r="F7" s="9"/>
      <c r="G7" s="9" t="s">
        <v>53</v>
      </c>
      <c r="J7" s="10"/>
      <c r="K7" s="10"/>
      <c r="L7" s="10"/>
      <c r="M7" s="7"/>
      <c r="N7" s="7"/>
      <c r="O7" s="7"/>
      <c r="P7" s="7"/>
      <c r="Q7" s="7"/>
    </row>
    <row r="8" spans="1:19" s="1" customFormat="1" ht="11.25" customHeight="1" x14ac:dyDescent="0.2">
      <c r="B8" s="8" t="s">
        <v>8</v>
      </c>
      <c r="C8" s="9"/>
      <c r="D8" s="9"/>
      <c r="E8" s="9"/>
      <c r="F8" s="9"/>
      <c r="G8" s="9" t="s">
        <v>9</v>
      </c>
      <c r="J8" s="10"/>
      <c r="K8" s="13"/>
      <c r="L8" s="7"/>
      <c r="M8" s="14"/>
      <c r="N8" s="15"/>
      <c r="O8" s="7"/>
      <c r="P8" s="7"/>
      <c r="Q8" s="7"/>
    </row>
    <row r="9" spans="1:19" s="1" customFormat="1" ht="11.25" customHeight="1" x14ac:dyDescent="0.25">
      <c r="A9" s="16" t="s">
        <v>10</v>
      </c>
      <c r="B9" s="17"/>
      <c r="C9" s="18" t="s">
        <v>11</v>
      </c>
      <c r="D9" s="19"/>
      <c r="E9" s="18" t="s">
        <v>12</v>
      </c>
      <c r="F9" s="20"/>
      <c r="G9" s="21" t="s">
        <v>13</v>
      </c>
      <c r="H9" s="22" t="s">
        <v>14</v>
      </c>
      <c r="I9" s="23" t="s">
        <v>14</v>
      </c>
      <c r="J9" s="24" t="s">
        <v>14</v>
      </c>
      <c r="K9" s="25"/>
      <c r="L9" s="7"/>
      <c r="M9" s="14"/>
      <c r="N9" s="15"/>
    </row>
    <row r="10" spans="1:19" s="1" customFormat="1" ht="11.25" customHeight="1" x14ac:dyDescent="0.25">
      <c r="A10" s="26"/>
      <c r="B10" s="27"/>
      <c r="C10" s="28" t="s">
        <v>14</v>
      </c>
      <c r="D10" s="29" t="s">
        <v>15</v>
      </c>
      <c r="E10" s="28" t="s">
        <v>14</v>
      </c>
      <c r="F10" s="30" t="s">
        <v>15</v>
      </c>
      <c r="G10" s="31" t="s">
        <v>16</v>
      </c>
      <c r="H10" s="31" t="s">
        <v>17</v>
      </c>
      <c r="I10" s="32" t="s">
        <v>18</v>
      </c>
      <c r="J10" s="33" t="s">
        <v>19</v>
      </c>
      <c r="K10" s="25"/>
      <c r="L10" s="7"/>
      <c r="M10" s="14"/>
      <c r="N10" s="15"/>
    </row>
    <row r="11" spans="1:19" s="1" customFormat="1" ht="11.25" customHeight="1" x14ac:dyDescent="0.25">
      <c r="A11" s="34"/>
      <c r="B11" s="35" t="s">
        <v>20</v>
      </c>
      <c r="C11" s="36">
        <v>-26.6</v>
      </c>
      <c r="D11" s="37"/>
      <c r="E11" s="38">
        <v>-21.3</v>
      </c>
      <c r="F11" s="39"/>
      <c r="G11" s="40"/>
      <c r="H11" s="41">
        <v>72.53</v>
      </c>
      <c r="I11" s="41">
        <v>6.51</v>
      </c>
      <c r="J11" s="42">
        <f>H11/I11</f>
        <v>11.141321044546851</v>
      </c>
      <c r="K11" s="25"/>
      <c r="L11" s="7"/>
      <c r="M11" s="14"/>
      <c r="N11" s="15"/>
    </row>
    <row r="12" spans="1:19" s="1" customFormat="1" ht="11.25" customHeight="1" x14ac:dyDescent="0.25">
      <c r="A12" s="43"/>
      <c r="B12" s="44" t="s">
        <v>21</v>
      </c>
      <c r="C12" s="45"/>
      <c r="D12" s="46"/>
      <c r="E12" s="47"/>
      <c r="F12" s="48"/>
      <c r="G12" s="40"/>
      <c r="H12" s="49">
        <v>20</v>
      </c>
      <c r="I12" s="49">
        <v>46.65</v>
      </c>
      <c r="J12" s="50">
        <f>H12/I12</f>
        <v>0.4287245444801715</v>
      </c>
      <c r="K12" s="10"/>
      <c r="L12" s="10"/>
    </row>
    <row r="13" spans="1:19" s="1" customFormat="1" ht="11.25" customHeight="1" x14ac:dyDescent="0.25">
      <c r="A13" s="43"/>
      <c r="B13" s="44">
        <v>2704</v>
      </c>
      <c r="C13" s="45"/>
      <c r="D13" s="46"/>
      <c r="E13" s="47"/>
      <c r="F13" s="48"/>
      <c r="G13" s="51"/>
      <c r="H13" s="49">
        <v>3.3479999999999999</v>
      </c>
      <c r="I13" s="49"/>
      <c r="J13" s="50"/>
      <c r="K13" s="10"/>
      <c r="L13" s="10"/>
    </row>
    <row r="14" spans="1:19" s="1" customFormat="1" ht="11.25" customHeight="1" x14ac:dyDescent="0.25">
      <c r="A14" s="43"/>
      <c r="B14" s="44" t="s">
        <v>22</v>
      </c>
      <c r="C14" s="52">
        <v>-25.95</v>
      </c>
      <c r="D14" s="53">
        <f>AVERAGE(G33:G37,G42)</f>
        <v>-21.748484990033692</v>
      </c>
      <c r="E14" s="54">
        <v>2.08</v>
      </c>
      <c r="F14" s="55"/>
      <c r="G14" s="51"/>
      <c r="H14" s="49">
        <v>44.65</v>
      </c>
      <c r="I14" s="49">
        <v>2.83</v>
      </c>
      <c r="J14" s="50">
        <f>H14/I14</f>
        <v>15.777385159010599</v>
      </c>
      <c r="K14" s="10"/>
      <c r="L14" s="10"/>
    </row>
    <row r="15" spans="1:19" s="1" customFormat="1" ht="11.25" customHeight="1" x14ac:dyDescent="0.25">
      <c r="A15" s="43"/>
      <c r="B15" s="44" t="s">
        <v>23</v>
      </c>
      <c r="C15" s="56">
        <v>-18.3</v>
      </c>
      <c r="D15" s="57"/>
      <c r="E15" s="54"/>
      <c r="F15" s="58"/>
      <c r="G15" s="59"/>
      <c r="H15" s="60"/>
      <c r="I15" s="60"/>
      <c r="J15" s="59"/>
      <c r="K15" s="10"/>
      <c r="L15" s="10"/>
    </row>
    <row r="16" spans="1:19" s="1" customFormat="1" ht="11.25" customHeight="1" x14ac:dyDescent="0.25">
      <c r="A16" s="43"/>
      <c r="B16" s="44" t="s">
        <v>24</v>
      </c>
      <c r="C16" s="52">
        <v>-25.49</v>
      </c>
      <c r="D16" s="57"/>
      <c r="E16" s="61"/>
      <c r="F16" s="62"/>
      <c r="G16" s="59"/>
      <c r="H16" s="60"/>
      <c r="I16" s="60"/>
      <c r="J16" s="59"/>
      <c r="K16" s="10"/>
      <c r="L16" s="10"/>
    </row>
    <row r="17" spans="1:20" s="1" customFormat="1" ht="11.25" customHeight="1" x14ac:dyDescent="0.25">
      <c r="A17" s="43"/>
      <c r="B17" s="44" t="s">
        <v>25</v>
      </c>
      <c r="C17" s="45">
        <v>-10.8</v>
      </c>
      <c r="D17" s="57"/>
      <c r="E17" s="61"/>
      <c r="F17" s="62"/>
      <c r="G17" s="59"/>
      <c r="H17" s="60"/>
      <c r="I17" s="60"/>
      <c r="J17" s="59"/>
      <c r="K17" s="10"/>
      <c r="L17" s="10"/>
    </row>
    <row r="18" spans="1:20" s="1" customFormat="1" ht="11.25" customHeight="1" x14ac:dyDescent="0.25">
      <c r="A18" s="43"/>
      <c r="B18" s="44" t="s">
        <v>26</v>
      </c>
      <c r="C18" s="45">
        <v>-24.91</v>
      </c>
      <c r="D18" s="57"/>
      <c r="E18" s="61"/>
      <c r="F18" s="62"/>
      <c r="G18" s="59"/>
      <c r="H18" s="60"/>
      <c r="I18" s="60"/>
      <c r="J18" s="59"/>
      <c r="K18" s="10"/>
      <c r="L18" s="10"/>
    </row>
    <row r="19" spans="1:20" s="1" customFormat="1" ht="11.25" customHeight="1" x14ac:dyDescent="0.25">
      <c r="A19" s="43"/>
      <c r="B19" s="6" t="s">
        <v>27</v>
      </c>
      <c r="C19" s="45"/>
      <c r="D19" s="57"/>
      <c r="E19" s="63">
        <v>2.7</v>
      </c>
      <c r="F19" s="62"/>
      <c r="G19" s="59"/>
      <c r="H19" s="60"/>
      <c r="I19" s="60"/>
      <c r="J19" s="59"/>
      <c r="K19" s="10"/>
      <c r="L19" s="10"/>
    </row>
    <row r="20" spans="1:20" s="1" customFormat="1" ht="11.25" customHeight="1" x14ac:dyDescent="0.25">
      <c r="A20" s="43"/>
      <c r="B20" s="6" t="s">
        <v>28</v>
      </c>
      <c r="C20" s="45"/>
      <c r="D20" s="57"/>
      <c r="E20" s="63">
        <v>180</v>
      </c>
      <c r="F20" s="62"/>
      <c r="G20" s="59"/>
      <c r="H20" s="60"/>
      <c r="I20" s="60"/>
      <c r="J20" s="59"/>
      <c r="K20" s="10"/>
      <c r="L20" s="10"/>
    </row>
    <row r="21" spans="1:20" s="1" customFormat="1" ht="11.25" customHeight="1" x14ac:dyDescent="0.25">
      <c r="A21" s="43"/>
      <c r="B21" s="6" t="s">
        <v>29</v>
      </c>
      <c r="C21" s="45"/>
      <c r="D21" s="57"/>
      <c r="E21" s="63">
        <v>-1.8</v>
      </c>
      <c r="F21" s="62"/>
      <c r="G21" s="59"/>
      <c r="H21" s="60"/>
      <c r="I21" s="60"/>
      <c r="J21" s="59"/>
      <c r="K21" s="10"/>
      <c r="L21" s="10"/>
    </row>
    <row r="22" spans="1:20" s="1" customFormat="1" ht="11.25" customHeight="1" x14ac:dyDescent="0.25">
      <c r="A22" s="43"/>
      <c r="B22" s="44" t="s">
        <v>30</v>
      </c>
      <c r="C22" s="64"/>
      <c r="D22" s="65"/>
      <c r="E22" s="66">
        <v>0.4</v>
      </c>
      <c r="F22" s="55" t="e">
        <f>AVERAGE(E40,E70)</f>
        <v>#DIV/0!</v>
      </c>
      <c r="G22" s="59"/>
      <c r="H22" s="67"/>
      <c r="I22" s="67"/>
      <c r="J22" s="59"/>
      <c r="K22" s="10"/>
      <c r="L22" s="10"/>
    </row>
    <row r="23" spans="1:20" s="1" customFormat="1" ht="11.25" customHeight="1" x14ac:dyDescent="0.25">
      <c r="A23" s="43"/>
      <c r="B23" s="44" t="s">
        <v>31</v>
      </c>
      <c r="C23" s="68"/>
      <c r="D23" s="65"/>
      <c r="E23" s="66">
        <v>20.3</v>
      </c>
      <c r="F23" s="55" t="e">
        <f>AVERAGE(E41,E71)</f>
        <v>#DIV/0!</v>
      </c>
      <c r="G23" s="59"/>
      <c r="H23" s="67"/>
      <c r="I23" s="67"/>
      <c r="J23" s="59"/>
      <c r="K23" s="69"/>
      <c r="L23" s="69"/>
      <c r="M23" s="7"/>
      <c r="N23" s="7"/>
      <c r="O23" s="7"/>
      <c r="P23" s="7"/>
      <c r="Q23" s="7"/>
    </row>
    <row r="24" spans="1:20" s="1" customFormat="1" ht="11.25" customHeight="1" x14ac:dyDescent="0.25">
      <c r="A24" s="43"/>
      <c r="B24" s="44" t="s">
        <v>32</v>
      </c>
      <c r="C24" s="70"/>
      <c r="D24" s="57"/>
      <c r="E24" s="58">
        <v>4.7</v>
      </c>
      <c r="F24" s="55"/>
      <c r="G24" s="59"/>
      <c r="H24" s="67"/>
      <c r="I24" s="67"/>
      <c r="J24" s="59"/>
      <c r="K24" s="69"/>
      <c r="L24" s="69"/>
      <c r="M24" s="7"/>
      <c r="N24" s="7"/>
      <c r="O24" s="7"/>
      <c r="P24" s="7"/>
      <c r="Q24" s="7"/>
    </row>
    <row r="25" spans="1:20" customFormat="1" ht="11.25" customHeight="1" x14ac:dyDescent="0.25">
      <c r="A25" s="34"/>
      <c r="B25" s="71" t="s">
        <v>33</v>
      </c>
      <c r="C25" s="72"/>
      <c r="D25" s="71" t="s">
        <v>34</v>
      </c>
      <c r="E25" s="71"/>
      <c r="F25" s="72"/>
      <c r="G25" s="73"/>
      <c r="H25" s="72"/>
      <c r="I25" s="72"/>
      <c r="J25" s="74"/>
      <c r="K25" s="58"/>
      <c r="L25" s="58"/>
      <c r="O25" s="67"/>
      <c r="P25" s="67"/>
      <c r="Q25" s="67"/>
      <c r="R25" s="67"/>
    </row>
    <row r="26" spans="1:20" customFormat="1" ht="11.25" customHeight="1" x14ac:dyDescent="0.25">
      <c r="A26" s="75" t="s">
        <v>35</v>
      </c>
      <c r="B26" s="58">
        <v>1</v>
      </c>
      <c r="C26" s="76" t="s">
        <v>52</v>
      </c>
      <c r="D26" s="55">
        <f>C14-D14</f>
        <v>-4.2015150099663074</v>
      </c>
      <c r="E26" s="58"/>
      <c r="F26" s="58"/>
      <c r="G26" s="64" t="s">
        <v>235</v>
      </c>
      <c r="H26" s="58">
        <v>6.0444000000000004</v>
      </c>
      <c r="I26" s="58"/>
      <c r="J26" s="77"/>
      <c r="K26" s="58"/>
      <c r="L26" s="58"/>
      <c r="O26" s="67"/>
      <c r="P26" s="67"/>
      <c r="Q26" s="67"/>
      <c r="R26" s="67"/>
    </row>
    <row r="27" spans="1:20" customFormat="1" ht="11.25" customHeight="1" x14ac:dyDescent="0.25">
      <c r="A27" s="75" t="s">
        <v>37</v>
      </c>
      <c r="B27" s="58"/>
      <c r="C27" s="76"/>
      <c r="D27" s="78"/>
      <c r="E27" s="58"/>
      <c r="F27" s="58"/>
      <c r="G27" s="64"/>
      <c r="H27" s="58"/>
      <c r="I27" s="58"/>
      <c r="J27" s="77"/>
      <c r="K27" s="58"/>
      <c r="L27" s="58"/>
      <c r="O27" s="67"/>
      <c r="P27" s="67"/>
      <c r="Q27" s="67"/>
      <c r="R27" s="67"/>
    </row>
    <row r="28" spans="1:20" customFormat="1" ht="11.25" customHeight="1" x14ac:dyDescent="0.25">
      <c r="A28" s="79" t="s">
        <v>38</v>
      </c>
      <c r="B28" s="58">
        <v>6.6267999999999994E-2</v>
      </c>
      <c r="C28" s="76" t="s">
        <v>36</v>
      </c>
      <c r="D28" s="78">
        <v>0</v>
      </c>
      <c r="E28" s="54"/>
      <c r="F28" s="58"/>
      <c r="G28" s="64"/>
      <c r="H28" s="58"/>
      <c r="I28" s="58"/>
      <c r="J28" s="77"/>
      <c r="K28" s="58"/>
      <c r="L28" s="58"/>
      <c r="O28" s="67"/>
      <c r="P28" s="67"/>
      <c r="Q28" s="67"/>
      <c r="R28" s="67"/>
    </row>
    <row r="29" spans="1:20" customFormat="1" ht="11.25" customHeight="1" x14ac:dyDescent="0.25">
      <c r="A29" s="79" t="s">
        <v>39</v>
      </c>
      <c r="B29" s="58"/>
      <c r="C29" s="54"/>
      <c r="D29" s="80"/>
      <c r="E29" s="80"/>
      <c r="F29" s="80"/>
      <c r="G29" s="81"/>
      <c r="H29" s="80"/>
      <c r="I29" s="80"/>
      <c r="J29" s="82"/>
      <c r="K29" s="58"/>
      <c r="L29" s="58"/>
      <c r="O29" s="67"/>
      <c r="P29" s="67"/>
      <c r="Q29" s="83"/>
      <c r="R29" s="67"/>
    </row>
    <row r="30" spans="1:20" s="1" customFormat="1" ht="11.25" customHeight="1" x14ac:dyDescent="0.2">
      <c r="A30" s="84"/>
      <c r="B30" s="85"/>
      <c r="C30" s="54"/>
      <c r="D30" s="54"/>
      <c r="E30" s="54"/>
      <c r="F30" s="54"/>
      <c r="G30" s="86"/>
      <c r="H30" s="54"/>
      <c r="I30" s="61"/>
      <c r="J30" s="44"/>
      <c r="K30" s="69"/>
      <c r="L30" s="69"/>
      <c r="M30" s="7"/>
      <c r="N30" s="7"/>
      <c r="O30" s="7"/>
      <c r="P30" s="7"/>
      <c r="Q30" s="7"/>
    </row>
    <row r="31" spans="1:20" s="1" customFormat="1" ht="12" customHeight="1" x14ac:dyDescent="0.2">
      <c r="A31" s="87"/>
      <c r="B31" s="88"/>
      <c r="C31" s="87"/>
      <c r="D31" s="87"/>
      <c r="E31" s="87"/>
      <c r="F31" s="87"/>
      <c r="G31" s="87"/>
      <c r="H31" s="87"/>
      <c r="I31" s="89"/>
      <c r="J31" s="90"/>
      <c r="K31" s="7"/>
      <c r="L31" s="7"/>
      <c r="M31" s="7"/>
      <c r="N31" s="7"/>
      <c r="O31" s="7"/>
      <c r="P31" s="7"/>
    </row>
    <row r="32" spans="1:20" s="1" customFormat="1" ht="11.25" customHeight="1" x14ac:dyDescent="0.2">
      <c r="A32" s="92"/>
      <c r="B32" s="91" t="s">
        <v>40</v>
      </c>
      <c r="C32" s="92" t="s">
        <v>54</v>
      </c>
      <c r="D32" s="92" t="s">
        <v>234</v>
      </c>
      <c r="E32" s="92" t="s">
        <v>41</v>
      </c>
      <c r="F32" s="92" t="s">
        <v>69</v>
      </c>
      <c r="G32" s="121" t="s">
        <v>42</v>
      </c>
      <c r="H32" s="93" t="s">
        <v>43</v>
      </c>
      <c r="I32" s="94" t="s">
        <v>44</v>
      </c>
      <c r="J32" s="94" t="s">
        <v>45</v>
      </c>
      <c r="K32" s="94" t="s">
        <v>46</v>
      </c>
      <c r="L32" s="94" t="s">
        <v>47</v>
      </c>
      <c r="M32" s="94" t="s">
        <v>38</v>
      </c>
      <c r="N32" s="94" t="s">
        <v>38</v>
      </c>
      <c r="O32" s="94" t="s">
        <v>48</v>
      </c>
      <c r="P32" s="94" t="s">
        <v>49</v>
      </c>
      <c r="Q32" s="94" t="s">
        <v>39</v>
      </c>
      <c r="R32" s="94" t="s">
        <v>39</v>
      </c>
      <c r="S32" s="94" t="s">
        <v>50</v>
      </c>
      <c r="T32" s="94" t="s">
        <v>51</v>
      </c>
    </row>
    <row r="33" spans="1:20" s="109" customFormat="1" ht="11.25" customHeight="1" x14ac:dyDescent="0.2">
      <c r="A33" s="102">
        <v>25</v>
      </c>
      <c r="B33" s="102" t="s">
        <v>55</v>
      </c>
      <c r="C33" s="114">
        <v>0.77</v>
      </c>
      <c r="D33" s="137"/>
      <c r="E33" s="1"/>
      <c r="F33" s="103">
        <v>5.2633010000000002</v>
      </c>
      <c r="G33" s="114">
        <v>-21.82017777940959</v>
      </c>
      <c r="H33" s="122">
        <f>$B$26*G33+$D$26</f>
        <v>-26.021692789375898</v>
      </c>
      <c r="I33" s="105">
        <f t="shared" ref="I33:I80" si="0">$B$27*E33+$D$27</f>
        <v>0</v>
      </c>
      <c r="J33" s="106">
        <f t="shared" ref="J33:J80" si="1">(F33)/C33</f>
        <v>6.8354558441558444</v>
      </c>
      <c r="K33" s="106">
        <f>H$14</f>
        <v>44.65</v>
      </c>
      <c r="L33" s="106">
        <f>I$14</f>
        <v>2.83</v>
      </c>
      <c r="M33" s="106">
        <f t="shared" ref="M33:M38" si="2">C33*(K33/100)</f>
        <v>0.34380500000000003</v>
      </c>
      <c r="N33" s="169">
        <f t="shared" ref="N33:N80" si="3">F33*$B$28+$D$28</f>
        <v>0.34878843066799997</v>
      </c>
      <c r="O33" s="110">
        <f t="shared" ref="O33:O80" si="4">N33/C33*100</f>
        <v>45.297198788051944</v>
      </c>
      <c r="P33" s="106">
        <f t="shared" ref="P33:P80" si="5">D33/C33</f>
        <v>0</v>
      </c>
      <c r="Q33" s="106">
        <f t="shared" ref="Q33:Q37" si="6">C33*(L33/100)</f>
        <v>2.1791000000000001E-2</v>
      </c>
      <c r="R33" s="107">
        <f t="shared" ref="R33:R80" si="7">D33*$B$29+$D$29</f>
        <v>0</v>
      </c>
      <c r="S33" s="108">
        <f t="shared" ref="S33:S80" si="8">R33/C33*100</f>
        <v>0</v>
      </c>
      <c r="T33" s="105" t="e">
        <f t="shared" ref="T33:T80" si="9">N33/R33</f>
        <v>#DIV/0!</v>
      </c>
    </row>
    <row r="34" spans="1:20" s="109" customFormat="1" ht="11.25" customHeight="1" x14ac:dyDescent="0.2">
      <c r="A34" s="115">
        <v>26</v>
      </c>
      <c r="B34" s="115" t="s">
        <v>56</v>
      </c>
      <c r="C34" s="116">
        <v>0.52300000000000002</v>
      </c>
      <c r="D34" s="138"/>
      <c r="E34" s="1"/>
      <c r="F34" s="116">
        <v>3.5439997499999998</v>
      </c>
      <c r="G34" s="116">
        <v>-21.763056246049743</v>
      </c>
      <c r="H34" s="122">
        <f t="shared" ref="H34:H80" si="10">$B$26*G34+$D$26</f>
        <v>-25.96457125601605</v>
      </c>
      <c r="I34" s="105">
        <f t="shared" si="0"/>
        <v>0</v>
      </c>
      <c r="J34" s="106">
        <f t="shared" si="1"/>
        <v>6.7762901529636705</v>
      </c>
      <c r="K34" s="106">
        <f t="shared" ref="K34:L37" si="11">H$14</f>
        <v>44.65</v>
      </c>
      <c r="L34" s="106">
        <f t="shared" si="11"/>
        <v>2.83</v>
      </c>
      <c r="M34" s="106">
        <f t="shared" si="2"/>
        <v>0.23351950000000002</v>
      </c>
      <c r="N34" s="169">
        <f t="shared" si="3"/>
        <v>0.23485377543299996</v>
      </c>
      <c r="O34" s="110">
        <f t="shared" si="4"/>
        <v>44.905119585659648</v>
      </c>
      <c r="P34" s="106">
        <f t="shared" si="5"/>
        <v>0</v>
      </c>
      <c r="Q34" s="106">
        <f t="shared" si="6"/>
        <v>1.4800900000000002E-2</v>
      </c>
      <c r="R34" s="107">
        <f t="shared" si="7"/>
        <v>0</v>
      </c>
      <c r="S34" s="108">
        <f t="shared" si="8"/>
        <v>0</v>
      </c>
      <c r="T34" s="105" t="e">
        <f t="shared" si="9"/>
        <v>#DIV/0!</v>
      </c>
    </row>
    <row r="35" spans="1:20" s="109" customFormat="1" ht="11.25" customHeight="1" x14ac:dyDescent="0.2">
      <c r="A35" s="102">
        <v>27</v>
      </c>
      <c r="B35" s="102" t="s">
        <v>57</v>
      </c>
      <c r="C35" s="114">
        <v>1.079</v>
      </c>
      <c r="D35" s="137"/>
      <c r="E35" s="1"/>
      <c r="F35" s="103">
        <v>7.3287880000000003</v>
      </c>
      <c r="G35" s="114">
        <v>-21.742978178753397</v>
      </c>
      <c r="H35" s="122">
        <f t="shared" si="10"/>
        <v>-25.944493188719704</v>
      </c>
      <c r="I35" s="105">
        <f t="shared" si="0"/>
        <v>0</v>
      </c>
      <c r="J35" s="106">
        <f t="shared" si="1"/>
        <v>6.7922038924930499</v>
      </c>
      <c r="K35" s="106">
        <f t="shared" si="11"/>
        <v>44.65</v>
      </c>
      <c r="L35" s="106">
        <f t="shared" si="11"/>
        <v>2.83</v>
      </c>
      <c r="M35" s="106">
        <f t="shared" si="2"/>
        <v>0.48177349999999997</v>
      </c>
      <c r="N35" s="169">
        <f t="shared" si="3"/>
        <v>0.48566412318399999</v>
      </c>
      <c r="O35" s="110">
        <f t="shared" si="4"/>
        <v>45.010576754772941</v>
      </c>
      <c r="P35" s="106">
        <f t="shared" si="5"/>
        <v>0</v>
      </c>
      <c r="Q35" s="106">
        <f t="shared" si="6"/>
        <v>3.0535700000000002E-2</v>
      </c>
      <c r="R35" s="107">
        <f t="shared" si="7"/>
        <v>0</v>
      </c>
      <c r="S35" s="108">
        <f t="shared" si="8"/>
        <v>0</v>
      </c>
      <c r="T35" s="105" t="e">
        <f t="shared" si="9"/>
        <v>#DIV/0!</v>
      </c>
    </row>
    <row r="36" spans="1:20" s="109" customFormat="1" ht="11.25" customHeight="1" x14ac:dyDescent="0.2">
      <c r="A36" s="115">
        <v>28</v>
      </c>
      <c r="B36" s="115" t="s">
        <v>58</v>
      </c>
      <c r="C36" s="116">
        <v>0.98099999999999998</v>
      </c>
      <c r="D36" s="138"/>
      <c r="E36" s="1"/>
      <c r="F36" s="116">
        <v>6.5384390000000003</v>
      </c>
      <c r="G36" s="116">
        <v>-21.675774340515396</v>
      </c>
      <c r="H36" s="122">
        <f t="shared" si="10"/>
        <v>-25.877289350481703</v>
      </c>
      <c r="I36" s="105">
        <f t="shared" si="0"/>
        <v>0</v>
      </c>
      <c r="J36" s="106">
        <f t="shared" si="1"/>
        <v>6.6650754332313973</v>
      </c>
      <c r="K36" s="106">
        <f t="shared" si="11"/>
        <v>44.65</v>
      </c>
      <c r="L36" s="106">
        <f t="shared" si="11"/>
        <v>2.83</v>
      </c>
      <c r="M36" s="106">
        <f t="shared" si="2"/>
        <v>0.43801649999999998</v>
      </c>
      <c r="N36" s="169">
        <f t="shared" si="3"/>
        <v>0.43328927565199998</v>
      </c>
      <c r="O36" s="110">
        <f t="shared" si="4"/>
        <v>44.168121880937818</v>
      </c>
      <c r="P36" s="106">
        <f t="shared" si="5"/>
        <v>0</v>
      </c>
      <c r="Q36" s="106">
        <f t="shared" si="6"/>
        <v>2.77623E-2</v>
      </c>
      <c r="R36" s="107">
        <f t="shared" si="7"/>
        <v>0</v>
      </c>
      <c r="S36" s="108">
        <f t="shared" si="8"/>
        <v>0</v>
      </c>
      <c r="T36" s="105" t="e">
        <f t="shared" si="9"/>
        <v>#DIV/0!</v>
      </c>
    </row>
    <row r="37" spans="1:20" s="109" customFormat="1" ht="11.25" customHeight="1" x14ac:dyDescent="0.2">
      <c r="A37" s="102">
        <v>29</v>
      </c>
      <c r="B37" s="102" t="s">
        <v>59</v>
      </c>
      <c r="C37" s="114">
        <v>0.89400000000000002</v>
      </c>
      <c r="D37" s="137"/>
      <c r="E37" s="1"/>
      <c r="F37" s="103">
        <v>5.9665499999999998</v>
      </c>
      <c r="G37" s="114">
        <v>-21.722636268260938</v>
      </c>
      <c r="H37" s="122">
        <f t="shared" si="10"/>
        <v>-25.924151278227246</v>
      </c>
      <c r="I37" s="105">
        <f t="shared" si="0"/>
        <v>0</v>
      </c>
      <c r="J37" s="106">
        <f t="shared" si="1"/>
        <v>6.6739932885906033</v>
      </c>
      <c r="K37" s="106">
        <f t="shared" si="11"/>
        <v>44.65</v>
      </c>
      <c r="L37" s="106">
        <f t="shared" si="11"/>
        <v>2.83</v>
      </c>
      <c r="M37" s="106">
        <f t="shared" si="2"/>
        <v>0.399171</v>
      </c>
      <c r="N37" s="169">
        <f t="shared" si="3"/>
        <v>0.39539133539999993</v>
      </c>
      <c r="O37" s="110">
        <f t="shared" si="4"/>
        <v>44.227218724832206</v>
      </c>
      <c r="P37" s="106">
        <f t="shared" si="5"/>
        <v>0</v>
      </c>
      <c r="Q37" s="106">
        <f t="shared" si="6"/>
        <v>2.5300200000000002E-2</v>
      </c>
      <c r="R37" s="107">
        <f t="shared" si="7"/>
        <v>0</v>
      </c>
      <c r="S37" s="108">
        <f t="shared" si="8"/>
        <v>0</v>
      </c>
      <c r="T37" s="105" t="e">
        <f t="shared" si="9"/>
        <v>#DIV/0!</v>
      </c>
    </row>
    <row r="38" spans="1:20" s="151" customFormat="1" ht="11.25" customHeight="1" x14ac:dyDescent="0.2">
      <c r="A38" s="115">
        <v>30</v>
      </c>
      <c r="B38" s="115" t="s">
        <v>78</v>
      </c>
      <c r="C38" s="116">
        <v>0.82699999999999996</v>
      </c>
      <c r="D38" s="138"/>
      <c r="E38" s="1"/>
      <c r="F38" s="116">
        <v>0.38153896874999998</v>
      </c>
      <c r="G38" s="116">
        <v>-15.260219560735464</v>
      </c>
      <c r="H38" s="153">
        <f t="shared" si="10"/>
        <v>-19.461734570701772</v>
      </c>
      <c r="I38" s="154">
        <f t="shared" si="0"/>
        <v>0</v>
      </c>
      <c r="J38" s="155">
        <f t="shared" si="1"/>
        <v>0.46135304564691659</v>
      </c>
      <c r="K38" s="155">
        <f>$H$13</f>
        <v>3.3479999999999999</v>
      </c>
      <c r="L38" s="155"/>
      <c r="M38" s="155">
        <f t="shared" si="2"/>
        <v>2.7687959999999994E-2</v>
      </c>
      <c r="N38" s="170">
        <f t="shared" si="3"/>
        <v>2.5283824381124996E-2</v>
      </c>
      <c r="O38" s="157">
        <f t="shared" si="4"/>
        <v>3.0572943628929865</v>
      </c>
      <c r="P38" s="155">
        <f t="shared" si="5"/>
        <v>0</v>
      </c>
      <c r="Q38" s="155"/>
      <c r="R38" s="156">
        <f t="shared" si="7"/>
        <v>0</v>
      </c>
      <c r="S38" s="158">
        <f t="shared" si="8"/>
        <v>0</v>
      </c>
      <c r="T38" s="154" t="e">
        <f t="shared" si="9"/>
        <v>#DIV/0!</v>
      </c>
    </row>
    <row r="39" spans="1:20" s="100" customFormat="1" ht="11.25" customHeight="1" x14ac:dyDescent="0.2">
      <c r="A39" s="102">
        <v>31</v>
      </c>
      <c r="B39" s="102" t="s">
        <v>244</v>
      </c>
      <c r="C39" s="114">
        <v>6.75</v>
      </c>
      <c r="D39" s="137"/>
      <c r="E39" s="1"/>
      <c r="F39" s="103">
        <v>1.763525</v>
      </c>
      <c r="G39" s="114">
        <v>-22.040726703946916</v>
      </c>
      <c r="H39" s="123">
        <f t="shared" si="10"/>
        <v>-26.242241713913224</v>
      </c>
      <c r="I39" s="95">
        <f t="shared" si="0"/>
        <v>0</v>
      </c>
      <c r="J39" s="96">
        <f t="shared" si="1"/>
        <v>0.26126296296296297</v>
      </c>
      <c r="K39" s="96"/>
      <c r="L39" s="96"/>
      <c r="M39" s="96"/>
      <c r="N39" s="171">
        <f t="shared" si="3"/>
        <v>0.11686527469999999</v>
      </c>
      <c r="O39" s="98" t="e">
        <f>N39/D39*100</f>
        <v>#DIV/0!</v>
      </c>
      <c r="P39" s="96">
        <f t="shared" si="5"/>
        <v>0</v>
      </c>
      <c r="Q39" s="96"/>
      <c r="R39" s="97">
        <f t="shared" si="7"/>
        <v>0</v>
      </c>
      <c r="S39" s="99">
        <f t="shared" si="8"/>
        <v>0</v>
      </c>
      <c r="T39" s="95" t="e">
        <f t="shared" si="9"/>
        <v>#DIV/0!</v>
      </c>
    </row>
    <row r="40" spans="1:20" s="100" customFormat="1" ht="11.25" customHeight="1" x14ac:dyDescent="0.2">
      <c r="A40" s="115">
        <v>32</v>
      </c>
      <c r="B40" s="115" t="s">
        <v>245</v>
      </c>
      <c r="C40" s="116">
        <v>6.9889999999999999</v>
      </c>
      <c r="D40" s="138"/>
      <c r="E40" s="1"/>
      <c r="F40" s="116">
        <v>2.7356002500000001</v>
      </c>
      <c r="G40" s="116">
        <v>-22.161323355926701</v>
      </c>
      <c r="H40" s="123">
        <f t="shared" si="10"/>
        <v>-26.362838365893008</v>
      </c>
      <c r="I40" s="95">
        <f t="shared" si="0"/>
        <v>0</v>
      </c>
      <c r="J40" s="96">
        <f t="shared" si="1"/>
        <v>0.3914151166118186</v>
      </c>
      <c r="K40" s="96"/>
      <c r="L40" s="96"/>
      <c r="M40" s="96"/>
      <c r="N40" s="171">
        <f t="shared" si="3"/>
        <v>0.18128275736699997</v>
      </c>
      <c r="O40" s="98" t="e">
        <f t="shared" ref="O40:O50" si="12">N40/D40*100</f>
        <v>#DIV/0!</v>
      </c>
      <c r="P40" s="96">
        <f t="shared" si="5"/>
        <v>0</v>
      </c>
      <c r="Q40" s="96"/>
      <c r="R40" s="97">
        <f t="shared" si="7"/>
        <v>0</v>
      </c>
      <c r="S40" s="99">
        <f t="shared" si="8"/>
        <v>0</v>
      </c>
      <c r="T40" s="95" t="e">
        <f t="shared" si="9"/>
        <v>#DIV/0!</v>
      </c>
    </row>
    <row r="41" spans="1:20" s="100" customFormat="1" ht="11.25" customHeight="1" x14ac:dyDescent="0.2">
      <c r="A41" s="102">
        <v>33</v>
      </c>
      <c r="B41" s="102" t="s">
        <v>246</v>
      </c>
      <c r="C41" s="114">
        <v>7.67</v>
      </c>
      <c r="D41" s="137"/>
      <c r="E41" s="1"/>
      <c r="F41" s="103">
        <v>5.6833660000000004</v>
      </c>
      <c r="G41" s="114">
        <v>-21.732541725763355</v>
      </c>
      <c r="H41" s="123">
        <f t="shared" si="10"/>
        <v>-25.934056735729662</v>
      </c>
      <c r="I41" s="95">
        <f t="shared" si="0"/>
        <v>0</v>
      </c>
      <c r="J41" s="96">
        <f t="shared" si="1"/>
        <v>0.74098644067796615</v>
      </c>
      <c r="K41" s="96"/>
      <c r="L41" s="96"/>
      <c r="M41" s="96"/>
      <c r="N41" s="171">
        <f t="shared" si="3"/>
        <v>0.37662529808799999</v>
      </c>
      <c r="O41" s="98" t="e">
        <f t="shared" si="12"/>
        <v>#DIV/0!</v>
      </c>
      <c r="P41" s="96">
        <f t="shared" si="5"/>
        <v>0</v>
      </c>
      <c r="Q41" s="96"/>
      <c r="R41" s="97">
        <f t="shared" si="7"/>
        <v>0</v>
      </c>
      <c r="S41" s="99">
        <f t="shared" si="8"/>
        <v>0</v>
      </c>
      <c r="T41" s="95" t="e">
        <f t="shared" si="9"/>
        <v>#DIV/0!</v>
      </c>
    </row>
    <row r="42" spans="1:20" s="7" customFormat="1" ht="11.25" customHeight="1" x14ac:dyDescent="0.2">
      <c r="A42" s="115">
        <v>34</v>
      </c>
      <c r="B42" s="115" t="s">
        <v>70</v>
      </c>
      <c r="C42" s="116">
        <v>0.443</v>
      </c>
      <c r="D42" s="138"/>
      <c r="E42" s="1"/>
      <c r="F42" s="116">
        <v>2.9687600000000001</v>
      </c>
      <c r="G42" s="116">
        <v>-21.766287127213086</v>
      </c>
      <c r="H42" s="123">
        <f t="shared" si="10"/>
        <v>-25.967802137179394</v>
      </c>
      <c r="I42" s="95">
        <f t="shared" si="0"/>
        <v>0</v>
      </c>
      <c r="J42" s="96">
        <f t="shared" si="1"/>
        <v>6.7014898419864561</v>
      </c>
      <c r="K42" s="106">
        <f t="shared" ref="K42:K43" si="13">H$14</f>
        <v>44.65</v>
      </c>
      <c r="L42" s="106">
        <f t="shared" ref="L42:L43" si="14">I$14</f>
        <v>2.83</v>
      </c>
      <c r="M42" s="106">
        <f t="shared" ref="M42:M43" si="15">C42*(K42/100)</f>
        <v>0.19779950000000002</v>
      </c>
      <c r="N42" s="169">
        <f t="shared" ref="N42:N43" si="16">F42*$B$28+$D$28</f>
        <v>0.19673378767999999</v>
      </c>
      <c r="O42" s="110">
        <f t="shared" ref="O42:O43" si="17">N42/C42*100</f>
        <v>44.409432884875841</v>
      </c>
      <c r="P42" s="106">
        <f t="shared" ref="P42:P43" si="18">D42/C42</f>
        <v>0</v>
      </c>
      <c r="Q42" s="106">
        <f t="shared" ref="Q42:Q43" si="19">C42*(L42/100)</f>
        <v>1.2536900000000002E-2</v>
      </c>
      <c r="R42" s="97">
        <f t="shared" si="7"/>
        <v>0</v>
      </c>
      <c r="S42" s="99">
        <f t="shared" si="8"/>
        <v>0</v>
      </c>
      <c r="T42" s="95" t="e">
        <f t="shared" si="9"/>
        <v>#DIV/0!</v>
      </c>
    </row>
    <row r="43" spans="1:20" s="100" customFormat="1" ht="11.25" customHeight="1" x14ac:dyDescent="0.2">
      <c r="A43" s="129">
        <v>35</v>
      </c>
      <c r="B43" s="129" t="s">
        <v>91</v>
      </c>
      <c r="C43" s="120">
        <v>1.9</v>
      </c>
      <c r="D43" s="139"/>
      <c r="E43" s="1"/>
      <c r="F43" s="104">
        <v>0.92832081249999998</v>
      </c>
      <c r="G43" s="120">
        <v>-14.554389539537539</v>
      </c>
      <c r="H43" s="123">
        <f t="shared" si="10"/>
        <v>-18.755904549503846</v>
      </c>
      <c r="I43" s="95">
        <f t="shared" si="0"/>
        <v>0</v>
      </c>
      <c r="J43" s="96">
        <f t="shared" si="1"/>
        <v>0.4885899013157895</v>
      </c>
      <c r="K43" s="155">
        <f>$H$13</f>
        <v>3.3479999999999999</v>
      </c>
      <c r="L43" s="155"/>
      <c r="M43" s="155">
        <f t="shared" si="15"/>
        <v>6.3611999999999988E-2</v>
      </c>
      <c r="N43" s="170">
        <f t="shared" si="16"/>
        <v>6.1517963602749991E-2</v>
      </c>
      <c r="O43" s="157">
        <f t="shared" si="17"/>
        <v>3.2377875580394733</v>
      </c>
      <c r="P43" s="155">
        <f t="shared" si="18"/>
        <v>0</v>
      </c>
      <c r="Q43" s="155"/>
      <c r="R43" s="97">
        <f t="shared" si="7"/>
        <v>0</v>
      </c>
      <c r="S43" s="99">
        <f t="shared" si="8"/>
        <v>0</v>
      </c>
      <c r="T43" s="95" t="e">
        <f t="shared" si="9"/>
        <v>#DIV/0!</v>
      </c>
    </row>
    <row r="44" spans="1:20" s="100" customFormat="1" ht="11.25" customHeight="1" x14ac:dyDescent="0.2">
      <c r="A44" s="102"/>
      <c r="B44" s="102"/>
      <c r="C44" s="103"/>
      <c r="D44" s="166"/>
      <c r="F44" s="103"/>
      <c r="G44" s="103"/>
      <c r="H44" s="123"/>
      <c r="I44" s="95"/>
      <c r="J44" s="96"/>
      <c r="K44" s="96"/>
      <c r="L44" s="96"/>
      <c r="M44" s="96"/>
      <c r="N44" s="97"/>
      <c r="O44" s="98"/>
      <c r="P44" s="96"/>
      <c r="Q44" s="96"/>
      <c r="R44" s="97"/>
      <c r="S44" s="99"/>
      <c r="T44" s="95"/>
    </row>
    <row r="45" spans="1:20" s="100" customFormat="1" ht="11.25" customHeight="1" x14ac:dyDescent="0.2">
      <c r="A45" s="102"/>
      <c r="B45" s="102"/>
      <c r="C45" s="103"/>
      <c r="D45" s="166"/>
      <c r="F45" s="103"/>
      <c r="G45" s="103"/>
      <c r="H45" s="123"/>
      <c r="I45" s="95"/>
      <c r="J45" s="96"/>
      <c r="K45" s="96"/>
      <c r="L45" s="96"/>
      <c r="M45" s="96"/>
      <c r="N45" s="97"/>
      <c r="O45" s="98"/>
      <c r="P45" s="96"/>
      <c r="Q45" s="96"/>
      <c r="R45" s="97"/>
      <c r="S45" s="99"/>
      <c r="T45" s="95"/>
    </row>
    <row r="46" spans="1:20" s="100" customFormat="1" ht="11.25" customHeight="1" x14ac:dyDescent="0.2">
      <c r="A46" s="102"/>
      <c r="B46" s="102"/>
      <c r="C46" s="103"/>
      <c r="D46" s="166"/>
      <c r="F46" s="103"/>
      <c r="G46" s="103"/>
      <c r="H46" s="123"/>
      <c r="I46" s="95"/>
      <c r="J46" s="96"/>
      <c r="K46" s="96"/>
      <c r="L46" s="96"/>
      <c r="M46" s="96"/>
      <c r="N46" s="97"/>
      <c r="O46" s="98"/>
      <c r="P46" s="96"/>
      <c r="Q46" s="96"/>
      <c r="R46" s="97"/>
      <c r="S46" s="99"/>
      <c r="T46" s="95"/>
    </row>
    <row r="47" spans="1:20" s="100" customFormat="1" ht="11.25" customHeight="1" x14ac:dyDescent="0.2">
      <c r="A47" s="102"/>
      <c r="B47" s="102"/>
      <c r="C47" s="103"/>
      <c r="D47" s="166"/>
      <c r="F47" s="103"/>
      <c r="G47" s="103"/>
      <c r="H47" s="123"/>
      <c r="I47" s="95"/>
      <c r="J47" s="96"/>
      <c r="K47" s="96"/>
      <c r="L47" s="96"/>
      <c r="M47" s="96"/>
      <c r="N47" s="97"/>
      <c r="O47" s="98"/>
      <c r="P47" s="96"/>
      <c r="Q47" s="96"/>
      <c r="R47" s="97"/>
      <c r="S47" s="99"/>
      <c r="T47" s="95"/>
    </row>
    <row r="48" spans="1:20" s="100" customFormat="1" ht="11.25" customHeight="1" x14ac:dyDescent="0.2">
      <c r="A48" s="102"/>
      <c r="B48" s="102"/>
      <c r="C48" s="103"/>
      <c r="D48" s="166"/>
      <c r="F48" s="103"/>
      <c r="G48" s="103"/>
      <c r="H48" s="123"/>
      <c r="I48" s="95"/>
      <c r="J48" s="96"/>
      <c r="K48" s="96"/>
      <c r="L48" s="96"/>
      <c r="M48" s="96"/>
      <c r="N48" s="97"/>
      <c r="O48" s="98"/>
      <c r="P48" s="96"/>
      <c r="Q48" s="96"/>
      <c r="R48" s="97"/>
      <c r="S48" s="99"/>
      <c r="T48" s="95"/>
    </row>
    <row r="49" spans="1:20" s="100" customFormat="1" ht="11.25" customHeight="1" x14ac:dyDescent="0.2">
      <c r="A49" s="102"/>
      <c r="B49" s="102"/>
      <c r="C49" s="103"/>
      <c r="D49" s="166"/>
      <c r="F49" s="103"/>
      <c r="G49" s="103"/>
      <c r="H49" s="123"/>
      <c r="I49" s="95"/>
      <c r="J49" s="96"/>
      <c r="K49" s="96"/>
      <c r="L49" s="96"/>
      <c r="M49" s="96"/>
      <c r="N49" s="97"/>
      <c r="O49" s="98"/>
      <c r="P49" s="96"/>
      <c r="Q49" s="96"/>
      <c r="R49" s="97"/>
      <c r="S49" s="99"/>
      <c r="T49" s="95"/>
    </row>
    <row r="50" spans="1:20" s="100" customFormat="1" ht="11.25" customHeight="1" x14ac:dyDescent="0.2">
      <c r="A50" s="102"/>
      <c r="B50" s="102"/>
      <c r="C50" s="103"/>
      <c r="D50" s="166"/>
      <c r="F50" s="103"/>
      <c r="G50" s="103"/>
      <c r="H50" s="123"/>
      <c r="I50" s="95"/>
      <c r="J50" s="96"/>
      <c r="K50" s="96"/>
      <c r="L50" s="96"/>
      <c r="M50" s="96"/>
      <c r="N50" s="97"/>
      <c r="O50" s="98"/>
      <c r="P50" s="96"/>
      <c r="Q50" s="96"/>
      <c r="R50" s="97"/>
      <c r="S50" s="99"/>
      <c r="T50" s="95"/>
    </row>
    <row r="51" spans="1:20" s="100" customFormat="1" ht="11.25" customHeight="1" x14ac:dyDescent="0.2">
      <c r="A51" s="102"/>
      <c r="B51" s="102"/>
      <c r="C51" s="103"/>
      <c r="F51" s="103"/>
      <c r="G51" s="103"/>
      <c r="H51" s="123"/>
      <c r="I51" s="95"/>
      <c r="J51" s="96"/>
      <c r="K51" s="96"/>
      <c r="L51" s="96"/>
      <c r="M51" s="96"/>
      <c r="N51" s="97"/>
      <c r="O51" s="98"/>
      <c r="P51" s="96"/>
      <c r="Q51" s="96"/>
      <c r="R51" s="97"/>
      <c r="S51" s="99"/>
      <c r="T51" s="95"/>
    </row>
    <row r="52" spans="1:20" s="100" customFormat="1" ht="11.25" customHeight="1" x14ac:dyDescent="0.2">
      <c r="A52" s="102"/>
      <c r="B52" s="102"/>
      <c r="C52" s="103"/>
      <c r="F52" s="103"/>
      <c r="G52" s="103"/>
      <c r="H52" s="123"/>
      <c r="I52" s="95"/>
      <c r="J52" s="96"/>
      <c r="K52" s="96"/>
      <c r="L52" s="96"/>
      <c r="M52" s="96"/>
      <c r="N52" s="97"/>
      <c r="O52" s="98"/>
      <c r="P52" s="96"/>
      <c r="Q52" s="96"/>
      <c r="R52" s="97"/>
      <c r="S52" s="99"/>
      <c r="T52" s="95"/>
    </row>
    <row r="53" spans="1:20" s="100" customFormat="1" ht="11.25" customHeight="1" x14ac:dyDescent="0.2">
      <c r="A53" s="102"/>
      <c r="B53" s="102"/>
      <c r="C53" s="103"/>
      <c r="D53" s="166"/>
      <c r="F53" s="103"/>
      <c r="G53" s="103"/>
      <c r="H53" s="123"/>
      <c r="I53" s="95"/>
      <c r="J53" s="96"/>
      <c r="K53" s="96"/>
      <c r="L53" s="96"/>
      <c r="M53" s="96"/>
      <c r="N53" s="97"/>
      <c r="O53" s="98"/>
      <c r="P53" s="96"/>
      <c r="Q53" s="96"/>
      <c r="R53" s="97"/>
      <c r="S53" s="99"/>
      <c r="T53" s="95"/>
    </row>
    <row r="54" spans="1:20" s="100" customFormat="1" ht="11.25" customHeight="1" x14ac:dyDescent="0.2">
      <c r="A54" s="102"/>
      <c r="B54" s="102"/>
      <c r="C54" s="103"/>
      <c r="D54" s="166"/>
      <c r="F54" s="103"/>
      <c r="G54" s="103"/>
      <c r="H54" s="123"/>
      <c r="I54" s="95"/>
      <c r="J54" s="96"/>
      <c r="K54" s="96"/>
      <c r="L54" s="96"/>
      <c r="M54" s="96"/>
      <c r="N54" s="97"/>
      <c r="O54" s="98"/>
      <c r="P54" s="96"/>
      <c r="Q54" s="96"/>
      <c r="R54" s="97"/>
      <c r="S54" s="99"/>
      <c r="T54" s="95"/>
    </row>
    <row r="55" spans="1:20" s="100" customFormat="1" ht="11.25" customHeight="1" x14ac:dyDescent="0.2">
      <c r="A55" s="102"/>
      <c r="B55" s="102"/>
      <c r="C55" s="103"/>
      <c r="D55" s="166"/>
      <c r="F55" s="103"/>
      <c r="G55" s="103"/>
      <c r="H55" s="123"/>
      <c r="I55" s="95"/>
      <c r="J55" s="96"/>
      <c r="K55" s="96"/>
      <c r="L55" s="96"/>
      <c r="M55" s="96"/>
      <c r="N55" s="97"/>
      <c r="O55" s="98"/>
      <c r="P55" s="96"/>
      <c r="Q55" s="96"/>
      <c r="R55" s="97"/>
      <c r="S55" s="99"/>
      <c r="T55" s="95"/>
    </row>
    <row r="56" spans="1:20" s="100" customFormat="1" ht="11.25" customHeight="1" x14ac:dyDescent="0.2">
      <c r="A56" s="102"/>
      <c r="B56" s="102"/>
      <c r="C56" s="103"/>
      <c r="D56" s="166"/>
      <c r="F56" s="103"/>
      <c r="G56" s="103"/>
      <c r="H56" s="123"/>
      <c r="I56" s="95"/>
      <c r="J56" s="96"/>
      <c r="K56" s="96"/>
      <c r="L56" s="96"/>
      <c r="M56" s="96"/>
      <c r="N56" s="97"/>
      <c r="O56" s="98"/>
      <c r="P56" s="96"/>
      <c r="Q56" s="96"/>
      <c r="R56" s="97"/>
      <c r="S56" s="99"/>
      <c r="T56" s="95"/>
    </row>
    <row r="57" spans="1:20" s="100" customFormat="1" ht="11.25" customHeight="1" x14ac:dyDescent="0.2">
      <c r="A57" s="102"/>
      <c r="B57" s="102"/>
      <c r="C57" s="103"/>
      <c r="D57" s="166"/>
      <c r="F57" s="103"/>
      <c r="G57" s="103"/>
      <c r="H57" s="123"/>
      <c r="I57" s="95"/>
      <c r="J57" s="96"/>
      <c r="K57" s="96"/>
      <c r="L57" s="96"/>
      <c r="M57" s="96"/>
      <c r="N57" s="97"/>
      <c r="O57" s="98"/>
      <c r="P57" s="96"/>
      <c r="Q57" s="96"/>
      <c r="R57" s="97"/>
      <c r="S57" s="99"/>
      <c r="T57" s="95"/>
    </row>
    <row r="58" spans="1:20" s="100" customFormat="1" ht="11.25" customHeight="1" x14ac:dyDescent="0.2">
      <c r="A58" s="102"/>
      <c r="B58" s="102"/>
      <c r="C58" s="103"/>
      <c r="D58" s="166"/>
      <c r="F58" s="103"/>
      <c r="G58" s="103"/>
      <c r="H58" s="123"/>
      <c r="I58" s="95"/>
      <c r="J58" s="96"/>
      <c r="K58" s="96"/>
      <c r="L58" s="96"/>
      <c r="M58" s="96"/>
      <c r="N58" s="97"/>
      <c r="O58" s="98"/>
      <c r="P58" s="96"/>
      <c r="Q58" s="96"/>
      <c r="R58" s="97"/>
      <c r="S58" s="99"/>
      <c r="T58" s="95"/>
    </row>
    <row r="59" spans="1:20" s="100" customFormat="1" ht="11.25" customHeight="1" x14ac:dyDescent="0.2">
      <c r="A59" s="102"/>
      <c r="B59" s="102"/>
      <c r="C59" s="103"/>
      <c r="D59" s="166"/>
      <c r="F59" s="103"/>
      <c r="G59" s="103"/>
      <c r="H59" s="123"/>
      <c r="I59" s="95"/>
      <c r="J59" s="96"/>
      <c r="K59" s="96"/>
      <c r="L59" s="96"/>
      <c r="M59" s="96"/>
      <c r="N59" s="97"/>
      <c r="O59" s="98"/>
      <c r="P59" s="96"/>
      <c r="Q59" s="96"/>
      <c r="R59" s="97"/>
      <c r="S59" s="99"/>
      <c r="T59" s="95"/>
    </row>
    <row r="60" spans="1:20" s="100" customFormat="1" ht="11.25" customHeight="1" x14ac:dyDescent="0.2">
      <c r="A60" s="102"/>
      <c r="B60" s="102"/>
      <c r="C60" s="103"/>
      <c r="D60" s="166"/>
      <c r="F60" s="103"/>
      <c r="G60" s="103"/>
      <c r="H60" s="123"/>
      <c r="I60" s="95"/>
      <c r="J60" s="96"/>
      <c r="K60" s="96"/>
      <c r="L60" s="96"/>
      <c r="M60" s="96"/>
      <c r="N60" s="97"/>
      <c r="O60" s="98"/>
      <c r="P60" s="96"/>
      <c r="Q60" s="96"/>
      <c r="R60" s="97"/>
      <c r="S60" s="99"/>
      <c r="T60" s="95"/>
    </row>
    <row r="61" spans="1:20" s="100" customFormat="1" ht="11.25" customHeight="1" x14ac:dyDescent="0.2">
      <c r="A61" s="102"/>
      <c r="B61" s="102"/>
      <c r="C61" s="103"/>
      <c r="D61" s="166"/>
      <c r="F61" s="103"/>
      <c r="G61" s="103"/>
      <c r="H61" s="123"/>
      <c r="I61" s="95"/>
      <c r="J61" s="96"/>
      <c r="K61" s="96"/>
      <c r="L61" s="96"/>
      <c r="M61" s="96"/>
      <c r="N61" s="97"/>
      <c r="O61" s="98"/>
      <c r="P61" s="96"/>
      <c r="Q61" s="96"/>
      <c r="R61" s="97"/>
      <c r="S61" s="99"/>
      <c r="T61" s="95"/>
    </row>
    <row r="62" spans="1:20" s="100" customFormat="1" ht="11.25" customHeight="1" x14ac:dyDescent="0.2">
      <c r="A62" s="102"/>
      <c r="B62" s="102"/>
      <c r="C62" s="103"/>
      <c r="D62" s="166"/>
      <c r="F62" s="103"/>
      <c r="G62" s="103"/>
      <c r="H62" s="123"/>
      <c r="I62" s="95"/>
      <c r="J62" s="96"/>
      <c r="K62" s="96"/>
      <c r="L62" s="96"/>
      <c r="M62" s="96"/>
      <c r="N62" s="97"/>
      <c r="O62" s="98"/>
      <c r="P62" s="96"/>
      <c r="Q62" s="96"/>
      <c r="R62" s="97"/>
      <c r="S62" s="99"/>
      <c r="T62" s="95"/>
    </row>
    <row r="63" spans="1:20" s="100" customFormat="1" ht="11.25" customHeight="1" x14ac:dyDescent="0.2">
      <c r="A63" s="102"/>
      <c r="B63" s="102"/>
      <c r="C63" s="103"/>
      <c r="D63" s="166"/>
      <c r="F63" s="103"/>
      <c r="G63" s="103"/>
      <c r="H63" s="123"/>
      <c r="I63" s="95"/>
      <c r="J63" s="96"/>
      <c r="K63" s="96"/>
      <c r="L63" s="96"/>
      <c r="M63" s="96"/>
      <c r="N63" s="97"/>
      <c r="O63" s="98"/>
      <c r="P63" s="96"/>
      <c r="Q63" s="96"/>
      <c r="R63" s="97"/>
      <c r="S63" s="99"/>
      <c r="T63" s="95"/>
    </row>
    <row r="64" spans="1:20" s="100" customFormat="1" ht="11.25" customHeight="1" x14ac:dyDescent="0.2">
      <c r="A64" s="102"/>
      <c r="B64" s="102"/>
      <c r="C64" s="103"/>
      <c r="D64" s="166"/>
      <c r="F64" s="103"/>
      <c r="G64" s="103"/>
      <c r="H64" s="123"/>
      <c r="I64" s="95"/>
      <c r="J64" s="96"/>
      <c r="K64" s="96"/>
      <c r="L64" s="96"/>
      <c r="M64" s="96"/>
      <c r="N64" s="97"/>
      <c r="O64" s="98"/>
      <c r="P64" s="96"/>
      <c r="Q64" s="96"/>
      <c r="R64" s="97"/>
      <c r="S64" s="99"/>
      <c r="T64" s="95"/>
    </row>
    <row r="65" spans="1:20" s="100" customFormat="1" ht="11.25" customHeight="1" x14ac:dyDescent="0.2">
      <c r="A65" s="102"/>
      <c r="B65" s="102"/>
      <c r="C65" s="103"/>
      <c r="F65" s="103"/>
      <c r="G65" s="103"/>
      <c r="H65" s="123"/>
      <c r="I65" s="95"/>
      <c r="J65" s="96"/>
      <c r="K65" s="96"/>
      <c r="L65" s="96"/>
      <c r="M65" s="96"/>
      <c r="N65" s="97"/>
      <c r="O65" s="98"/>
      <c r="P65" s="96"/>
      <c r="Q65" s="96"/>
      <c r="R65" s="97"/>
      <c r="S65" s="99"/>
      <c r="T65" s="95"/>
    </row>
    <row r="66" spans="1:20" s="100" customFormat="1" ht="11.25" customHeight="1" x14ac:dyDescent="0.2">
      <c r="A66" s="102"/>
      <c r="B66" s="102"/>
      <c r="C66" s="103"/>
      <c r="F66" s="103"/>
      <c r="G66" s="103"/>
      <c r="H66" s="123"/>
      <c r="I66" s="95"/>
      <c r="J66" s="96"/>
      <c r="K66" s="96"/>
      <c r="L66" s="96"/>
      <c r="M66" s="96"/>
      <c r="N66" s="97"/>
      <c r="O66" s="98"/>
      <c r="P66" s="96"/>
      <c r="Q66" s="96"/>
      <c r="R66" s="97"/>
      <c r="S66" s="99"/>
      <c r="T66" s="95"/>
    </row>
    <row r="67" spans="1:20" s="100" customFormat="1" ht="11.25" customHeight="1" x14ac:dyDescent="0.2">
      <c r="A67" s="102"/>
      <c r="B67" s="102"/>
      <c r="C67" s="103"/>
      <c r="D67" s="166"/>
      <c r="F67" s="103"/>
      <c r="G67" s="103"/>
      <c r="H67" s="123"/>
      <c r="I67" s="95"/>
      <c r="J67" s="96"/>
      <c r="K67" s="96"/>
      <c r="L67" s="96"/>
      <c r="M67" s="96"/>
      <c r="N67" s="97"/>
      <c r="O67" s="98"/>
      <c r="P67" s="96"/>
      <c r="Q67" s="96"/>
      <c r="R67" s="97"/>
      <c r="S67" s="99"/>
      <c r="T67" s="95"/>
    </row>
    <row r="68" spans="1:20" s="100" customFormat="1" ht="11.25" customHeight="1" x14ac:dyDescent="0.2">
      <c r="A68" s="102"/>
      <c r="B68" s="102"/>
      <c r="C68" s="103"/>
      <c r="D68" s="166"/>
      <c r="F68" s="103"/>
      <c r="G68" s="103"/>
      <c r="H68" s="123"/>
      <c r="I68" s="95"/>
      <c r="J68" s="96"/>
      <c r="K68" s="96"/>
      <c r="L68" s="96"/>
      <c r="M68" s="96"/>
      <c r="N68" s="97"/>
      <c r="O68" s="98"/>
      <c r="P68" s="96"/>
      <c r="Q68" s="96"/>
      <c r="R68" s="97"/>
      <c r="S68" s="99"/>
      <c r="T68" s="95"/>
    </row>
    <row r="69" spans="1:20" s="100" customFormat="1" ht="11.25" customHeight="1" x14ac:dyDescent="0.2">
      <c r="A69" s="102"/>
      <c r="B69" s="102"/>
      <c r="C69" s="103"/>
      <c r="D69" s="166"/>
      <c r="F69" s="103"/>
      <c r="G69" s="103"/>
      <c r="H69" s="123"/>
      <c r="I69" s="95"/>
      <c r="J69" s="96"/>
      <c r="K69" s="96"/>
      <c r="L69" s="96"/>
      <c r="M69" s="96"/>
      <c r="N69" s="97"/>
      <c r="O69" s="98"/>
      <c r="P69" s="96"/>
      <c r="Q69" s="96"/>
      <c r="R69" s="97"/>
      <c r="S69" s="99"/>
      <c r="T69" s="95"/>
    </row>
    <row r="70" spans="1:20" s="100" customFormat="1" ht="11.25" customHeight="1" x14ac:dyDescent="0.2">
      <c r="A70" s="102"/>
      <c r="B70" s="102"/>
      <c r="C70" s="103"/>
      <c r="D70" s="166"/>
      <c r="F70" s="103"/>
      <c r="G70" s="103"/>
      <c r="H70" s="123"/>
      <c r="I70" s="95"/>
      <c r="J70" s="96"/>
      <c r="K70" s="96"/>
      <c r="L70" s="96"/>
      <c r="M70" s="96"/>
      <c r="N70" s="97"/>
      <c r="O70" s="98"/>
      <c r="P70" s="96"/>
      <c r="Q70" s="96"/>
      <c r="R70" s="97"/>
      <c r="S70" s="99"/>
      <c r="T70" s="95"/>
    </row>
    <row r="71" spans="1:20" s="100" customFormat="1" ht="11.25" customHeight="1" x14ac:dyDescent="0.2">
      <c r="A71" s="102"/>
      <c r="B71" s="102"/>
      <c r="C71" s="103"/>
      <c r="D71" s="166"/>
      <c r="F71" s="103"/>
      <c r="G71" s="103"/>
      <c r="H71" s="123"/>
      <c r="I71" s="95"/>
      <c r="J71" s="96"/>
      <c r="K71" s="96"/>
      <c r="L71" s="96"/>
      <c r="M71" s="96"/>
      <c r="N71" s="97"/>
      <c r="O71" s="98"/>
      <c r="P71" s="96"/>
      <c r="Q71" s="96"/>
      <c r="R71" s="97"/>
      <c r="S71" s="99"/>
      <c r="T71" s="95"/>
    </row>
    <row r="72" spans="1:20" s="100" customFormat="1" ht="11.25" customHeight="1" x14ac:dyDescent="0.2">
      <c r="A72" s="102"/>
      <c r="B72" s="102"/>
      <c r="C72" s="103"/>
      <c r="D72" s="166"/>
      <c r="F72" s="103"/>
      <c r="G72" s="103"/>
      <c r="H72" s="123"/>
      <c r="I72" s="95"/>
      <c r="J72" s="96"/>
      <c r="K72" s="96"/>
      <c r="L72" s="96"/>
      <c r="M72" s="96"/>
      <c r="N72" s="97"/>
      <c r="O72" s="98"/>
      <c r="P72" s="96"/>
      <c r="Q72" s="96"/>
      <c r="R72" s="97"/>
      <c r="S72" s="99"/>
      <c r="T72" s="95"/>
    </row>
    <row r="73" spans="1:20" s="100" customFormat="1" ht="11.25" customHeight="1" x14ac:dyDescent="0.2">
      <c r="A73" s="102"/>
      <c r="B73" s="102"/>
      <c r="C73" s="103"/>
      <c r="D73" s="166"/>
      <c r="F73" s="103"/>
      <c r="G73" s="103"/>
      <c r="H73" s="123"/>
      <c r="I73" s="95"/>
      <c r="J73" s="96"/>
      <c r="K73" s="96"/>
      <c r="L73" s="96"/>
      <c r="M73" s="96"/>
      <c r="N73" s="97"/>
      <c r="O73" s="98"/>
      <c r="P73" s="96"/>
      <c r="Q73" s="96"/>
      <c r="R73" s="97"/>
      <c r="S73" s="99"/>
      <c r="T73" s="95"/>
    </row>
    <row r="74" spans="1:20" s="100" customFormat="1" ht="11.25" customHeight="1" x14ac:dyDescent="0.2">
      <c r="A74" s="102"/>
      <c r="B74" s="102"/>
      <c r="C74" s="103"/>
      <c r="D74" s="166"/>
      <c r="F74" s="103"/>
      <c r="G74" s="103"/>
      <c r="H74" s="123"/>
      <c r="I74" s="95"/>
      <c r="J74" s="96"/>
      <c r="K74" s="96"/>
      <c r="L74" s="96"/>
      <c r="M74" s="96"/>
      <c r="N74" s="97"/>
      <c r="O74" s="98"/>
      <c r="P74" s="96"/>
      <c r="Q74" s="96"/>
      <c r="R74" s="97"/>
      <c r="S74" s="99"/>
      <c r="T74" s="95"/>
    </row>
    <row r="75" spans="1:20" s="100" customFormat="1" ht="11.25" customHeight="1" x14ac:dyDescent="0.2">
      <c r="A75" s="102"/>
      <c r="B75" s="102"/>
      <c r="C75" s="103"/>
      <c r="D75" s="166"/>
      <c r="F75" s="103"/>
      <c r="G75" s="103"/>
      <c r="H75" s="123"/>
      <c r="I75" s="95"/>
      <c r="J75" s="96"/>
      <c r="K75" s="96"/>
      <c r="L75" s="96"/>
      <c r="M75" s="96"/>
      <c r="N75" s="97"/>
      <c r="O75" s="98"/>
      <c r="P75" s="96"/>
      <c r="Q75" s="96"/>
      <c r="R75" s="97"/>
      <c r="S75" s="99"/>
      <c r="T75" s="95"/>
    </row>
    <row r="76" spans="1:20" s="100" customFormat="1" ht="11.25" customHeight="1" x14ac:dyDescent="0.2">
      <c r="A76" s="102"/>
      <c r="B76" s="102"/>
      <c r="C76" s="103"/>
      <c r="D76" s="166"/>
      <c r="F76" s="103"/>
      <c r="G76" s="103"/>
      <c r="H76" s="123"/>
      <c r="I76" s="95"/>
      <c r="J76" s="96"/>
      <c r="K76" s="96"/>
      <c r="L76" s="96"/>
      <c r="M76" s="96"/>
      <c r="N76" s="97"/>
      <c r="O76" s="98"/>
      <c r="P76" s="96"/>
      <c r="Q76" s="96"/>
      <c r="R76" s="97"/>
      <c r="S76" s="99"/>
      <c r="T76" s="95"/>
    </row>
    <row r="77" spans="1:20" s="100" customFormat="1" ht="11.25" customHeight="1" x14ac:dyDescent="0.2">
      <c r="A77" s="102"/>
      <c r="B77" s="102"/>
      <c r="C77" s="103"/>
      <c r="D77" s="166"/>
      <c r="F77" s="103"/>
      <c r="G77" s="103"/>
      <c r="H77" s="123"/>
      <c r="I77" s="95"/>
      <c r="J77" s="96"/>
      <c r="K77" s="96"/>
      <c r="L77" s="96"/>
      <c r="M77" s="96"/>
      <c r="N77" s="97"/>
      <c r="O77" s="98"/>
      <c r="P77" s="96"/>
      <c r="Q77" s="96"/>
      <c r="R77" s="97"/>
      <c r="S77" s="99"/>
      <c r="T77" s="95"/>
    </row>
    <row r="78" spans="1:20" s="100" customFormat="1" ht="11.25" customHeight="1" x14ac:dyDescent="0.2">
      <c r="A78" s="102"/>
      <c r="B78" s="102"/>
      <c r="C78" s="103"/>
      <c r="D78" s="166"/>
      <c r="F78" s="103"/>
      <c r="G78" s="103"/>
      <c r="H78" s="123"/>
      <c r="I78" s="95"/>
      <c r="J78" s="96"/>
      <c r="K78" s="96"/>
      <c r="L78" s="96"/>
      <c r="M78" s="96"/>
      <c r="N78" s="97"/>
      <c r="O78" s="98"/>
      <c r="P78" s="96"/>
      <c r="Q78" s="96"/>
      <c r="R78" s="97"/>
      <c r="S78" s="99"/>
      <c r="T78" s="95"/>
    </row>
    <row r="79" spans="1:20" s="100" customFormat="1" ht="11.25" customHeight="1" x14ac:dyDescent="0.2">
      <c r="A79" s="102"/>
      <c r="B79" s="102"/>
      <c r="C79" s="103"/>
      <c r="D79" s="137"/>
      <c r="F79" s="103"/>
      <c r="G79" s="103"/>
      <c r="H79" s="123"/>
      <c r="I79" s="95"/>
      <c r="J79" s="96"/>
      <c r="K79" s="96"/>
      <c r="L79" s="96"/>
      <c r="M79" s="96"/>
      <c r="N79" s="97"/>
      <c r="O79" s="98"/>
      <c r="P79" s="96"/>
      <c r="Q79" s="96"/>
      <c r="R79" s="97"/>
      <c r="S79" s="99"/>
      <c r="T79" s="95"/>
    </row>
    <row r="80" spans="1:20" s="100" customFormat="1" ht="11.25" customHeight="1" x14ac:dyDescent="0.2">
      <c r="A80" s="102"/>
      <c r="B80" s="102"/>
      <c r="C80" s="103"/>
      <c r="D80" s="137"/>
      <c r="F80" s="103"/>
      <c r="G80" s="103"/>
      <c r="H80" s="123"/>
      <c r="I80" s="95"/>
      <c r="J80" s="96"/>
      <c r="K80" s="96"/>
      <c r="L80" s="96"/>
      <c r="M80" s="96"/>
      <c r="N80" s="97"/>
      <c r="O80" s="98"/>
      <c r="P80" s="96"/>
      <c r="Q80" s="96"/>
      <c r="R80" s="97"/>
      <c r="S80" s="99"/>
      <c r="T80" s="95"/>
    </row>
    <row r="81" spans="1:28" s="100" customFormat="1" ht="11.25" customHeight="1" x14ac:dyDescent="0.2">
      <c r="A81" s="102"/>
      <c r="B81" s="102"/>
      <c r="C81" s="103"/>
      <c r="D81" s="137"/>
      <c r="F81" s="103"/>
      <c r="G81" s="103"/>
      <c r="H81" s="123"/>
      <c r="I81" s="95"/>
      <c r="J81" s="96"/>
      <c r="K81" s="96"/>
      <c r="L81" s="96"/>
      <c r="M81" s="96"/>
      <c r="N81" s="97"/>
      <c r="O81" s="98"/>
      <c r="P81" s="96"/>
      <c r="Q81" s="96"/>
      <c r="R81" s="97"/>
      <c r="S81" s="99"/>
      <c r="T81" s="95"/>
    </row>
    <row r="82" spans="1:28" s="100" customFormat="1" ht="11.25" customHeight="1" x14ac:dyDescent="0.2">
      <c r="A82" s="129"/>
      <c r="B82" s="129"/>
      <c r="C82" s="104"/>
      <c r="D82" s="139"/>
      <c r="F82" s="104"/>
      <c r="G82" s="104"/>
      <c r="H82" s="123"/>
      <c r="I82" s="95"/>
      <c r="J82" s="96"/>
      <c r="M82" s="96"/>
      <c r="N82" s="97"/>
      <c r="O82" s="98"/>
      <c r="P82" s="96"/>
      <c r="Q82" s="96"/>
      <c r="R82" s="97"/>
      <c r="S82" s="99"/>
      <c r="T82" s="95"/>
    </row>
    <row r="83" spans="1:28" ht="11.25" customHeight="1" x14ac:dyDescent="0.2">
      <c r="A83" s="129"/>
      <c r="B83" s="129"/>
      <c r="C83" s="120"/>
      <c r="D83" s="104"/>
      <c r="E83" s="120"/>
      <c r="F83" s="114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71</v>
      </c>
      <c r="H84" s="123">
        <f>STDEV(H86:H90,H92,H94,H96)</f>
        <v>4.8279216190138585E-2</v>
      </c>
      <c r="I84" s="123">
        <f>STDEV(I86:I95)</f>
        <v>0</v>
      </c>
      <c r="J84" s="96"/>
      <c r="K84" s="1"/>
      <c r="L84" s="1"/>
      <c r="M84" s="96"/>
      <c r="N84" s="97"/>
      <c r="O84" s="123">
        <f>STDEV(O86:O90,O92,O94,O96)</f>
        <v>0.46486197624962583</v>
      </c>
      <c r="P84" s="96"/>
      <c r="Q84" s="96"/>
      <c r="R84" s="97"/>
      <c r="S84" s="123">
        <f>STDEV(S86:S95)</f>
        <v>0</v>
      </c>
      <c r="T84" s="123" t="e">
        <f>STDEV(T86:T95)</f>
        <v>#DIV/0!</v>
      </c>
    </row>
    <row r="85" spans="1:28" ht="11.25" customHeight="1" x14ac:dyDescent="0.25">
      <c r="H85" s="124"/>
      <c r="I85" s="124"/>
      <c r="J85"/>
      <c r="K85" s="1"/>
      <c r="L85" s="1"/>
      <c r="M85" s="1"/>
      <c r="N85" s="1"/>
      <c r="O85" s="124"/>
      <c r="P85" s="1"/>
      <c r="Q85" s="1"/>
      <c r="S85" s="124"/>
      <c r="T85" s="124"/>
      <c r="V85" s="1"/>
      <c r="W85" s="1"/>
      <c r="X85" s="1"/>
      <c r="Y85" s="1"/>
      <c r="Z85" s="1"/>
      <c r="AA85" s="1"/>
      <c r="AB85" s="1"/>
    </row>
    <row r="86" spans="1:28" s="109" customFormat="1" ht="11.25" customHeight="1" x14ac:dyDescent="0.2">
      <c r="A86" s="102">
        <v>25</v>
      </c>
      <c r="B86" s="102" t="s">
        <v>55</v>
      </c>
      <c r="C86" s="114">
        <v>0.77</v>
      </c>
      <c r="D86" s="137"/>
      <c r="E86" s="1"/>
      <c r="F86" s="103">
        <v>5.2633010000000002</v>
      </c>
      <c r="G86" s="114">
        <v>-21.82017777940959</v>
      </c>
      <c r="H86" s="122">
        <f>$B$26*G86+$D$26</f>
        <v>-26.021692789375898</v>
      </c>
      <c r="I86" s="105">
        <f t="shared" ref="I86:I93" si="20">$B$27*E86+$D$27</f>
        <v>0</v>
      </c>
      <c r="J86" s="106">
        <f t="shared" ref="J86:J93" si="21">(F86)/C86</f>
        <v>6.8354558441558444</v>
      </c>
      <c r="K86" s="106">
        <f>H$14</f>
        <v>44.65</v>
      </c>
      <c r="L86" s="106">
        <f>I$14</f>
        <v>2.83</v>
      </c>
      <c r="M86" s="106">
        <f t="shared" ref="M86:M93" si="22">C86*(K86/100)</f>
        <v>0.34380500000000003</v>
      </c>
      <c r="N86" s="107">
        <f t="shared" ref="N86:N93" si="23">F86*$B$28+$D$28</f>
        <v>0.34878843066799997</v>
      </c>
      <c r="O86" s="110">
        <f t="shared" ref="O86:O93" si="24">N86/C86*100</f>
        <v>45.297198788051944</v>
      </c>
      <c r="P86" s="106">
        <f t="shared" ref="P86:P93" si="25">D86/C86</f>
        <v>0</v>
      </c>
      <c r="Q86" s="106">
        <f t="shared" ref="Q86:Q90" si="26">C86*(L86/100)</f>
        <v>2.1791000000000001E-2</v>
      </c>
      <c r="R86" s="107">
        <f t="shared" ref="R86:R93" si="27">D86*$B$29+$D$29</f>
        <v>0</v>
      </c>
      <c r="S86" s="108">
        <f t="shared" ref="S86:S93" si="28">R86/C86*100</f>
        <v>0</v>
      </c>
      <c r="T86" s="105" t="e">
        <f t="shared" ref="T86:T93" si="29">N86/R86</f>
        <v>#DIV/0!</v>
      </c>
    </row>
    <row r="87" spans="1:28" s="109" customFormat="1" ht="11.25" customHeight="1" x14ac:dyDescent="0.2">
      <c r="A87" s="115">
        <v>26</v>
      </c>
      <c r="B87" s="115" t="s">
        <v>56</v>
      </c>
      <c r="C87" s="116">
        <v>0.52300000000000002</v>
      </c>
      <c r="D87" s="138"/>
      <c r="E87" s="1"/>
      <c r="F87" s="116">
        <v>3.5439997499999998</v>
      </c>
      <c r="G87" s="116">
        <v>-21.763056246049743</v>
      </c>
      <c r="H87" s="122">
        <f t="shared" ref="H87:H93" si="30">$B$26*G87+$D$26</f>
        <v>-25.96457125601605</v>
      </c>
      <c r="I87" s="105">
        <f t="shared" si="20"/>
        <v>0</v>
      </c>
      <c r="J87" s="106">
        <f t="shared" si="21"/>
        <v>6.7762901529636705</v>
      </c>
      <c r="K87" s="106">
        <f t="shared" ref="K87:K90" si="31">H$14</f>
        <v>44.65</v>
      </c>
      <c r="L87" s="106">
        <f t="shared" ref="L87:L90" si="32">I$14</f>
        <v>2.83</v>
      </c>
      <c r="M87" s="106">
        <f t="shared" si="22"/>
        <v>0.23351950000000002</v>
      </c>
      <c r="N87" s="107">
        <f t="shared" si="23"/>
        <v>0.23485377543299996</v>
      </c>
      <c r="O87" s="110">
        <f t="shared" si="24"/>
        <v>44.905119585659648</v>
      </c>
      <c r="P87" s="106">
        <f t="shared" si="25"/>
        <v>0</v>
      </c>
      <c r="Q87" s="106">
        <f t="shared" si="26"/>
        <v>1.4800900000000002E-2</v>
      </c>
      <c r="R87" s="107">
        <f t="shared" si="27"/>
        <v>0</v>
      </c>
      <c r="S87" s="108">
        <f t="shared" si="28"/>
        <v>0</v>
      </c>
      <c r="T87" s="105" t="e">
        <f t="shared" si="29"/>
        <v>#DIV/0!</v>
      </c>
    </row>
    <row r="88" spans="1:28" s="109" customFormat="1" ht="11.25" customHeight="1" x14ac:dyDescent="0.2">
      <c r="A88" s="102">
        <v>27</v>
      </c>
      <c r="B88" s="102" t="s">
        <v>57</v>
      </c>
      <c r="C88" s="114">
        <v>1.079</v>
      </c>
      <c r="D88" s="137"/>
      <c r="E88" s="1"/>
      <c r="F88" s="103">
        <v>7.3287880000000003</v>
      </c>
      <c r="G88" s="114">
        <v>-21.742978178753397</v>
      </c>
      <c r="H88" s="122">
        <f t="shared" si="30"/>
        <v>-25.944493188719704</v>
      </c>
      <c r="I88" s="105">
        <f t="shared" si="20"/>
        <v>0</v>
      </c>
      <c r="J88" s="106">
        <f t="shared" si="21"/>
        <v>6.7922038924930499</v>
      </c>
      <c r="K88" s="106">
        <f t="shared" si="31"/>
        <v>44.65</v>
      </c>
      <c r="L88" s="106">
        <f t="shared" si="32"/>
        <v>2.83</v>
      </c>
      <c r="M88" s="106">
        <f t="shared" si="22"/>
        <v>0.48177349999999997</v>
      </c>
      <c r="N88" s="107">
        <f t="shared" si="23"/>
        <v>0.48566412318399999</v>
      </c>
      <c r="O88" s="110">
        <f t="shared" si="24"/>
        <v>45.010576754772941</v>
      </c>
      <c r="P88" s="106">
        <f t="shared" si="25"/>
        <v>0</v>
      </c>
      <c r="Q88" s="106">
        <f t="shared" si="26"/>
        <v>3.0535700000000002E-2</v>
      </c>
      <c r="R88" s="107">
        <f t="shared" si="27"/>
        <v>0</v>
      </c>
      <c r="S88" s="108">
        <f t="shared" si="28"/>
        <v>0</v>
      </c>
      <c r="T88" s="105" t="e">
        <f t="shared" si="29"/>
        <v>#DIV/0!</v>
      </c>
    </row>
    <row r="89" spans="1:28" s="109" customFormat="1" ht="11.25" customHeight="1" x14ac:dyDescent="0.2">
      <c r="A89" s="115">
        <v>28</v>
      </c>
      <c r="B89" s="115" t="s">
        <v>58</v>
      </c>
      <c r="C89" s="116">
        <v>0.98099999999999998</v>
      </c>
      <c r="D89" s="138"/>
      <c r="E89" s="1"/>
      <c r="F89" s="116">
        <v>6.5384390000000003</v>
      </c>
      <c r="G89" s="116">
        <v>-21.675774340515396</v>
      </c>
      <c r="H89" s="122">
        <f t="shared" si="30"/>
        <v>-25.877289350481703</v>
      </c>
      <c r="I89" s="105">
        <f t="shared" si="20"/>
        <v>0</v>
      </c>
      <c r="J89" s="106">
        <f t="shared" si="21"/>
        <v>6.6650754332313973</v>
      </c>
      <c r="K89" s="106">
        <f t="shared" si="31"/>
        <v>44.65</v>
      </c>
      <c r="L89" s="106">
        <f t="shared" si="32"/>
        <v>2.83</v>
      </c>
      <c r="M89" s="106">
        <f t="shared" si="22"/>
        <v>0.43801649999999998</v>
      </c>
      <c r="N89" s="107">
        <f t="shared" si="23"/>
        <v>0.43328927565199998</v>
      </c>
      <c r="O89" s="110">
        <f t="shared" si="24"/>
        <v>44.168121880937818</v>
      </c>
      <c r="P89" s="106">
        <f t="shared" si="25"/>
        <v>0</v>
      </c>
      <c r="Q89" s="106">
        <f t="shared" si="26"/>
        <v>2.77623E-2</v>
      </c>
      <c r="R89" s="107">
        <f t="shared" si="27"/>
        <v>0</v>
      </c>
      <c r="S89" s="108">
        <f t="shared" si="28"/>
        <v>0</v>
      </c>
      <c r="T89" s="105" t="e">
        <f t="shared" si="29"/>
        <v>#DIV/0!</v>
      </c>
    </row>
    <row r="90" spans="1:28" s="109" customFormat="1" ht="11.25" customHeight="1" x14ac:dyDescent="0.2">
      <c r="A90" s="102">
        <v>29</v>
      </c>
      <c r="B90" s="102" t="s">
        <v>59</v>
      </c>
      <c r="C90" s="114">
        <v>0.89400000000000002</v>
      </c>
      <c r="D90" s="137"/>
      <c r="E90" s="1"/>
      <c r="F90" s="103">
        <v>5.9665499999999998</v>
      </c>
      <c r="G90" s="114">
        <v>-21.722636268260938</v>
      </c>
      <c r="H90" s="122">
        <f t="shared" si="30"/>
        <v>-25.924151278227246</v>
      </c>
      <c r="I90" s="105">
        <f t="shared" si="20"/>
        <v>0</v>
      </c>
      <c r="J90" s="106">
        <f t="shared" si="21"/>
        <v>6.6739932885906033</v>
      </c>
      <c r="K90" s="106">
        <f t="shared" si="31"/>
        <v>44.65</v>
      </c>
      <c r="L90" s="106">
        <f t="shared" si="32"/>
        <v>2.83</v>
      </c>
      <c r="M90" s="106">
        <f t="shared" si="22"/>
        <v>0.399171</v>
      </c>
      <c r="N90" s="107">
        <f t="shared" si="23"/>
        <v>0.39539133539999993</v>
      </c>
      <c r="O90" s="110">
        <f t="shared" si="24"/>
        <v>44.227218724832206</v>
      </c>
      <c r="P90" s="106">
        <f t="shared" si="25"/>
        <v>0</v>
      </c>
      <c r="Q90" s="106">
        <f t="shared" si="26"/>
        <v>2.5300200000000002E-2</v>
      </c>
      <c r="R90" s="107">
        <f t="shared" si="27"/>
        <v>0</v>
      </c>
      <c r="S90" s="108">
        <f t="shared" si="28"/>
        <v>0</v>
      </c>
      <c r="T90" s="105" t="e">
        <f t="shared" si="29"/>
        <v>#DIV/0!</v>
      </c>
    </row>
    <row r="91" spans="1:28" s="151" customFormat="1" ht="11.25" customHeight="1" x14ac:dyDescent="0.2">
      <c r="A91" s="115">
        <v>30</v>
      </c>
      <c r="B91" s="115" t="s">
        <v>78</v>
      </c>
      <c r="C91" s="116">
        <v>0.82699999999999996</v>
      </c>
      <c r="D91" s="138"/>
      <c r="E91" s="1"/>
      <c r="F91" s="116">
        <v>0.38153896874999998</v>
      </c>
      <c r="G91" s="116">
        <v>-15.260219560735464</v>
      </c>
      <c r="H91" s="153">
        <f t="shared" si="30"/>
        <v>-19.461734570701772</v>
      </c>
      <c r="I91" s="154">
        <f t="shared" si="20"/>
        <v>0</v>
      </c>
      <c r="J91" s="155">
        <f t="shared" si="21"/>
        <v>0.46135304564691659</v>
      </c>
      <c r="K91" s="155">
        <f>$H$13</f>
        <v>3.3479999999999999</v>
      </c>
      <c r="L91" s="155"/>
      <c r="M91" s="155">
        <f t="shared" si="22"/>
        <v>2.7687959999999994E-2</v>
      </c>
      <c r="N91" s="156">
        <f t="shared" si="23"/>
        <v>2.5283824381124996E-2</v>
      </c>
      <c r="O91" s="157">
        <f t="shared" si="24"/>
        <v>3.0572943628929865</v>
      </c>
      <c r="P91" s="155">
        <f t="shared" si="25"/>
        <v>0</v>
      </c>
      <c r="Q91" s="155"/>
      <c r="R91" s="156">
        <f t="shared" si="27"/>
        <v>0</v>
      </c>
      <c r="S91" s="158">
        <f t="shared" si="28"/>
        <v>0</v>
      </c>
      <c r="T91" s="154" t="e">
        <f t="shared" si="29"/>
        <v>#DIV/0!</v>
      </c>
    </row>
    <row r="92" spans="1:28" s="7" customFormat="1" ht="11.25" customHeight="1" x14ac:dyDescent="0.2">
      <c r="A92" s="115">
        <v>34</v>
      </c>
      <c r="B92" s="115" t="s">
        <v>70</v>
      </c>
      <c r="C92" s="116">
        <v>0.443</v>
      </c>
      <c r="D92" s="138"/>
      <c r="E92" s="1"/>
      <c r="F92" s="116">
        <v>2.9687600000000001</v>
      </c>
      <c r="G92" s="116">
        <v>-21.766287127213086</v>
      </c>
      <c r="H92" s="123">
        <f t="shared" si="30"/>
        <v>-25.967802137179394</v>
      </c>
      <c r="I92" s="95">
        <f t="shared" si="20"/>
        <v>0</v>
      </c>
      <c r="J92" s="96">
        <f t="shared" si="21"/>
        <v>6.7014898419864561</v>
      </c>
      <c r="K92" s="106">
        <f t="shared" ref="K92:K93" si="33">H$14</f>
        <v>44.65</v>
      </c>
      <c r="L92" s="106">
        <f t="shared" ref="L92:L93" si="34">I$14</f>
        <v>2.83</v>
      </c>
      <c r="M92" s="106">
        <f t="shared" si="22"/>
        <v>0.19779950000000002</v>
      </c>
      <c r="N92" s="107">
        <f t="shared" si="23"/>
        <v>0.19673378767999999</v>
      </c>
      <c r="O92" s="110">
        <f t="shared" si="24"/>
        <v>44.409432884875841</v>
      </c>
      <c r="P92" s="106">
        <f t="shared" si="25"/>
        <v>0</v>
      </c>
      <c r="Q92" s="106">
        <f t="shared" ref="Q92:Q93" si="35">C92*(L92/100)</f>
        <v>1.2536900000000002E-2</v>
      </c>
      <c r="R92" s="97">
        <f t="shared" si="27"/>
        <v>0</v>
      </c>
      <c r="S92" s="99">
        <f t="shared" si="28"/>
        <v>0</v>
      </c>
      <c r="T92" s="95" t="e">
        <f t="shared" si="29"/>
        <v>#DIV/0!</v>
      </c>
    </row>
    <row r="93" spans="1:28" s="100" customFormat="1" ht="11.25" customHeight="1" x14ac:dyDescent="0.2">
      <c r="A93" s="129">
        <v>35</v>
      </c>
      <c r="B93" s="129" t="s">
        <v>91</v>
      </c>
      <c r="C93" s="120">
        <v>1.9</v>
      </c>
      <c r="D93" s="139"/>
      <c r="E93" s="1"/>
      <c r="F93" s="104">
        <v>0.92832081249999998</v>
      </c>
      <c r="G93" s="120">
        <v>-14.554389539537539</v>
      </c>
      <c r="H93" s="123">
        <f t="shared" si="30"/>
        <v>-18.755904549503846</v>
      </c>
      <c r="I93" s="95">
        <f t="shared" si="20"/>
        <v>0</v>
      </c>
      <c r="J93" s="96">
        <f t="shared" si="21"/>
        <v>0.4885899013157895</v>
      </c>
      <c r="K93" s="155">
        <f>$H$13</f>
        <v>3.3479999999999999</v>
      </c>
      <c r="L93" s="155"/>
      <c r="M93" s="155">
        <f t="shared" si="22"/>
        <v>6.3611999999999988E-2</v>
      </c>
      <c r="N93" s="156">
        <f t="shared" si="23"/>
        <v>6.1517963602749991E-2</v>
      </c>
      <c r="O93" s="157">
        <f t="shared" si="24"/>
        <v>3.2377875580394733</v>
      </c>
      <c r="P93" s="155">
        <f t="shared" si="25"/>
        <v>0</v>
      </c>
      <c r="Q93" s="155"/>
      <c r="R93" s="97">
        <f t="shared" si="27"/>
        <v>0</v>
      </c>
      <c r="S93" s="99">
        <f t="shared" si="28"/>
        <v>0</v>
      </c>
      <c r="T93" s="95" t="e">
        <f t="shared" si="29"/>
        <v>#DIV/0!</v>
      </c>
    </row>
    <row r="94" spans="1:28" s="109" customFormat="1" ht="11.25" customHeight="1" x14ac:dyDescent="0.2">
      <c r="A94" s="102"/>
      <c r="B94" s="102"/>
      <c r="C94" s="114"/>
      <c r="D94" s="137"/>
      <c r="E94" s="1"/>
      <c r="F94" s="103"/>
      <c r="G94" s="114"/>
      <c r="H94" s="122"/>
      <c r="I94" s="105"/>
      <c r="J94" s="106"/>
      <c r="K94" s="106"/>
      <c r="L94" s="106"/>
      <c r="M94" s="106"/>
      <c r="N94" s="107"/>
      <c r="O94" s="110"/>
      <c r="P94" s="106"/>
      <c r="Q94" s="106"/>
      <c r="R94" s="107"/>
      <c r="S94" s="108"/>
      <c r="T94" s="105"/>
    </row>
    <row r="95" spans="1:28" s="151" customFormat="1" ht="11.25" customHeight="1" x14ac:dyDescent="0.2">
      <c r="A95" s="115"/>
      <c r="B95" s="115"/>
      <c r="C95" s="116"/>
      <c r="D95" s="138"/>
      <c r="E95" s="1"/>
      <c r="F95" s="116"/>
      <c r="G95" s="116"/>
      <c r="H95" s="153"/>
      <c r="I95" s="154"/>
      <c r="J95" s="155"/>
      <c r="K95" s="155"/>
      <c r="L95" s="155"/>
      <c r="M95" s="155"/>
      <c r="N95" s="156"/>
      <c r="O95" s="157"/>
      <c r="P95" s="155"/>
      <c r="Q95" s="155"/>
      <c r="R95" s="156"/>
      <c r="S95" s="158"/>
      <c r="T95" s="154"/>
    </row>
    <row r="96" spans="1:28" s="109" customFormat="1" ht="11.25" customHeight="1" x14ac:dyDescent="0.2">
      <c r="A96" s="102"/>
      <c r="B96" s="102"/>
      <c r="C96" s="114"/>
      <c r="D96" s="137"/>
      <c r="E96" s="1"/>
      <c r="F96" s="103"/>
      <c r="G96" s="114"/>
      <c r="H96" s="122"/>
      <c r="I96" s="105"/>
      <c r="J96" s="106"/>
      <c r="K96" s="106"/>
      <c r="L96" s="106"/>
      <c r="M96" s="106"/>
      <c r="N96" s="107"/>
      <c r="O96" s="110"/>
      <c r="P96" s="106"/>
      <c r="Q96" s="106"/>
      <c r="R96" s="107"/>
      <c r="S96" s="108"/>
      <c r="T96" s="105"/>
    </row>
    <row r="97" spans="1:28" s="151" customFormat="1" ht="11.25" customHeight="1" x14ac:dyDescent="0.2">
      <c r="A97" s="115"/>
      <c r="B97" s="115"/>
      <c r="C97" s="116"/>
      <c r="D97" s="138"/>
      <c r="E97" s="1"/>
      <c r="F97" s="116"/>
      <c r="G97" s="116"/>
      <c r="H97" s="153"/>
      <c r="I97" s="154"/>
      <c r="J97" s="155"/>
      <c r="K97" s="155"/>
      <c r="L97" s="155"/>
      <c r="M97" s="155"/>
      <c r="N97" s="156"/>
      <c r="O97" s="157"/>
      <c r="P97" s="155"/>
      <c r="Q97" s="155"/>
      <c r="R97" s="156"/>
      <c r="S97" s="158"/>
      <c r="T97" s="154"/>
    </row>
    <row r="98" spans="1:28" s="100" customFormat="1" ht="11.25" customHeight="1" x14ac:dyDescent="0.2">
      <c r="A98" s="102"/>
      <c r="B98" s="162"/>
      <c r="C98" s="103"/>
      <c r="E98" s="148"/>
      <c r="F98" s="103"/>
      <c r="G98" s="103"/>
      <c r="H98" s="124"/>
      <c r="I98" s="124"/>
      <c r="J98" s="130"/>
      <c r="K98" s="130"/>
      <c r="L98" s="130"/>
      <c r="M98" s="130"/>
      <c r="N98" s="131"/>
      <c r="O98" s="125"/>
      <c r="P98" s="130"/>
      <c r="Q98" s="130"/>
      <c r="R98" s="131"/>
      <c r="S98" s="126"/>
      <c r="T98" s="124"/>
    </row>
    <row r="99" spans="1:28" s="100" customFormat="1" ht="11.25" customHeight="1" x14ac:dyDescent="0.2">
      <c r="A99" s="102"/>
      <c r="B99" s="162"/>
      <c r="C99" s="103"/>
      <c r="E99" s="148"/>
      <c r="F99" s="103"/>
      <c r="G99" s="103"/>
      <c r="H99" s="124"/>
      <c r="I99" s="124"/>
      <c r="J99" s="130"/>
      <c r="K99" s="130"/>
      <c r="L99" s="130"/>
      <c r="M99" s="130"/>
      <c r="N99" s="131"/>
      <c r="O99" s="125"/>
      <c r="P99" s="130"/>
      <c r="Q99" s="130"/>
      <c r="R99" s="131"/>
      <c r="S99" s="126"/>
      <c r="T99" s="124"/>
    </row>
    <row r="100" spans="1:28" s="100" customFormat="1" ht="11.25" customHeight="1" x14ac:dyDescent="0.2">
      <c r="A100" s="102"/>
      <c r="B100" s="162"/>
      <c r="C100" s="103"/>
      <c r="E100" s="148"/>
      <c r="F100" s="103"/>
      <c r="G100" s="103"/>
      <c r="H100" s="124"/>
      <c r="I100" s="124"/>
      <c r="J100" s="130"/>
      <c r="K100" s="130"/>
      <c r="L100" s="130"/>
      <c r="M100" s="130"/>
      <c r="N100" s="131"/>
      <c r="O100" s="125"/>
      <c r="P100" s="130"/>
      <c r="Q100" s="130"/>
      <c r="R100" s="131"/>
      <c r="S100" s="126"/>
      <c r="T100" s="124"/>
    </row>
    <row r="101" spans="1:28" s="100" customFormat="1" ht="11.25" customHeight="1" x14ac:dyDescent="0.2">
      <c r="A101" s="102"/>
      <c r="B101" s="162"/>
      <c r="C101" s="103"/>
      <c r="E101" s="148"/>
      <c r="F101" s="103"/>
      <c r="G101" s="103"/>
      <c r="H101" s="124"/>
      <c r="I101" s="124"/>
      <c r="J101" s="130"/>
      <c r="K101" s="130"/>
      <c r="L101" s="130"/>
      <c r="M101" s="130"/>
      <c r="N101" s="131"/>
      <c r="O101" s="125"/>
      <c r="P101" s="130"/>
      <c r="Q101" s="130"/>
      <c r="R101" s="131"/>
      <c r="S101" s="126"/>
      <c r="T101" s="124"/>
    </row>
    <row r="102" spans="1:28" ht="11.25" customHeight="1" x14ac:dyDescent="0.2">
      <c r="A102" s="111" t="s">
        <v>61</v>
      </c>
      <c r="B102" s="112" t="s">
        <v>40</v>
      </c>
      <c r="C102" s="111" t="s">
        <v>54</v>
      </c>
      <c r="D102" s="135"/>
      <c r="F102" s="111" t="s">
        <v>62</v>
      </c>
      <c r="G102" s="113" t="s">
        <v>63</v>
      </c>
      <c r="J102" s="1"/>
      <c r="K102" s="1"/>
      <c r="L102" s="1"/>
      <c r="M102" s="1"/>
      <c r="N102" s="1"/>
      <c r="O102" s="1"/>
      <c r="P102" s="1"/>
      <c r="Q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">
      <c r="A103" s="117" t="s">
        <v>64</v>
      </c>
      <c r="B103" s="117" t="s">
        <v>65</v>
      </c>
      <c r="C103" s="119" t="s">
        <v>67</v>
      </c>
      <c r="D103" s="136"/>
      <c r="F103" s="118" t="s">
        <v>66</v>
      </c>
      <c r="G103" s="119" t="s">
        <v>68</v>
      </c>
      <c r="J103" s="1"/>
      <c r="K103" s="1"/>
      <c r="L103" s="1"/>
      <c r="M103" s="1"/>
      <c r="N103" s="1"/>
      <c r="O103" s="1"/>
      <c r="P103" s="1"/>
      <c r="Q103" s="1"/>
      <c r="V103" s="1"/>
      <c r="W103" s="1"/>
      <c r="X103" s="1"/>
      <c r="Y103" s="1"/>
      <c r="Z103" s="1"/>
      <c r="AA103" s="1"/>
      <c r="AB103" s="1"/>
    </row>
    <row r="104" spans="1:28" ht="11.25" customHeight="1" x14ac:dyDescent="0.2">
      <c r="A104" s="102">
        <v>25</v>
      </c>
      <c r="B104" s="102" t="s">
        <v>55</v>
      </c>
      <c r="C104" s="114">
        <v>0.77</v>
      </c>
      <c r="D104" s="137"/>
      <c r="F104" s="103">
        <v>5.2633010000000002</v>
      </c>
      <c r="G104" s="114">
        <v>-21.82017777940959</v>
      </c>
      <c r="J104" s="1"/>
      <c r="K104" s="1"/>
      <c r="L104" s="1"/>
      <c r="M104" s="1"/>
      <c r="N104" s="1"/>
      <c r="O104" s="1"/>
      <c r="P104" s="1"/>
      <c r="Q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115">
        <v>26</v>
      </c>
      <c r="B105" s="115" t="s">
        <v>56</v>
      </c>
      <c r="C105" s="116">
        <v>0.52300000000000002</v>
      </c>
      <c r="D105" s="138"/>
      <c r="F105" s="116">
        <v>3.5439997499999998</v>
      </c>
      <c r="G105" s="116">
        <v>-21.763056246049743</v>
      </c>
      <c r="J105" s="1"/>
      <c r="K105" s="1"/>
      <c r="L105" s="1"/>
      <c r="M105" s="1"/>
      <c r="N105" s="1"/>
      <c r="O105" s="1"/>
      <c r="P105" s="1"/>
      <c r="Q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102">
        <v>27</v>
      </c>
      <c r="B106" s="102" t="s">
        <v>57</v>
      </c>
      <c r="C106" s="114">
        <v>1.079</v>
      </c>
      <c r="D106" s="137"/>
      <c r="F106" s="103">
        <v>7.3287880000000003</v>
      </c>
      <c r="G106" s="114">
        <v>-21.742978178753397</v>
      </c>
      <c r="J106" s="1"/>
      <c r="K106" s="1"/>
      <c r="L106" s="1"/>
      <c r="M106" s="1"/>
      <c r="N106" s="1"/>
      <c r="O106" s="1"/>
      <c r="P106" s="1"/>
      <c r="Q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115">
        <v>28</v>
      </c>
      <c r="B107" s="115" t="s">
        <v>58</v>
      </c>
      <c r="C107" s="116">
        <v>0.98099999999999998</v>
      </c>
      <c r="D107" s="138"/>
      <c r="F107" s="116">
        <v>6.5384390000000003</v>
      </c>
      <c r="G107" s="116">
        <v>-21.675774340515396</v>
      </c>
      <c r="J107" s="1"/>
      <c r="K107" s="1"/>
      <c r="L107" s="1"/>
      <c r="M107" s="1"/>
      <c r="N107" s="1"/>
      <c r="O107" s="1"/>
      <c r="P107" s="1"/>
      <c r="Q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102">
        <v>29</v>
      </c>
      <c r="B108" s="102" t="s">
        <v>59</v>
      </c>
      <c r="C108" s="114">
        <v>0.89400000000000002</v>
      </c>
      <c r="D108" s="137"/>
      <c r="F108" s="103">
        <v>5.9665499999999998</v>
      </c>
      <c r="G108" s="114">
        <v>-21.722636268260938</v>
      </c>
      <c r="J108" s="1"/>
      <c r="K108" s="1"/>
      <c r="L108" s="1"/>
      <c r="M108" s="1"/>
      <c r="N108" s="1"/>
      <c r="O108" s="1"/>
      <c r="P108" s="1"/>
      <c r="Q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115">
        <v>30</v>
      </c>
      <c r="B109" s="115" t="s">
        <v>78</v>
      </c>
      <c r="C109" s="116">
        <v>0.82699999999999996</v>
      </c>
      <c r="D109" s="138"/>
      <c r="F109" s="116">
        <v>0.38153896874999998</v>
      </c>
      <c r="G109" s="116">
        <v>-15.260219560735464</v>
      </c>
      <c r="J109" s="1"/>
      <c r="K109" s="1"/>
      <c r="L109" s="1"/>
      <c r="M109" s="1"/>
      <c r="N109" s="1"/>
      <c r="O109" s="1"/>
      <c r="P109" s="1"/>
      <c r="Q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102">
        <v>31</v>
      </c>
      <c r="B110" s="102" t="s">
        <v>244</v>
      </c>
      <c r="C110" s="114">
        <v>6.75</v>
      </c>
      <c r="D110" s="137"/>
      <c r="F110" s="103">
        <v>1.763525</v>
      </c>
      <c r="G110" s="114">
        <v>-22.040726703946916</v>
      </c>
      <c r="J110" s="1"/>
      <c r="K110" s="1"/>
      <c r="L110" s="1"/>
      <c r="M110" s="1"/>
      <c r="N110" s="1"/>
      <c r="O110" s="1"/>
      <c r="P110" s="1"/>
      <c r="Q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115">
        <v>32</v>
      </c>
      <c r="B111" s="115" t="s">
        <v>245</v>
      </c>
      <c r="C111" s="116">
        <v>6.9889999999999999</v>
      </c>
      <c r="D111" s="138"/>
      <c r="F111" s="116">
        <v>2.7356002500000001</v>
      </c>
      <c r="G111" s="116">
        <v>-22.161323355926701</v>
      </c>
      <c r="J111" s="1"/>
      <c r="K111" s="1"/>
      <c r="L111" s="1"/>
      <c r="M111" s="1"/>
      <c r="N111" s="1"/>
      <c r="O111" s="1"/>
      <c r="P111" s="1"/>
      <c r="Q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102">
        <v>33</v>
      </c>
      <c r="B112" s="102" t="s">
        <v>246</v>
      </c>
      <c r="C112" s="114">
        <v>7.67</v>
      </c>
      <c r="D112" s="137"/>
      <c r="F112" s="103">
        <v>5.6833660000000004</v>
      </c>
      <c r="G112" s="114">
        <v>-21.732541725763355</v>
      </c>
      <c r="J112" s="1"/>
      <c r="K112" s="1"/>
      <c r="L112" s="1"/>
      <c r="M112" s="1"/>
      <c r="N112" s="1"/>
      <c r="O112" s="1"/>
      <c r="P112" s="1"/>
      <c r="Q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115">
        <v>34</v>
      </c>
      <c r="B113" s="115" t="s">
        <v>70</v>
      </c>
      <c r="C113" s="116">
        <v>0.443</v>
      </c>
      <c r="D113" s="138"/>
      <c r="F113" s="116">
        <v>2.9687600000000001</v>
      </c>
      <c r="G113" s="116">
        <v>-21.766287127213086</v>
      </c>
      <c r="J113" s="1"/>
      <c r="K113" s="1"/>
      <c r="L113" s="1"/>
      <c r="M113" s="1"/>
      <c r="N113" s="1"/>
      <c r="O113" s="1"/>
      <c r="P113" s="1"/>
      <c r="Q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129">
        <v>35</v>
      </c>
      <c r="B114" s="129" t="s">
        <v>91</v>
      </c>
      <c r="C114" s="120">
        <v>1.9</v>
      </c>
      <c r="D114" s="139"/>
      <c r="F114" s="104">
        <v>0.92832081249999998</v>
      </c>
      <c r="G114" s="120">
        <v>-14.554389539537539</v>
      </c>
      <c r="J114" s="1"/>
      <c r="K114" s="1"/>
      <c r="L114" s="1"/>
      <c r="M114" s="1"/>
      <c r="N114" s="1"/>
      <c r="O114" s="1"/>
      <c r="P114" s="1"/>
      <c r="Q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115"/>
      <c r="B115" s="115"/>
      <c r="C115" s="116"/>
      <c r="D115" s="138"/>
      <c r="F115" s="116"/>
      <c r="G115" s="116"/>
      <c r="J115" s="1"/>
      <c r="K115" s="1"/>
      <c r="L115" s="1"/>
      <c r="M115" s="1"/>
      <c r="N115" s="1"/>
      <c r="O115" s="1"/>
      <c r="P115" s="1"/>
      <c r="Q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102"/>
      <c r="B116" s="102"/>
      <c r="C116" s="114"/>
      <c r="D116" s="137"/>
      <c r="F116" s="103"/>
      <c r="G116" s="114"/>
      <c r="J116" s="1"/>
      <c r="K116" s="1"/>
      <c r="L116" s="1"/>
      <c r="M116" s="1"/>
      <c r="N116" s="1"/>
      <c r="O116" s="1"/>
      <c r="P116" s="1"/>
      <c r="Q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115"/>
      <c r="B117" s="115"/>
      <c r="C117" s="116"/>
      <c r="D117" s="138"/>
      <c r="F117" s="116"/>
      <c r="G117" s="116"/>
      <c r="J117" s="1"/>
      <c r="K117" s="1"/>
      <c r="L117" s="1"/>
      <c r="M117" s="1"/>
      <c r="N117" s="1"/>
      <c r="O117" s="1"/>
      <c r="P117" s="1"/>
      <c r="Q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102"/>
      <c r="B118" s="102"/>
      <c r="C118" s="114"/>
      <c r="D118" s="137"/>
      <c r="F118" s="103"/>
      <c r="G118" s="114"/>
      <c r="J118" s="1"/>
      <c r="K118" s="1"/>
      <c r="L118" s="1"/>
      <c r="M118" s="1"/>
      <c r="N118" s="1"/>
      <c r="O118" s="1"/>
      <c r="P118" s="1"/>
      <c r="Q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115"/>
      <c r="B119" s="115"/>
      <c r="C119" s="116"/>
      <c r="D119" s="138"/>
      <c r="F119" s="116"/>
      <c r="G119" s="116"/>
      <c r="J119" s="1"/>
      <c r="K119" s="1"/>
      <c r="L119" s="1"/>
      <c r="M119" s="1"/>
      <c r="N119" s="1"/>
      <c r="O119" s="1"/>
      <c r="P119" s="1"/>
      <c r="Q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102"/>
      <c r="B120" s="102"/>
      <c r="C120" s="114"/>
      <c r="D120" s="137"/>
      <c r="F120" s="103"/>
      <c r="G120" s="114"/>
      <c r="J120" s="1"/>
      <c r="K120" s="1"/>
      <c r="L120" s="1"/>
      <c r="M120" s="1"/>
      <c r="N120" s="1"/>
      <c r="O120" s="1"/>
      <c r="P120" s="1"/>
      <c r="Q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115"/>
      <c r="B121" s="115"/>
      <c r="C121" s="116"/>
      <c r="D121" s="138"/>
      <c r="F121" s="116"/>
      <c r="G121" s="116"/>
      <c r="J121" s="1"/>
      <c r="K121" s="1"/>
      <c r="L121" s="1"/>
      <c r="M121" s="1"/>
      <c r="N121" s="1"/>
      <c r="O121" s="1"/>
      <c r="P121" s="1"/>
      <c r="Q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102"/>
      <c r="B122" s="102"/>
      <c r="C122" s="114"/>
      <c r="D122" s="137"/>
      <c r="F122" s="103"/>
      <c r="G122" s="114"/>
      <c r="J122" s="1"/>
      <c r="K122" s="1"/>
      <c r="L122" s="1"/>
      <c r="M122" s="1"/>
      <c r="N122" s="1"/>
      <c r="O122" s="1"/>
      <c r="P122" s="1"/>
      <c r="Q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115"/>
      <c r="B123" s="115"/>
      <c r="C123" s="116"/>
      <c r="D123" s="138"/>
      <c r="F123" s="116"/>
      <c r="G123" s="116"/>
      <c r="J123" s="1"/>
      <c r="K123" s="1"/>
      <c r="L123" s="1"/>
      <c r="M123" s="1"/>
      <c r="N123" s="1"/>
      <c r="O123" s="1"/>
      <c r="P123" s="1"/>
      <c r="Q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102"/>
      <c r="B124" s="102"/>
      <c r="C124" s="114"/>
      <c r="D124" s="137"/>
      <c r="F124" s="103"/>
      <c r="G124" s="114"/>
      <c r="J124" s="1"/>
      <c r="K124" s="1"/>
      <c r="L124" s="1"/>
      <c r="M124" s="1"/>
      <c r="N124" s="1"/>
      <c r="O124" s="1"/>
      <c r="P124" s="1"/>
      <c r="Q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115"/>
      <c r="B125" s="115"/>
      <c r="C125" s="116"/>
      <c r="D125" s="138"/>
      <c r="F125" s="116"/>
      <c r="G125" s="116"/>
      <c r="J125" s="1"/>
      <c r="K125" s="1"/>
      <c r="L125" s="1"/>
      <c r="M125" s="1"/>
      <c r="N125" s="1"/>
      <c r="O125" s="1"/>
      <c r="P125" s="1"/>
      <c r="Q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102"/>
      <c r="B126" s="102"/>
      <c r="C126" s="114"/>
      <c r="D126" s="137"/>
      <c r="F126" s="103"/>
      <c r="G126" s="114"/>
      <c r="J126" s="1"/>
      <c r="K126" s="1"/>
      <c r="L126" s="1"/>
      <c r="M126" s="1"/>
      <c r="N126" s="1"/>
      <c r="O126" s="1"/>
      <c r="P126" s="1"/>
      <c r="Q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115"/>
      <c r="B127" s="115"/>
      <c r="C127" s="116"/>
      <c r="D127" s="138"/>
      <c r="F127" s="116"/>
      <c r="G127" s="116"/>
      <c r="J127" s="1"/>
      <c r="K127" s="1"/>
      <c r="L127" s="1"/>
      <c r="M127" s="1"/>
      <c r="N127" s="1"/>
      <c r="O127" s="1"/>
      <c r="P127" s="1"/>
      <c r="Q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102">
        <v>49</v>
      </c>
      <c r="B128" s="102" t="s">
        <v>209</v>
      </c>
      <c r="C128" s="114">
        <v>11.337999999999999</v>
      </c>
      <c r="D128" s="137"/>
      <c r="F128" s="103">
        <v>8.058503</v>
      </c>
      <c r="G128" s="114">
        <v>-22.063756476403555</v>
      </c>
      <c r="J128" s="1"/>
      <c r="K128" s="1"/>
      <c r="L128" s="1"/>
      <c r="M128" s="1"/>
      <c r="N128" s="1"/>
      <c r="O128" s="1"/>
      <c r="P128" s="1"/>
      <c r="Q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115">
        <v>50</v>
      </c>
      <c r="B129" s="115" t="s">
        <v>210</v>
      </c>
      <c r="C129" s="116">
        <v>9.6449999999999996</v>
      </c>
      <c r="D129" s="138"/>
      <c r="F129" s="116">
        <v>5.4361974999999996</v>
      </c>
      <c r="G129" s="116">
        <v>-22.15794381693328</v>
      </c>
      <c r="J129" s="1"/>
      <c r="K129" s="1"/>
      <c r="L129" s="1"/>
      <c r="M129" s="1"/>
      <c r="N129" s="1"/>
      <c r="O129" s="1"/>
      <c r="P129" s="1"/>
      <c r="Q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102">
        <v>51</v>
      </c>
      <c r="B130" s="102" t="s">
        <v>211</v>
      </c>
      <c r="C130" s="114">
        <v>9.9619999999999997</v>
      </c>
      <c r="D130" s="137"/>
      <c r="F130" s="103">
        <v>6.3570440000000001</v>
      </c>
      <c r="G130" s="114">
        <v>-21.902995643259594</v>
      </c>
      <c r="J130" s="1"/>
      <c r="K130" s="1"/>
      <c r="L130" s="1"/>
      <c r="M130" s="1"/>
      <c r="N130" s="1"/>
      <c r="O130" s="1"/>
      <c r="P130" s="1"/>
      <c r="Q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115">
        <v>52</v>
      </c>
      <c r="B131" s="115" t="s">
        <v>212</v>
      </c>
      <c r="C131" s="116">
        <v>10.89</v>
      </c>
      <c r="D131" s="138"/>
      <c r="F131" s="116">
        <v>7.7858444999999996</v>
      </c>
      <c r="G131" s="116">
        <v>-21.978045192333088</v>
      </c>
      <c r="J131" s="1"/>
      <c r="K131" s="1"/>
      <c r="L131" s="1"/>
      <c r="M131" s="1"/>
      <c r="N131" s="1"/>
      <c r="O131" s="1"/>
      <c r="P131" s="1"/>
      <c r="Q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102">
        <v>53</v>
      </c>
      <c r="B132" s="102" t="s">
        <v>213</v>
      </c>
      <c r="C132" s="114">
        <v>9.4670000000000005</v>
      </c>
      <c r="D132" s="137"/>
      <c r="F132" s="103">
        <v>6.5560305000000003</v>
      </c>
      <c r="G132" s="114">
        <v>-21.96803745150131</v>
      </c>
      <c r="J132" s="1"/>
      <c r="K132" s="1"/>
      <c r="L132" s="1"/>
      <c r="M132" s="1"/>
      <c r="N132" s="1"/>
      <c r="O132" s="1"/>
      <c r="P132" s="1"/>
      <c r="Q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115">
        <v>54</v>
      </c>
      <c r="B133" s="115" t="s">
        <v>214</v>
      </c>
      <c r="C133" s="116">
        <v>10.208</v>
      </c>
      <c r="D133" s="138"/>
      <c r="F133" s="116">
        <v>6.6546810000000001</v>
      </c>
      <c r="G133" s="116">
        <v>-21.755482634180272</v>
      </c>
      <c r="J133" s="1"/>
      <c r="K133" s="1"/>
      <c r="L133" s="1"/>
      <c r="M133" s="1"/>
      <c r="N133" s="1"/>
      <c r="O133" s="1"/>
      <c r="P133" s="1"/>
      <c r="Q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102">
        <v>55</v>
      </c>
      <c r="B134" s="102" t="s">
        <v>215</v>
      </c>
      <c r="C134" s="114">
        <v>9.9890000000000008</v>
      </c>
      <c r="D134" s="137"/>
      <c r="F134" s="103">
        <v>6.2771904999999997</v>
      </c>
      <c r="G134" s="114">
        <v>-21.836266623882452</v>
      </c>
      <c r="J134" s="1"/>
      <c r="K134" s="1"/>
      <c r="L134" s="1"/>
      <c r="M134" s="1"/>
      <c r="N134" s="1"/>
      <c r="O134" s="1"/>
      <c r="P134" s="1"/>
      <c r="Q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115">
        <v>56</v>
      </c>
      <c r="B135" s="115" t="s">
        <v>216</v>
      </c>
      <c r="C135" s="116">
        <v>12.013999999999999</v>
      </c>
      <c r="D135" s="138"/>
      <c r="F135" s="116">
        <v>8.5954189999999997</v>
      </c>
      <c r="G135" s="116">
        <v>-21.794297003751382</v>
      </c>
      <c r="J135" s="1"/>
      <c r="K135" s="1"/>
      <c r="L135" s="1"/>
      <c r="M135" s="1"/>
      <c r="N135" s="1"/>
      <c r="O135" s="1"/>
      <c r="P135" s="1"/>
      <c r="Q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102">
        <v>57</v>
      </c>
      <c r="B136" s="102" t="s">
        <v>60</v>
      </c>
      <c r="C136" s="114">
        <v>0.58399999999999996</v>
      </c>
      <c r="D136" s="137"/>
      <c r="F136" s="103">
        <v>4.0913887500000001</v>
      </c>
      <c r="G136" s="114">
        <v>-21.705251828311944</v>
      </c>
      <c r="J136" s="1"/>
      <c r="K136" s="1"/>
      <c r="L136" s="1"/>
      <c r="M136" s="1"/>
      <c r="N136" s="1"/>
      <c r="O136" s="1"/>
      <c r="P136" s="1"/>
      <c r="Q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115">
        <v>58</v>
      </c>
      <c r="B137" s="115" t="s">
        <v>104</v>
      </c>
      <c r="C137" s="116">
        <v>2.3170000000000002</v>
      </c>
      <c r="D137" s="138"/>
      <c r="F137" s="116">
        <v>1.1171781249999999</v>
      </c>
      <c r="G137" s="116">
        <v>-15.391689595377201</v>
      </c>
      <c r="J137" s="1"/>
      <c r="K137" s="1"/>
      <c r="L137" s="1"/>
      <c r="M137" s="1"/>
      <c r="N137" s="1"/>
      <c r="O137" s="1"/>
      <c r="P137" s="1"/>
      <c r="Q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102">
        <v>59</v>
      </c>
      <c r="B138" s="102" t="s">
        <v>217</v>
      </c>
      <c r="C138" s="114">
        <v>8.6270000000000007</v>
      </c>
      <c r="D138" s="137"/>
      <c r="F138" s="103">
        <v>3.5538975000000002</v>
      </c>
      <c r="G138" s="114">
        <v>-24.212762129800453</v>
      </c>
      <c r="J138" s="1"/>
      <c r="K138" s="1"/>
      <c r="L138" s="1"/>
      <c r="M138" s="1"/>
      <c r="N138" s="1"/>
      <c r="O138" s="1"/>
      <c r="P138" s="1"/>
      <c r="Q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115">
        <v>60</v>
      </c>
      <c r="B139" s="115" t="s">
        <v>218</v>
      </c>
      <c r="C139" s="116">
        <v>9.5960000000000001</v>
      </c>
      <c r="D139" s="138"/>
      <c r="F139" s="116">
        <v>5.2169860000000003</v>
      </c>
      <c r="G139" s="116">
        <v>-23.978623116217751</v>
      </c>
      <c r="J139" s="1"/>
      <c r="K139" s="1"/>
      <c r="L139" s="1"/>
      <c r="M139" s="1"/>
      <c r="N139" s="1"/>
      <c r="O139" s="1"/>
      <c r="P139" s="1"/>
      <c r="Q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102">
        <v>61</v>
      </c>
      <c r="B140" s="102" t="s">
        <v>219</v>
      </c>
      <c r="C140" s="114">
        <v>9.7789999999999999</v>
      </c>
      <c r="D140" s="137"/>
      <c r="F140" s="103">
        <v>5.3553129999999998</v>
      </c>
      <c r="G140" s="114">
        <v>-24.163193039145501</v>
      </c>
      <c r="J140" s="1"/>
      <c r="K140" s="1"/>
      <c r="L140" s="1"/>
      <c r="M140" s="1"/>
      <c r="N140" s="1"/>
      <c r="O140" s="1"/>
      <c r="P140" s="1"/>
      <c r="Q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115">
        <v>62</v>
      </c>
      <c r="B141" s="115" t="s">
        <v>220</v>
      </c>
      <c r="C141" s="116">
        <v>7.2510000000000003</v>
      </c>
      <c r="D141" s="138"/>
      <c r="F141" s="116">
        <v>1.7948191250000001</v>
      </c>
      <c r="G141" s="116">
        <v>-18.752580090816938</v>
      </c>
      <c r="J141" s="1"/>
      <c r="K141" s="1"/>
      <c r="L141" s="1"/>
      <c r="M141" s="1"/>
      <c r="N141" s="1"/>
      <c r="O141" s="1"/>
      <c r="P141" s="1"/>
      <c r="Q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102">
        <v>63</v>
      </c>
      <c r="B142" s="102" t="s">
        <v>221</v>
      </c>
      <c r="C142" s="114">
        <v>7.548</v>
      </c>
      <c r="D142" s="137"/>
      <c r="F142" s="103">
        <v>2.0918744999999999</v>
      </c>
      <c r="G142" s="114">
        <v>-18.837249883314332</v>
      </c>
      <c r="J142" s="1"/>
      <c r="K142" s="1"/>
      <c r="L142" s="1"/>
      <c r="M142" s="1"/>
      <c r="N142" s="1"/>
      <c r="O142" s="1"/>
      <c r="P142" s="1"/>
      <c r="Q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115">
        <v>64</v>
      </c>
      <c r="B143" s="115" t="s">
        <v>222</v>
      </c>
      <c r="C143" s="116">
        <v>7.3129999999999997</v>
      </c>
      <c r="D143" s="138"/>
      <c r="F143" s="116">
        <v>1.89953175</v>
      </c>
      <c r="G143" s="116">
        <v>-19.07371946180162</v>
      </c>
      <c r="J143" s="1"/>
      <c r="K143" s="1"/>
      <c r="L143" s="1"/>
      <c r="M143" s="1"/>
      <c r="N143" s="1"/>
      <c r="O143" s="1"/>
      <c r="P143" s="1"/>
      <c r="Q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102">
        <v>65</v>
      </c>
      <c r="B144" s="102" t="s">
        <v>223</v>
      </c>
      <c r="C144" s="114">
        <v>14.904</v>
      </c>
      <c r="D144" s="137"/>
      <c r="F144" s="103">
        <v>4.6294880000000003</v>
      </c>
      <c r="G144" s="114">
        <v>-21.27571937236036</v>
      </c>
      <c r="J144" s="1"/>
      <c r="K144" s="1"/>
      <c r="L144" s="1"/>
      <c r="M144" s="1"/>
      <c r="N144" s="1"/>
      <c r="O144" s="1"/>
      <c r="P144" s="1"/>
      <c r="Q144" s="1"/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115">
        <v>66</v>
      </c>
      <c r="B145" s="115" t="s">
        <v>224</v>
      </c>
      <c r="C145" s="116">
        <v>15.021000000000001</v>
      </c>
      <c r="D145" s="138"/>
      <c r="F145" s="116">
        <v>4.8754989999999996</v>
      </c>
      <c r="G145" s="116">
        <v>-21.384646303290204</v>
      </c>
      <c r="J145" s="1"/>
      <c r="K145" s="1"/>
      <c r="L145" s="1"/>
      <c r="M145" s="1"/>
      <c r="N145" s="1"/>
      <c r="O145" s="1"/>
      <c r="P145" s="1"/>
      <c r="Q145" s="1"/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102">
        <v>67</v>
      </c>
      <c r="B146" s="102" t="s">
        <v>225</v>
      </c>
      <c r="C146" s="114">
        <v>14.436999999999999</v>
      </c>
      <c r="D146" s="137"/>
      <c r="F146" s="103">
        <v>4.1261987500000004</v>
      </c>
      <c r="G146" s="114">
        <v>-21.407939848215982</v>
      </c>
      <c r="J146" s="1"/>
      <c r="K146" s="1"/>
      <c r="L146" s="1"/>
      <c r="M146" s="1"/>
      <c r="N146" s="1"/>
      <c r="O146" s="1"/>
      <c r="P146" s="1"/>
      <c r="Q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115">
        <v>68</v>
      </c>
      <c r="B147" s="115" t="s">
        <v>226</v>
      </c>
      <c r="C147" s="116">
        <v>19.907</v>
      </c>
      <c r="D147" s="138"/>
      <c r="F147" s="116">
        <v>5.9747839999999997</v>
      </c>
      <c r="G147" s="116">
        <v>-21.021643255334975</v>
      </c>
      <c r="J147" s="1"/>
      <c r="K147" s="1"/>
      <c r="L147" s="1"/>
      <c r="M147" s="1"/>
      <c r="N147" s="1"/>
      <c r="O147" s="1"/>
      <c r="P147" s="1"/>
      <c r="Q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102">
        <v>69</v>
      </c>
      <c r="B148" s="102" t="s">
        <v>227</v>
      </c>
      <c r="C148" s="114">
        <v>14.795</v>
      </c>
      <c r="D148" s="137"/>
      <c r="F148" s="103">
        <v>2.6043717499999999</v>
      </c>
      <c r="G148" s="114">
        <v>-20.778758820414069</v>
      </c>
      <c r="J148" s="1"/>
      <c r="K148" s="1"/>
      <c r="L148" s="1"/>
      <c r="M148" s="1"/>
      <c r="N148" s="1"/>
      <c r="O148" s="1"/>
      <c r="P148" s="1"/>
      <c r="Q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115">
        <v>70</v>
      </c>
      <c r="B149" s="115" t="s">
        <v>228</v>
      </c>
      <c r="C149" s="116">
        <v>27.736000000000001</v>
      </c>
      <c r="D149" s="138"/>
      <c r="F149" s="116">
        <v>7.7406420000000002</v>
      </c>
      <c r="G149" s="116">
        <v>-20.75542765951749</v>
      </c>
      <c r="J149" s="1"/>
      <c r="K149" s="1"/>
      <c r="L149" s="1"/>
      <c r="M149" s="1"/>
      <c r="N149" s="1"/>
      <c r="O149" s="1"/>
      <c r="P149" s="1"/>
      <c r="Q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102">
        <v>71</v>
      </c>
      <c r="B150" s="102" t="s">
        <v>72</v>
      </c>
      <c r="C150" s="114">
        <v>0.438</v>
      </c>
      <c r="D150" s="137"/>
      <c r="F150" s="103">
        <v>3.0748692499999999</v>
      </c>
      <c r="G150" s="114">
        <v>-21.596085434924763</v>
      </c>
      <c r="J150" s="1"/>
      <c r="K150" s="1"/>
      <c r="L150" s="1"/>
      <c r="M150" s="1"/>
      <c r="N150" s="1"/>
      <c r="O150" s="1"/>
      <c r="P150" s="1"/>
      <c r="Q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115">
        <v>72</v>
      </c>
      <c r="B151" s="115" t="s">
        <v>117</v>
      </c>
      <c r="C151" s="116">
        <v>1.6339999999999999</v>
      </c>
      <c r="D151" s="138"/>
      <c r="F151" s="116">
        <v>0.78586462499999998</v>
      </c>
      <c r="G151" s="116">
        <v>-15.472332285027196</v>
      </c>
      <c r="J151" s="1"/>
      <c r="K151" s="1"/>
      <c r="L151" s="1"/>
      <c r="M151" s="1"/>
      <c r="N151" s="1"/>
      <c r="O151" s="1"/>
      <c r="P151" s="1"/>
      <c r="Q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5">
      <c r="A152" s="102">
        <v>73</v>
      </c>
      <c r="B152" s="102" t="s">
        <v>229</v>
      </c>
      <c r="C152" s="114">
        <v>0</v>
      </c>
      <c r="D152" s="137"/>
      <c r="F152" s="103">
        <v>1.2563855468749999E-2</v>
      </c>
      <c r="G152" s="114">
        <v>-17.329558730016458</v>
      </c>
      <c r="J152" s="7"/>
      <c r="K152" s="1"/>
      <c r="L152" s="1"/>
      <c r="M152" s="1"/>
      <c r="N152" s="1"/>
      <c r="O152"/>
      <c r="P152"/>
      <c r="Q152"/>
      <c r="R152"/>
      <c r="S152"/>
      <c r="T152"/>
      <c r="U152"/>
      <c r="V152" s="1"/>
      <c r="W152" s="1"/>
      <c r="X152" s="1"/>
      <c r="Y152" s="1"/>
      <c r="Z152" s="1"/>
      <c r="AA152" s="1"/>
      <c r="AB152" s="1"/>
    </row>
    <row r="153" spans="1:28" ht="11.25" customHeight="1" x14ac:dyDescent="0.25">
      <c r="A153" s="140">
        <v>74</v>
      </c>
      <c r="B153" s="140" t="s">
        <v>230</v>
      </c>
      <c r="C153" s="132">
        <v>0</v>
      </c>
      <c r="D153" s="141"/>
      <c r="F153" s="132">
        <v>8.9229189453125003E-3</v>
      </c>
      <c r="G153" s="132">
        <v>-19.939513919495305</v>
      </c>
      <c r="J153" s="7"/>
      <c r="K153" s="1"/>
      <c r="L153" s="1"/>
      <c r="M153" s="1"/>
      <c r="N153" s="1"/>
      <c r="O153"/>
      <c r="P153"/>
      <c r="Q153"/>
      <c r="R153"/>
      <c r="S153"/>
      <c r="T153"/>
      <c r="U153"/>
      <c r="V153" s="1"/>
      <c r="W153" s="1"/>
      <c r="X153" s="1"/>
      <c r="Y153" s="1"/>
      <c r="Z153" s="1"/>
      <c r="AA153" s="1"/>
      <c r="AB153" s="1"/>
    </row>
    <row r="154" spans="1:28" ht="11.25" customHeight="1" x14ac:dyDescent="0.25">
      <c r="I154" s="10"/>
      <c r="L154" s="7"/>
      <c r="Q154" s="1"/>
      <c r="U154"/>
      <c r="AB154" s="1"/>
    </row>
    <row r="155" spans="1:28" ht="11.25" customHeight="1" x14ac:dyDescent="0.25">
      <c r="I155" s="10"/>
      <c r="L155" s="7"/>
      <c r="Q155" s="1"/>
      <c r="U155"/>
      <c r="AB155" s="1"/>
    </row>
    <row r="156" spans="1:28" ht="11.25" customHeight="1" x14ac:dyDescent="0.25">
      <c r="I156" s="10"/>
      <c r="L156" s="7"/>
      <c r="Q156" s="1"/>
      <c r="U156"/>
      <c r="AB156" s="1"/>
    </row>
    <row r="157" spans="1:28" ht="11.25" customHeight="1" x14ac:dyDescent="0.25">
      <c r="I157" s="10"/>
      <c r="L157" s="7"/>
      <c r="Q157" s="1"/>
      <c r="U157"/>
      <c r="AB157" s="1"/>
    </row>
    <row r="158" spans="1:28" ht="11.25" customHeight="1" x14ac:dyDescent="0.25">
      <c r="I158" s="10"/>
      <c r="L158" s="7"/>
      <c r="Q158" s="1"/>
      <c r="U158"/>
      <c r="AB158" s="1"/>
    </row>
    <row r="159" spans="1:28" ht="11.25" customHeight="1" x14ac:dyDescent="0.25">
      <c r="I159" s="10"/>
      <c r="L159" s="7"/>
      <c r="Q159" s="1"/>
      <c r="U159"/>
      <c r="AB159" s="1"/>
    </row>
    <row r="160" spans="1:28" ht="11.25" customHeight="1" x14ac:dyDescent="0.25">
      <c r="I160" s="10"/>
      <c r="L160" s="7"/>
      <c r="Q160" s="1"/>
      <c r="U160"/>
      <c r="AB160" s="1"/>
    </row>
    <row r="161" spans="9:28" ht="11.25" customHeight="1" x14ac:dyDescent="0.25">
      <c r="I161" s="10"/>
      <c r="L161" s="7"/>
      <c r="Q161" s="1"/>
      <c r="U161"/>
      <c r="AB161" s="1"/>
    </row>
    <row r="162" spans="9:28" ht="11.25" customHeight="1" x14ac:dyDescent="0.25">
      <c r="I162" s="10"/>
      <c r="L162" s="7"/>
      <c r="Q162" s="1"/>
      <c r="U162"/>
      <c r="AB162" s="1"/>
    </row>
    <row r="163" spans="9:28" ht="11.25" customHeight="1" x14ac:dyDescent="0.25">
      <c r="I163" s="10"/>
      <c r="L163" s="7"/>
      <c r="Q163" s="1"/>
      <c r="U163"/>
      <c r="AB163" s="1"/>
    </row>
    <row r="164" spans="9:28" ht="11.25" customHeight="1" x14ac:dyDescent="0.25">
      <c r="I164" s="10"/>
      <c r="L164" s="7"/>
      <c r="Q164" s="1"/>
      <c r="U164"/>
      <c r="AB164" s="1"/>
    </row>
    <row r="165" spans="9:28" ht="11.25" customHeight="1" x14ac:dyDescent="0.25">
      <c r="I165" s="10"/>
      <c r="L165" s="7"/>
      <c r="Q165" s="1"/>
      <c r="U165"/>
      <c r="AB165" s="1"/>
    </row>
    <row r="166" spans="9:28" ht="11.25" customHeight="1" x14ac:dyDescent="0.25">
      <c r="I166" s="10"/>
      <c r="L166" s="7"/>
      <c r="Q166" s="1"/>
      <c r="U166"/>
      <c r="AB166" s="1"/>
    </row>
    <row r="167" spans="9:28" ht="11.25" customHeight="1" x14ac:dyDescent="0.25">
      <c r="I167" s="10"/>
      <c r="L167" s="7"/>
      <c r="Q167" s="1"/>
      <c r="U167"/>
      <c r="AB167" s="1"/>
    </row>
    <row r="168" spans="9:28" ht="11.25" customHeight="1" x14ac:dyDescent="0.25">
      <c r="I168" s="10"/>
      <c r="L168" s="7"/>
      <c r="Q168" s="1"/>
      <c r="U168"/>
      <c r="AB168" s="1"/>
    </row>
    <row r="169" spans="9:28" ht="11.25" customHeight="1" x14ac:dyDescent="0.25">
      <c r="I169" s="10"/>
      <c r="L169" s="7"/>
      <c r="Q169" s="1"/>
      <c r="U169"/>
      <c r="AB169" s="1"/>
    </row>
    <row r="170" spans="9:28" ht="11.25" customHeight="1" x14ac:dyDescent="0.25">
      <c r="I170" s="10"/>
      <c r="L170" s="7"/>
      <c r="Q170" s="1"/>
      <c r="U170"/>
      <c r="AB170" s="1"/>
    </row>
    <row r="171" spans="9:28" ht="11.25" customHeight="1" x14ac:dyDescent="0.25">
      <c r="I171" s="10"/>
      <c r="L171" s="7"/>
      <c r="Q171" s="1"/>
      <c r="U171"/>
      <c r="AB171" s="1"/>
    </row>
    <row r="172" spans="9:28" ht="11.25" customHeight="1" x14ac:dyDescent="0.25">
      <c r="I172" s="10"/>
      <c r="L172" s="7"/>
      <c r="Q172" s="1"/>
      <c r="U172"/>
      <c r="AB172" s="1"/>
    </row>
    <row r="173" spans="9:28" ht="11.25" customHeight="1" x14ac:dyDescent="0.25">
      <c r="I173" s="10"/>
      <c r="L173" s="7"/>
      <c r="Q173" s="1"/>
      <c r="U173"/>
      <c r="AB173" s="1"/>
    </row>
    <row r="174" spans="9:28" ht="11.25" customHeight="1" x14ac:dyDescent="0.25">
      <c r="I174" s="10"/>
      <c r="L174" s="7"/>
      <c r="Q174" s="1"/>
      <c r="U174"/>
      <c r="AB174" s="1"/>
    </row>
    <row r="175" spans="9:28" ht="11.25" customHeight="1" x14ac:dyDescent="0.25">
      <c r="I175" s="10"/>
      <c r="L175" s="7"/>
      <c r="Q175" s="1"/>
      <c r="U175"/>
      <c r="AB175" s="1"/>
    </row>
    <row r="176" spans="9:28" ht="11.25" customHeight="1" x14ac:dyDescent="0.25">
      <c r="I176" s="10"/>
      <c r="L176" s="7"/>
      <c r="Q176" s="1"/>
      <c r="U176"/>
      <c r="AB176" s="1"/>
    </row>
    <row r="177" spans="9:28" ht="11.25" customHeight="1" x14ac:dyDescent="0.25">
      <c r="I177" s="10"/>
      <c r="L177" s="7"/>
      <c r="Q177" s="1"/>
      <c r="U177"/>
      <c r="AB177" s="1"/>
    </row>
    <row r="178" spans="9:28" ht="11.25" customHeight="1" x14ac:dyDescent="0.25">
      <c r="I178" s="10"/>
      <c r="L178" s="7"/>
      <c r="Q178" s="1"/>
      <c r="U178"/>
      <c r="AB178" s="1"/>
    </row>
    <row r="179" spans="9:28" ht="11.25" customHeight="1" x14ac:dyDescent="0.25">
      <c r="I179" s="10"/>
      <c r="L179" s="7"/>
      <c r="Q179" s="1"/>
      <c r="U179"/>
      <c r="AB179" s="1"/>
    </row>
    <row r="180" spans="9:28" ht="11.25" customHeight="1" x14ac:dyDescent="0.25">
      <c r="I180" s="10"/>
      <c r="L180" s="7"/>
      <c r="Q180" s="1"/>
      <c r="U180"/>
      <c r="AB180" s="1"/>
    </row>
    <row r="181" spans="9:28" ht="11.25" customHeight="1" x14ac:dyDescent="0.25">
      <c r="I181" s="10"/>
      <c r="L181" s="7"/>
      <c r="Q181" s="1"/>
      <c r="U181"/>
      <c r="AB181" s="1"/>
    </row>
    <row r="182" spans="9:28" ht="11.25" customHeight="1" x14ac:dyDescent="0.25">
      <c r="I182" s="10"/>
      <c r="L182" s="7"/>
      <c r="Q182" s="1"/>
      <c r="U182"/>
      <c r="AB182" s="1"/>
    </row>
    <row r="183" spans="9:28" ht="11.25" customHeight="1" x14ac:dyDescent="0.25">
      <c r="I183" s="10"/>
      <c r="L183" s="7"/>
      <c r="Q183" s="1"/>
      <c r="U183"/>
      <c r="AB183" s="1"/>
    </row>
    <row r="184" spans="9:28" ht="11.25" customHeight="1" x14ac:dyDescent="0.25">
      <c r="I184" s="10"/>
      <c r="L184" s="7"/>
      <c r="Q184" s="1"/>
      <c r="U184"/>
      <c r="AB184" s="1"/>
    </row>
    <row r="185" spans="9:28" ht="11.25" customHeight="1" x14ac:dyDescent="0.25">
      <c r="I185" s="10"/>
      <c r="L185" s="7"/>
      <c r="Q185" s="1"/>
      <c r="U185"/>
      <c r="AB185" s="1"/>
    </row>
    <row r="186" spans="9:28" ht="11.25" customHeight="1" x14ac:dyDescent="0.25">
      <c r="I186" s="10"/>
      <c r="L186" s="7"/>
      <c r="Q186" s="1"/>
      <c r="U186"/>
      <c r="AB186" s="1"/>
    </row>
    <row r="187" spans="9:28" ht="11.25" customHeight="1" x14ac:dyDescent="0.25">
      <c r="I187" s="10"/>
      <c r="L187" s="7"/>
      <c r="Q187" s="1"/>
      <c r="U187"/>
      <c r="AB187" s="1"/>
    </row>
    <row r="188" spans="9:28" ht="11.25" customHeight="1" x14ac:dyDescent="0.25">
      <c r="I188" s="10"/>
      <c r="L188" s="7"/>
      <c r="Q188" s="1"/>
      <c r="U188"/>
      <c r="AB188" s="1"/>
    </row>
    <row r="189" spans="9:28" ht="11.25" customHeight="1" x14ac:dyDescent="0.25">
      <c r="I189" s="10"/>
      <c r="L189" s="7"/>
      <c r="Q189" s="1"/>
      <c r="U189"/>
      <c r="AB189" s="1"/>
    </row>
    <row r="190" spans="9:28" ht="11.25" customHeight="1" x14ac:dyDescent="0.25">
      <c r="I190" s="10"/>
      <c r="L190" s="7"/>
      <c r="Q190" s="1"/>
      <c r="U190"/>
      <c r="AB190" s="1"/>
    </row>
    <row r="191" spans="9:28" ht="11.25" customHeight="1" x14ac:dyDescent="0.25">
      <c r="I191" s="10"/>
      <c r="L191" s="7"/>
      <c r="Q191" s="1"/>
      <c r="U191"/>
      <c r="AB191" s="1"/>
    </row>
    <row r="192" spans="9:28" ht="11.25" customHeight="1" x14ac:dyDescent="0.25">
      <c r="I192" s="10"/>
      <c r="L192" s="7"/>
      <c r="Q192" s="1"/>
      <c r="U192"/>
      <c r="AB192" s="1"/>
    </row>
    <row r="193" spans="9:28" ht="11.25" customHeight="1" x14ac:dyDescent="0.25">
      <c r="I193" s="10"/>
      <c r="L193" s="7"/>
      <c r="Q193" s="1"/>
      <c r="U193"/>
      <c r="AB193" s="1"/>
    </row>
    <row r="194" spans="9:28" ht="11.25" customHeight="1" x14ac:dyDescent="0.25">
      <c r="I194" s="10"/>
      <c r="L194" s="7"/>
      <c r="Q194" s="1"/>
      <c r="U194"/>
      <c r="AB194" s="1"/>
    </row>
    <row r="195" spans="9:28" ht="11.25" customHeight="1" x14ac:dyDescent="0.25">
      <c r="I195" s="10"/>
      <c r="L195" s="7"/>
      <c r="Q195" s="1"/>
      <c r="U195"/>
      <c r="AB195" s="1"/>
    </row>
    <row r="196" spans="9:28" ht="11.25" customHeight="1" x14ac:dyDescent="0.25">
      <c r="I196" s="10"/>
      <c r="L196" s="7"/>
      <c r="Q196" s="1"/>
      <c r="U196"/>
      <c r="AB196" s="1"/>
    </row>
    <row r="197" spans="9:28" ht="11.25" customHeight="1" x14ac:dyDescent="0.25">
      <c r="I197" s="10"/>
      <c r="L197" s="7"/>
      <c r="Q197" s="1"/>
      <c r="U197"/>
      <c r="AB197" s="1"/>
    </row>
    <row r="198" spans="9:28" ht="11.25" customHeight="1" x14ac:dyDescent="0.25">
      <c r="I198" s="10"/>
      <c r="L198" s="7"/>
      <c r="Q198" s="1"/>
      <c r="U198"/>
      <c r="AB198" s="1"/>
    </row>
    <row r="199" spans="9:28" ht="11.25" customHeight="1" x14ac:dyDescent="0.25">
      <c r="I199" s="10"/>
      <c r="L199" s="7"/>
      <c r="Q199" s="1"/>
      <c r="U199"/>
      <c r="AB199" s="1"/>
    </row>
    <row r="200" spans="9:28" ht="11.25" customHeight="1" x14ac:dyDescent="0.25">
      <c r="I200" s="10"/>
      <c r="L200" s="7"/>
      <c r="Q200" s="1"/>
      <c r="U200"/>
      <c r="AB200" s="1"/>
    </row>
    <row r="201" spans="9:28" ht="11.25" customHeight="1" x14ac:dyDescent="0.25">
      <c r="I201" s="10"/>
      <c r="L201" s="7"/>
      <c r="Q201" s="1"/>
      <c r="U201"/>
      <c r="AB201" s="1"/>
    </row>
    <row r="202" spans="9:28" ht="11.25" customHeight="1" x14ac:dyDescent="0.25">
      <c r="I202" s="10"/>
      <c r="L202" s="7"/>
    </row>
    <row r="203" spans="9:28" ht="11.25" customHeight="1" x14ac:dyDescent="0.25">
      <c r="I203" s="10"/>
      <c r="L203" s="7"/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203"/>
  <sheetViews>
    <sheetView zoomScale="85" zoomScaleNormal="85" workbookViewId="0">
      <selection activeCell="A39" sqref="A39:XFD78"/>
    </sheetView>
  </sheetViews>
  <sheetFormatPr defaultColWidth="9.140625" defaultRowHeight="11.25" customHeight="1" x14ac:dyDescent="0.25"/>
  <cols>
    <col min="1" max="1" width="12" style="1" customWidth="1"/>
    <col min="2" max="2" width="25.28515625" style="101" customWidth="1"/>
    <col min="3" max="3" width="10.85546875" style="1" customWidth="1"/>
    <col min="4" max="4" width="8.28515625" style="1" customWidth="1"/>
    <col min="5" max="5" width="14" style="1" bestFit="1" customWidth="1"/>
    <col min="6" max="6" width="10.7109375" style="1" customWidth="1"/>
    <col min="7" max="7" width="11.42578125" style="1" bestFit="1" customWidth="1"/>
    <col min="8" max="8" width="9" style="1" customWidth="1"/>
    <col min="9" max="9" width="9.5703125" style="1" customWidth="1"/>
    <col min="10" max="10" width="11.42578125" style="10" customWidth="1"/>
    <col min="11" max="12" width="9.42578125" style="10" customWidth="1"/>
    <col min="13" max="14" width="10" style="7" customWidth="1"/>
    <col min="15" max="15" width="13" style="7" customWidth="1"/>
    <col min="16" max="16" width="9.140625" style="7"/>
    <col min="17" max="17" width="9.5703125" style="7" bestFit="1" customWidth="1"/>
    <col min="18" max="18" width="9.140625" style="1"/>
    <col min="19" max="19" width="9.5703125" style="1" bestFit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3"/>
      <c r="D2" s="3"/>
      <c r="E2" s="3"/>
      <c r="F2" s="3"/>
      <c r="G2" s="4"/>
      <c r="H2" s="4"/>
      <c r="I2" s="4"/>
      <c r="J2" s="5"/>
      <c r="K2" s="5"/>
      <c r="L2" s="6"/>
      <c r="M2" s="7"/>
      <c r="N2" s="7"/>
      <c r="O2" s="7"/>
      <c r="P2" s="7"/>
      <c r="Q2" s="7"/>
    </row>
    <row r="3" spans="1:19" s="1" customFormat="1" ht="11.25" customHeight="1" x14ac:dyDescent="0.2">
      <c r="B3" s="8" t="s">
        <v>1</v>
      </c>
      <c r="C3" s="9"/>
      <c r="D3" s="9"/>
      <c r="E3" s="9"/>
      <c r="F3" s="9"/>
      <c r="G3" s="133">
        <v>44637</v>
      </c>
      <c r="J3" s="10"/>
      <c r="K3" s="10"/>
      <c r="L3" s="10"/>
      <c r="M3" s="7"/>
      <c r="N3" s="7"/>
      <c r="O3" s="7"/>
      <c r="P3" s="7"/>
      <c r="Q3" s="7"/>
    </row>
    <row r="4" spans="1:19" s="1" customFormat="1" ht="11.25" customHeight="1" x14ac:dyDescent="0.2">
      <c r="B4" s="8" t="s">
        <v>2</v>
      </c>
      <c r="C4" s="9"/>
      <c r="D4" s="9"/>
      <c r="E4" s="9"/>
      <c r="F4" s="9"/>
      <c r="G4" s="1" t="s">
        <v>3</v>
      </c>
      <c r="J4" s="10"/>
      <c r="K4" s="10"/>
      <c r="L4" s="10"/>
      <c r="M4" s="7"/>
      <c r="N4" s="7"/>
      <c r="O4" s="7"/>
      <c r="P4" s="7"/>
      <c r="Q4" s="7"/>
    </row>
    <row r="5" spans="1:19" s="1" customFormat="1" ht="11.25" customHeight="1" x14ac:dyDescent="0.25">
      <c r="B5" s="8" t="s">
        <v>4</v>
      </c>
      <c r="C5" s="9"/>
      <c r="D5" s="9"/>
      <c r="E5" s="9"/>
      <c r="F5" s="9"/>
      <c r="G5" s="134" t="s">
        <v>192</v>
      </c>
      <c r="J5" s="10"/>
      <c r="K5" s="10"/>
      <c r="L5" s="10"/>
      <c r="M5" s="11"/>
      <c r="N5" s="11"/>
      <c r="O5" s="7"/>
      <c r="P5" s="7"/>
      <c r="Q5" s="7"/>
    </row>
    <row r="6" spans="1:19" s="1" customFormat="1" ht="11.25" customHeight="1" x14ac:dyDescent="0.2">
      <c r="B6" s="8" t="s">
        <v>5</v>
      </c>
      <c r="C6" s="9"/>
      <c r="D6" s="9"/>
      <c r="E6" s="9"/>
      <c r="F6" s="9"/>
      <c r="G6" s="1" t="s">
        <v>6</v>
      </c>
      <c r="J6" s="10"/>
      <c r="K6" s="10"/>
      <c r="L6" s="10"/>
      <c r="M6" s="7"/>
      <c r="N6" s="7"/>
      <c r="O6" s="7"/>
      <c r="P6" s="7"/>
      <c r="Q6" s="7"/>
      <c r="S6" s="12"/>
    </row>
    <row r="7" spans="1:19" s="1" customFormat="1" ht="11.25" customHeight="1" x14ac:dyDescent="0.2">
      <c r="B7" s="8" t="s">
        <v>7</v>
      </c>
      <c r="C7" s="9"/>
      <c r="D7" s="9"/>
      <c r="E7" s="9"/>
      <c r="F7" s="9"/>
      <c r="G7" s="9" t="s">
        <v>53</v>
      </c>
      <c r="J7" s="10"/>
      <c r="K7" s="10"/>
      <c r="L7" s="10"/>
      <c r="M7" s="7"/>
      <c r="N7" s="7"/>
      <c r="O7" s="7"/>
      <c r="P7" s="7"/>
      <c r="Q7" s="7"/>
    </row>
    <row r="8" spans="1:19" s="1" customFormat="1" ht="11.25" customHeight="1" x14ac:dyDescent="0.2">
      <c r="B8" s="8" t="s">
        <v>8</v>
      </c>
      <c r="C8" s="9"/>
      <c r="D8" s="9"/>
      <c r="E8" s="9"/>
      <c r="F8" s="9"/>
      <c r="G8" s="9" t="s">
        <v>9</v>
      </c>
      <c r="J8" s="10"/>
      <c r="K8" s="13"/>
      <c r="L8" s="7"/>
      <c r="M8" s="14"/>
      <c r="N8" s="15"/>
      <c r="O8" s="7"/>
      <c r="P8" s="7"/>
      <c r="Q8" s="7"/>
    </row>
    <row r="9" spans="1:19" s="1" customFormat="1" ht="11.25" customHeight="1" x14ac:dyDescent="0.25">
      <c r="A9" s="16" t="s">
        <v>10</v>
      </c>
      <c r="B9" s="17"/>
      <c r="C9" s="18" t="s">
        <v>11</v>
      </c>
      <c r="D9" s="19"/>
      <c r="E9" s="18" t="s">
        <v>12</v>
      </c>
      <c r="F9" s="20"/>
      <c r="G9" s="21" t="s">
        <v>13</v>
      </c>
      <c r="H9" s="22" t="s">
        <v>14</v>
      </c>
      <c r="I9" s="23" t="s">
        <v>14</v>
      </c>
      <c r="J9" s="24" t="s">
        <v>14</v>
      </c>
      <c r="K9" s="25"/>
      <c r="L9" s="7"/>
      <c r="M9" s="14"/>
      <c r="N9" s="15"/>
    </row>
    <row r="10" spans="1:19" s="1" customFormat="1" ht="11.25" customHeight="1" x14ac:dyDescent="0.25">
      <c r="A10" s="26"/>
      <c r="B10" s="27"/>
      <c r="C10" s="28" t="s">
        <v>14</v>
      </c>
      <c r="D10" s="29" t="s">
        <v>15</v>
      </c>
      <c r="E10" s="28" t="s">
        <v>14</v>
      </c>
      <c r="F10" s="30" t="s">
        <v>15</v>
      </c>
      <c r="G10" s="31" t="s">
        <v>16</v>
      </c>
      <c r="H10" s="31" t="s">
        <v>17</v>
      </c>
      <c r="I10" s="32" t="s">
        <v>18</v>
      </c>
      <c r="J10" s="33" t="s">
        <v>19</v>
      </c>
      <c r="K10" s="25"/>
      <c r="L10" s="7"/>
      <c r="M10" s="14"/>
      <c r="N10" s="15"/>
    </row>
    <row r="11" spans="1:19" s="1" customFormat="1" ht="11.25" customHeight="1" x14ac:dyDescent="0.25">
      <c r="A11" s="34"/>
      <c r="B11" s="35" t="s">
        <v>20</v>
      </c>
      <c r="C11" s="36">
        <v>-26.6</v>
      </c>
      <c r="D11" s="37"/>
      <c r="E11" s="38">
        <v>-21.3</v>
      </c>
      <c r="F11" s="39"/>
      <c r="G11" s="40"/>
      <c r="H11" s="41">
        <v>72.53</v>
      </c>
      <c r="I11" s="41">
        <v>6.51</v>
      </c>
      <c r="J11" s="42">
        <f>H11/I11</f>
        <v>11.141321044546851</v>
      </c>
      <c r="K11" s="25"/>
      <c r="L11" s="7"/>
      <c r="M11" s="14"/>
      <c r="N11" s="15"/>
    </row>
    <row r="12" spans="1:19" s="1" customFormat="1" ht="11.25" customHeight="1" x14ac:dyDescent="0.25">
      <c r="A12" s="43"/>
      <c r="B12" s="44" t="s">
        <v>21</v>
      </c>
      <c r="C12" s="45"/>
      <c r="D12" s="46"/>
      <c r="E12" s="47"/>
      <c r="F12" s="48"/>
      <c r="G12" s="40"/>
      <c r="H12" s="49">
        <v>20</v>
      </c>
      <c r="I12" s="49">
        <v>46.65</v>
      </c>
      <c r="J12" s="50">
        <f>H12/I12</f>
        <v>0.4287245444801715</v>
      </c>
      <c r="K12" s="10"/>
      <c r="L12" s="10"/>
    </row>
    <row r="13" spans="1:19" s="1" customFormat="1" ht="11.25" customHeight="1" x14ac:dyDescent="0.25">
      <c r="A13" s="43"/>
      <c r="B13" s="44">
        <v>2704</v>
      </c>
      <c r="C13" s="45"/>
      <c r="D13" s="46"/>
      <c r="E13" s="47"/>
      <c r="F13" s="48"/>
      <c r="G13" s="51"/>
      <c r="H13" s="49">
        <v>3.3479999999999999</v>
      </c>
      <c r="I13" s="49"/>
      <c r="J13" s="50"/>
      <c r="K13" s="10"/>
      <c r="L13" s="10"/>
    </row>
    <row r="14" spans="1:19" s="1" customFormat="1" ht="11.25" customHeight="1" x14ac:dyDescent="0.25">
      <c r="A14" s="43"/>
      <c r="B14" s="44" t="s">
        <v>22</v>
      </c>
      <c r="C14" s="52">
        <v>-25.95</v>
      </c>
      <c r="D14" s="53">
        <f>AVERAGE(G33:G37,G51,G65,G79)</f>
        <v>-21.682065053574924</v>
      </c>
      <c r="E14" s="54">
        <v>2.08</v>
      </c>
      <c r="F14" s="55"/>
      <c r="G14" s="51"/>
      <c r="H14" s="49">
        <v>44.65</v>
      </c>
      <c r="I14" s="49">
        <v>2.83</v>
      </c>
      <c r="J14" s="50">
        <f>H14/I14</f>
        <v>15.777385159010599</v>
      </c>
      <c r="K14" s="10"/>
      <c r="L14" s="10"/>
    </row>
    <row r="15" spans="1:19" s="1" customFormat="1" ht="11.25" customHeight="1" x14ac:dyDescent="0.25">
      <c r="A15" s="43"/>
      <c r="B15" s="44" t="s">
        <v>23</v>
      </c>
      <c r="C15" s="56">
        <v>-18.3</v>
      </c>
      <c r="D15" s="57"/>
      <c r="E15" s="54"/>
      <c r="F15" s="58"/>
      <c r="G15" s="59"/>
      <c r="H15" s="60"/>
      <c r="I15" s="60"/>
      <c r="J15" s="59"/>
      <c r="K15" s="10"/>
      <c r="L15" s="10"/>
    </row>
    <row r="16" spans="1:19" s="1" customFormat="1" ht="11.25" customHeight="1" x14ac:dyDescent="0.25">
      <c r="A16" s="43"/>
      <c r="B16" s="44" t="s">
        <v>24</v>
      </c>
      <c r="C16" s="52">
        <v>-25.49</v>
      </c>
      <c r="D16" s="57"/>
      <c r="E16" s="61"/>
      <c r="F16" s="62"/>
      <c r="G16" s="59"/>
      <c r="H16" s="60"/>
      <c r="I16" s="60"/>
      <c r="J16" s="59"/>
      <c r="K16" s="10"/>
      <c r="L16" s="10"/>
    </row>
    <row r="17" spans="1:20" s="1" customFormat="1" ht="11.25" customHeight="1" x14ac:dyDescent="0.25">
      <c r="A17" s="43"/>
      <c r="B17" s="44" t="s">
        <v>25</v>
      </c>
      <c r="C17" s="45">
        <v>-10.8</v>
      </c>
      <c r="D17" s="57"/>
      <c r="E17" s="61"/>
      <c r="F17" s="62"/>
      <c r="G17" s="59"/>
      <c r="H17" s="60"/>
      <c r="I17" s="60"/>
      <c r="J17" s="59"/>
      <c r="K17" s="10"/>
      <c r="L17" s="10"/>
    </row>
    <row r="18" spans="1:20" s="1" customFormat="1" ht="11.25" customHeight="1" x14ac:dyDescent="0.25">
      <c r="A18" s="43"/>
      <c r="B18" s="44" t="s">
        <v>26</v>
      </c>
      <c r="C18" s="45">
        <v>-24.91</v>
      </c>
      <c r="D18" s="57"/>
      <c r="E18" s="61"/>
      <c r="F18" s="62"/>
      <c r="G18" s="59"/>
      <c r="H18" s="60"/>
      <c r="I18" s="60"/>
      <c r="J18" s="59"/>
      <c r="K18" s="10"/>
      <c r="L18" s="10"/>
    </row>
    <row r="19" spans="1:20" s="1" customFormat="1" ht="11.25" customHeight="1" x14ac:dyDescent="0.25">
      <c r="A19" s="43"/>
      <c r="B19" s="6" t="s">
        <v>27</v>
      </c>
      <c r="C19" s="45"/>
      <c r="D19" s="57"/>
      <c r="E19" s="63">
        <v>2.7</v>
      </c>
      <c r="F19" s="62"/>
      <c r="G19" s="59"/>
      <c r="H19" s="60"/>
      <c r="I19" s="60"/>
      <c r="J19" s="59"/>
      <c r="K19" s="10"/>
      <c r="L19" s="10"/>
    </row>
    <row r="20" spans="1:20" s="1" customFormat="1" ht="11.25" customHeight="1" x14ac:dyDescent="0.25">
      <c r="A20" s="43"/>
      <c r="B20" s="6" t="s">
        <v>28</v>
      </c>
      <c r="C20" s="45"/>
      <c r="D20" s="57"/>
      <c r="E20" s="63">
        <v>180</v>
      </c>
      <c r="F20" s="62"/>
      <c r="G20" s="59"/>
      <c r="H20" s="60"/>
      <c r="I20" s="60"/>
      <c r="J20" s="59"/>
      <c r="K20" s="10"/>
      <c r="L20" s="10"/>
    </row>
    <row r="21" spans="1:20" s="1" customFormat="1" ht="11.25" customHeight="1" x14ac:dyDescent="0.25">
      <c r="A21" s="43"/>
      <c r="B21" s="6" t="s">
        <v>29</v>
      </c>
      <c r="C21" s="45"/>
      <c r="D21" s="57"/>
      <c r="E21" s="63">
        <v>-1.8</v>
      </c>
      <c r="F21" s="62"/>
      <c r="G21" s="59"/>
      <c r="H21" s="60"/>
      <c r="I21" s="60"/>
      <c r="J21" s="59"/>
      <c r="K21" s="10"/>
      <c r="L21" s="10"/>
    </row>
    <row r="22" spans="1:20" s="1" customFormat="1" ht="11.25" customHeight="1" x14ac:dyDescent="0.25">
      <c r="A22" s="43"/>
      <c r="B22" s="44" t="s">
        <v>30</v>
      </c>
      <c r="C22" s="64"/>
      <c r="D22" s="65"/>
      <c r="E22" s="66">
        <v>0.4</v>
      </c>
      <c r="F22" s="55" t="e">
        <f>AVERAGE(E40,E70)</f>
        <v>#DIV/0!</v>
      </c>
      <c r="G22" s="59"/>
      <c r="H22" s="67"/>
      <c r="I22" s="67"/>
      <c r="J22" s="59"/>
      <c r="K22" s="10"/>
      <c r="L22" s="10"/>
    </row>
    <row r="23" spans="1:20" s="1" customFormat="1" ht="11.25" customHeight="1" x14ac:dyDescent="0.25">
      <c r="A23" s="43"/>
      <c r="B23" s="44" t="s">
        <v>31</v>
      </c>
      <c r="C23" s="68"/>
      <c r="D23" s="65"/>
      <c r="E23" s="66">
        <v>20.3</v>
      </c>
      <c r="F23" s="55" t="e">
        <f>AVERAGE(E41,E71)</f>
        <v>#DIV/0!</v>
      </c>
      <c r="G23" s="59"/>
      <c r="H23" s="67"/>
      <c r="I23" s="67"/>
      <c r="J23" s="59"/>
      <c r="K23" s="69"/>
      <c r="L23" s="69"/>
      <c r="M23" s="7"/>
      <c r="N23" s="7"/>
      <c r="O23" s="7"/>
      <c r="P23" s="7"/>
      <c r="Q23" s="7"/>
    </row>
    <row r="24" spans="1:20" s="1" customFormat="1" ht="11.25" customHeight="1" x14ac:dyDescent="0.25">
      <c r="A24" s="43"/>
      <c r="B24" s="44" t="s">
        <v>32</v>
      </c>
      <c r="C24" s="70"/>
      <c r="D24" s="57"/>
      <c r="E24" s="58">
        <v>4.7</v>
      </c>
      <c r="F24" s="55"/>
      <c r="G24" s="59"/>
      <c r="H24" s="67"/>
      <c r="I24" s="67"/>
      <c r="J24" s="59"/>
      <c r="K24" s="69"/>
      <c r="L24" s="69"/>
      <c r="M24" s="7"/>
      <c r="N24" s="7"/>
      <c r="O24" s="7"/>
      <c r="P24" s="7"/>
      <c r="Q24" s="7"/>
    </row>
    <row r="25" spans="1:20" customFormat="1" ht="11.25" customHeight="1" x14ac:dyDescent="0.25">
      <c r="A25" s="34"/>
      <c r="B25" s="71" t="s">
        <v>33</v>
      </c>
      <c r="C25" s="72"/>
      <c r="D25" s="71" t="s">
        <v>34</v>
      </c>
      <c r="E25" s="71"/>
      <c r="F25" s="72"/>
      <c r="G25" s="73"/>
      <c r="H25" s="72"/>
      <c r="I25" s="72"/>
      <c r="J25" s="74"/>
      <c r="K25" s="58"/>
      <c r="L25" s="58"/>
      <c r="O25" s="67"/>
      <c r="P25" s="67"/>
      <c r="Q25" s="67"/>
      <c r="R25" s="67"/>
    </row>
    <row r="26" spans="1:20" customFormat="1" ht="11.25" customHeight="1" x14ac:dyDescent="0.25">
      <c r="A26" s="75" t="s">
        <v>35</v>
      </c>
      <c r="B26" s="58">
        <v>1</v>
      </c>
      <c r="C26" s="76" t="s">
        <v>52</v>
      </c>
      <c r="D26" s="55">
        <f>C14-D14</f>
        <v>-4.2679349464250755</v>
      </c>
      <c r="E26" s="58"/>
      <c r="F26" s="58"/>
      <c r="G26" s="64" t="s">
        <v>235</v>
      </c>
      <c r="H26" s="58">
        <v>6.0444000000000004</v>
      </c>
      <c r="I26" s="58"/>
      <c r="J26" s="77"/>
      <c r="K26" s="58"/>
      <c r="L26" s="58"/>
      <c r="O26" s="67"/>
      <c r="P26" s="67"/>
      <c r="Q26" s="67"/>
      <c r="R26" s="67"/>
    </row>
    <row r="27" spans="1:20" customFormat="1" ht="11.25" customHeight="1" x14ac:dyDescent="0.25">
      <c r="A27" s="75" t="s">
        <v>37</v>
      </c>
      <c r="B27" s="58"/>
      <c r="C27" s="76"/>
      <c r="D27" s="78"/>
      <c r="E27" s="58"/>
      <c r="F27" s="58"/>
      <c r="G27" s="64"/>
      <c r="H27" s="58"/>
      <c r="I27" s="58"/>
      <c r="J27" s="77"/>
      <c r="K27" s="58"/>
      <c r="L27" s="58"/>
      <c r="O27" s="67"/>
      <c r="P27" s="67"/>
      <c r="Q27" s="67"/>
      <c r="R27" s="67"/>
    </row>
    <row r="28" spans="1:20" customFormat="1" ht="11.25" customHeight="1" x14ac:dyDescent="0.25">
      <c r="A28" s="79" t="s">
        <v>38</v>
      </c>
      <c r="B28" s="58">
        <v>6.5748000000000001E-2</v>
      </c>
      <c r="C28" s="76" t="s">
        <v>36</v>
      </c>
      <c r="D28" s="78">
        <v>0</v>
      </c>
      <c r="E28" s="54"/>
      <c r="F28" s="58"/>
      <c r="G28" s="64"/>
      <c r="H28" s="58"/>
      <c r="I28" s="58"/>
      <c r="J28" s="77"/>
      <c r="K28" s="58"/>
      <c r="L28" s="58"/>
      <c r="O28" s="67"/>
      <c r="P28" s="67"/>
      <c r="Q28" s="67"/>
      <c r="R28" s="67"/>
    </row>
    <row r="29" spans="1:20" customFormat="1" ht="11.25" customHeight="1" x14ac:dyDescent="0.25">
      <c r="A29" s="79" t="s">
        <v>39</v>
      </c>
      <c r="B29" s="58"/>
      <c r="C29" s="54"/>
      <c r="D29" s="80"/>
      <c r="E29" s="80"/>
      <c r="F29" s="80"/>
      <c r="G29" s="81"/>
      <c r="H29" s="80"/>
      <c r="I29" s="80"/>
      <c r="J29" s="82"/>
      <c r="K29" s="58"/>
      <c r="L29" s="58"/>
      <c r="O29" s="67"/>
      <c r="P29" s="67"/>
      <c r="Q29" s="83"/>
      <c r="R29" s="67"/>
    </row>
    <row r="30" spans="1:20" s="1" customFormat="1" ht="11.25" customHeight="1" x14ac:dyDescent="0.2">
      <c r="A30" s="84"/>
      <c r="B30" s="85"/>
      <c r="C30" s="54"/>
      <c r="D30" s="54"/>
      <c r="E30" s="54"/>
      <c r="F30" s="54"/>
      <c r="G30" s="86"/>
      <c r="H30" s="54"/>
      <c r="I30" s="61"/>
      <c r="J30" s="44"/>
      <c r="K30" s="69"/>
      <c r="L30" s="69"/>
      <c r="M30" s="7"/>
      <c r="N30" s="7"/>
      <c r="O30" s="7"/>
      <c r="P30" s="7"/>
      <c r="Q30" s="7"/>
    </row>
    <row r="31" spans="1:20" s="1" customFormat="1" ht="12" customHeight="1" x14ac:dyDescent="0.2">
      <c r="A31" s="87"/>
      <c r="B31" s="88"/>
      <c r="C31" s="87"/>
      <c r="D31" s="87"/>
      <c r="E31" s="87"/>
      <c r="F31" s="87"/>
      <c r="G31" s="87"/>
      <c r="H31" s="87"/>
      <c r="I31" s="89"/>
      <c r="J31" s="90"/>
      <c r="K31" s="7"/>
      <c r="L31" s="7"/>
      <c r="M31" s="7"/>
      <c r="N31" s="7"/>
      <c r="O31" s="7"/>
      <c r="P31" s="7"/>
    </row>
    <row r="32" spans="1:20" s="1" customFormat="1" ht="11.25" customHeight="1" x14ac:dyDescent="0.2">
      <c r="A32" s="92"/>
      <c r="B32" s="91" t="s">
        <v>40</v>
      </c>
      <c r="C32" s="92" t="s">
        <v>54</v>
      </c>
      <c r="D32" s="92" t="s">
        <v>234</v>
      </c>
      <c r="E32" s="92" t="s">
        <v>41</v>
      </c>
      <c r="F32" s="92" t="s">
        <v>69</v>
      </c>
      <c r="G32" s="121" t="s">
        <v>42</v>
      </c>
      <c r="H32" s="93" t="s">
        <v>43</v>
      </c>
      <c r="I32" s="94" t="s">
        <v>44</v>
      </c>
      <c r="J32" s="94" t="s">
        <v>45</v>
      </c>
      <c r="K32" s="94" t="s">
        <v>46</v>
      </c>
      <c r="L32" s="94" t="s">
        <v>47</v>
      </c>
      <c r="M32" s="94" t="s">
        <v>38</v>
      </c>
      <c r="N32" s="94" t="s">
        <v>38</v>
      </c>
      <c r="O32" s="94" t="s">
        <v>48</v>
      </c>
      <c r="P32" s="94" t="s">
        <v>49</v>
      </c>
      <c r="Q32" s="94" t="s">
        <v>39</v>
      </c>
      <c r="R32" s="94" t="s">
        <v>39</v>
      </c>
      <c r="S32" s="94" t="s">
        <v>50</v>
      </c>
      <c r="T32" s="94" t="s">
        <v>51</v>
      </c>
    </row>
    <row r="33" spans="1:20" s="109" customFormat="1" ht="11.25" customHeight="1" x14ac:dyDescent="0.2">
      <c r="A33" s="102">
        <v>25</v>
      </c>
      <c r="B33" s="102" t="s">
        <v>55</v>
      </c>
      <c r="C33" s="114">
        <v>1.0940000000000001</v>
      </c>
      <c r="D33" s="137"/>
      <c r="E33" s="1"/>
      <c r="F33" s="103">
        <v>7.3773115000000002</v>
      </c>
      <c r="G33" s="114">
        <v>-21.694268133873912</v>
      </c>
      <c r="H33" s="122">
        <f>$B$26*G33+$D$26</f>
        <v>-25.962203080298988</v>
      </c>
      <c r="I33" s="105">
        <f t="shared" ref="I33:I80" si="0">$B$27*E33+$D$27</f>
        <v>0</v>
      </c>
      <c r="J33" s="106">
        <f t="shared" ref="J33:J80" si="1">(F33)/C33</f>
        <v>6.7434291590493602</v>
      </c>
      <c r="K33" s="106">
        <f>H$14</f>
        <v>44.65</v>
      </c>
      <c r="L33" s="106">
        <f>I$14</f>
        <v>2.83</v>
      </c>
      <c r="M33" s="106">
        <f t="shared" ref="M33:M38" si="2">C33*(K33/100)</f>
        <v>0.48847100000000004</v>
      </c>
      <c r="N33" s="169">
        <f t="shared" ref="N33:N80" si="3">F33*$B$28+$D$28</f>
        <v>0.48504347650200003</v>
      </c>
      <c r="O33" s="110">
        <f t="shared" ref="O33:O80" si="4">N33/C33*100</f>
        <v>44.336698034917731</v>
      </c>
      <c r="P33" s="106">
        <f t="shared" ref="P33:P80" si="5">D33/C33</f>
        <v>0</v>
      </c>
      <c r="Q33" s="106">
        <f t="shared" ref="Q33:Q37" si="6">C33*(L33/100)</f>
        <v>3.0960200000000004E-2</v>
      </c>
      <c r="R33" s="107">
        <f t="shared" ref="R33:R80" si="7">D33*$B$29+$D$29</f>
        <v>0</v>
      </c>
      <c r="S33" s="108">
        <f t="shared" ref="S33:S80" si="8">R33/C33*100</f>
        <v>0</v>
      </c>
      <c r="T33" s="105" t="e">
        <f t="shared" ref="T33:T80" si="9">N33/R33</f>
        <v>#DIV/0!</v>
      </c>
    </row>
    <row r="34" spans="1:20" s="109" customFormat="1" ht="11.25" customHeight="1" x14ac:dyDescent="0.2">
      <c r="A34" s="115">
        <v>26</v>
      </c>
      <c r="B34" s="115" t="s">
        <v>56</v>
      </c>
      <c r="C34" s="116">
        <v>0.70699999999999996</v>
      </c>
      <c r="D34" s="138"/>
      <c r="E34" s="1"/>
      <c r="F34" s="116">
        <v>4.7832520000000001</v>
      </c>
      <c r="G34" s="116">
        <v>-21.652118369749047</v>
      </c>
      <c r="H34" s="122">
        <f t="shared" ref="H34:H80" si="10">$B$26*G34+$D$26</f>
        <v>-25.920053316174123</v>
      </c>
      <c r="I34" s="105">
        <f t="shared" si="0"/>
        <v>0</v>
      </c>
      <c r="J34" s="106">
        <f t="shared" si="1"/>
        <v>6.7655615275813297</v>
      </c>
      <c r="K34" s="106">
        <f t="shared" ref="K34:L37" si="11">H$14</f>
        <v>44.65</v>
      </c>
      <c r="L34" s="106">
        <f t="shared" si="11"/>
        <v>2.83</v>
      </c>
      <c r="M34" s="106">
        <f t="shared" si="2"/>
        <v>0.3156755</v>
      </c>
      <c r="N34" s="169">
        <f t="shared" si="3"/>
        <v>0.31448925249600002</v>
      </c>
      <c r="O34" s="110">
        <f t="shared" si="4"/>
        <v>44.482213931541729</v>
      </c>
      <c r="P34" s="106">
        <f t="shared" si="5"/>
        <v>0</v>
      </c>
      <c r="Q34" s="106">
        <f t="shared" si="6"/>
        <v>2.0008100000000001E-2</v>
      </c>
      <c r="R34" s="107">
        <f t="shared" si="7"/>
        <v>0</v>
      </c>
      <c r="S34" s="108">
        <f t="shared" si="8"/>
        <v>0</v>
      </c>
      <c r="T34" s="105" t="e">
        <f t="shared" si="9"/>
        <v>#DIV/0!</v>
      </c>
    </row>
    <row r="35" spans="1:20" s="109" customFormat="1" ht="11.25" customHeight="1" x14ac:dyDescent="0.2">
      <c r="A35" s="102">
        <v>27</v>
      </c>
      <c r="B35" s="102" t="s">
        <v>57</v>
      </c>
      <c r="C35" s="114">
        <v>0.86899999999999999</v>
      </c>
      <c r="D35" s="137"/>
      <c r="E35" s="1"/>
      <c r="F35" s="103">
        <v>5.8776275</v>
      </c>
      <c r="G35" s="114">
        <v>-21.685599730435278</v>
      </c>
      <c r="H35" s="122">
        <f t="shared" si="10"/>
        <v>-25.953534676860354</v>
      </c>
      <c r="I35" s="105">
        <f t="shared" si="0"/>
        <v>0</v>
      </c>
      <c r="J35" s="106">
        <f t="shared" si="1"/>
        <v>6.7636680092059835</v>
      </c>
      <c r="K35" s="106">
        <f t="shared" si="11"/>
        <v>44.65</v>
      </c>
      <c r="L35" s="106">
        <f t="shared" si="11"/>
        <v>2.83</v>
      </c>
      <c r="M35" s="106">
        <f t="shared" si="2"/>
        <v>0.38800849999999998</v>
      </c>
      <c r="N35" s="169">
        <f t="shared" si="3"/>
        <v>0.38644225287</v>
      </c>
      <c r="O35" s="110">
        <f t="shared" si="4"/>
        <v>44.469764426927505</v>
      </c>
      <c r="P35" s="106">
        <f t="shared" si="5"/>
        <v>0</v>
      </c>
      <c r="Q35" s="106">
        <f t="shared" si="6"/>
        <v>2.4592700000000002E-2</v>
      </c>
      <c r="R35" s="107">
        <f t="shared" si="7"/>
        <v>0</v>
      </c>
      <c r="S35" s="108">
        <f t="shared" si="8"/>
        <v>0</v>
      </c>
      <c r="T35" s="105" t="e">
        <f t="shared" si="9"/>
        <v>#DIV/0!</v>
      </c>
    </row>
    <row r="36" spans="1:20" s="109" customFormat="1" ht="11.25" customHeight="1" x14ac:dyDescent="0.2">
      <c r="A36" s="115">
        <v>28</v>
      </c>
      <c r="B36" s="115" t="s">
        <v>58</v>
      </c>
      <c r="C36" s="116">
        <v>0.86299999999999999</v>
      </c>
      <c r="D36" s="138"/>
      <c r="E36" s="1"/>
      <c r="F36" s="116">
        <v>5.8102324999999997</v>
      </c>
      <c r="G36" s="116">
        <v>-21.700096001397373</v>
      </c>
      <c r="H36" s="122">
        <f t="shared" si="10"/>
        <v>-25.968030947822449</v>
      </c>
      <c r="I36" s="105">
        <f t="shared" si="0"/>
        <v>0</v>
      </c>
      <c r="J36" s="106">
        <f t="shared" si="1"/>
        <v>6.7325984936268828</v>
      </c>
      <c r="K36" s="106">
        <f t="shared" si="11"/>
        <v>44.65</v>
      </c>
      <c r="L36" s="106">
        <f t="shared" si="11"/>
        <v>2.83</v>
      </c>
      <c r="M36" s="106">
        <f t="shared" si="2"/>
        <v>0.38532949999999999</v>
      </c>
      <c r="N36" s="169">
        <f t="shared" si="3"/>
        <v>0.38201116640999999</v>
      </c>
      <c r="O36" s="110">
        <f t="shared" si="4"/>
        <v>44.265488575898033</v>
      </c>
      <c r="P36" s="106">
        <f t="shared" si="5"/>
        <v>0</v>
      </c>
      <c r="Q36" s="106">
        <f t="shared" si="6"/>
        <v>2.4422900000000001E-2</v>
      </c>
      <c r="R36" s="107">
        <f t="shared" si="7"/>
        <v>0</v>
      </c>
      <c r="S36" s="108">
        <f t="shared" si="8"/>
        <v>0</v>
      </c>
      <c r="T36" s="105" t="e">
        <f t="shared" si="9"/>
        <v>#DIV/0!</v>
      </c>
    </row>
    <row r="37" spans="1:20" s="109" customFormat="1" ht="11.25" customHeight="1" x14ac:dyDescent="0.2">
      <c r="A37" s="102">
        <v>29</v>
      </c>
      <c r="B37" s="102" t="s">
        <v>59</v>
      </c>
      <c r="C37" s="114">
        <v>0.77</v>
      </c>
      <c r="D37" s="137"/>
      <c r="E37" s="1"/>
      <c r="F37" s="103">
        <v>5.2164739999999998</v>
      </c>
      <c r="G37" s="114">
        <v>-21.688137243291745</v>
      </c>
      <c r="H37" s="122">
        <f t="shared" si="10"/>
        <v>-25.956072189716821</v>
      </c>
      <c r="I37" s="105">
        <f t="shared" si="0"/>
        <v>0</v>
      </c>
      <c r="J37" s="106">
        <f t="shared" si="1"/>
        <v>6.7746415584415578</v>
      </c>
      <c r="K37" s="106">
        <f t="shared" si="11"/>
        <v>44.65</v>
      </c>
      <c r="L37" s="106">
        <f t="shared" si="11"/>
        <v>2.83</v>
      </c>
      <c r="M37" s="106">
        <f t="shared" si="2"/>
        <v>0.34380500000000003</v>
      </c>
      <c r="N37" s="169">
        <f t="shared" si="3"/>
        <v>0.342972732552</v>
      </c>
      <c r="O37" s="110">
        <f t="shared" si="4"/>
        <v>44.541913318441559</v>
      </c>
      <c r="P37" s="106">
        <f t="shared" si="5"/>
        <v>0</v>
      </c>
      <c r="Q37" s="106">
        <f t="shared" si="6"/>
        <v>2.1791000000000001E-2</v>
      </c>
      <c r="R37" s="107">
        <f t="shared" si="7"/>
        <v>0</v>
      </c>
      <c r="S37" s="108">
        <f t="shared" si="8"/>
        <v>0</v>
      </c>
      <c r="T37" s="105" t="e">
        <f t="shared" si="9"/>
        <v>#DIV/0!</v>
      </c>
    </row>
    <row r="38" spans="1:20" s="151" customFormat="1" ht="11.25" customHeight="1" x14ac:dyDescent="0.2">
      <c r="A38" s="115">
        <v>30</v>
      </c>
      <c r="B38" s="115" t="s">
        <v>78</v>
      </c>
      <c r="C38" s="116">
        <v>0.79800000000000004</v>
      </c>
      <c r="D38" s="138"/>
      <c r="E38" s="1"/>
      <c r="F38" s="116">
        <v>0.37196756250000002</v>
      </c>
      <c r="G38" s="116">
        <v>-15.340436792044073</v>
      </c>
      <c r="H38" s="153">
        <f t="shared" si="10"/>
        <v>-19.608371738469149</v>
      </c>
      <c r="I38" s="154">
        <f t="shared" si="0"/>
        <v>0</v>
      </c>
      <c r="J38" s="155">
        <f t="shared" si="1"/>
        <v>0.46612476503759398</v>
      </c>
      <c r="K38" s="155">
        <f>$H$13</f>
        <v>3.3479999999999999</v>
      </c>
      <c r="L38" s="155"/>
      <c r="M38" s="155">
        <f t="shared" si="2"/>
        <v>2.6717039999999997E-2</v>
      </c>
      <c r="N38" s="170">
        <f t="shared" si="3"/>
        <v>2.4456123299250003E-2</v>
      </c>
      <c r="O38" s="157">
        <f t="shared" si="4"/>
        <v>3.064677105169173</v>
      </c>
      <c r="P38" s="155">
        <f t="shared" si="5"/>
        <v>0</v>
      </c>
      <c r="Q38" s="155"/>
      <c r="R38" s="156">
        <f t="shared" si="7"/>
        <v>0</v>
      </c>
      <c r="S38" s="158">
        <f t="shared" si="8"/>
        <v>0</v>
      </c>
      <c r="T38" s="154" t="e">
        <f t="shared" si="9"/>
        <v>#DIV/0!</v>
      </c>
    </row>
    <row r="39" spans="1:20" s="100" customFormat="1" ht="11.25" customHeight="1" x14ac:dyDescent="0.2">
      <c r="A39" s="102">
        <v>31</v>
      </c>
      <c r="B39" s="102" t="s">
        <v>193</v>
      </c>
      <c r="C39" s="114">
        <v>7.0650000000000004</v>
      </c>
      <c r="D39" s="165">
        <f>C39-$H$26</f>
        <v>1.0206</v>
      </c>
      <c r="E39" s="1"/>
      <c r="F39" s="103">
        <v>1.800394</v>
      </c>
      <c r="G39" s="114">
        <v>-22.29766229495976</v>
      </c>
      <c r="H39" s="123">
        <f t="shared" si="10"/>
        <v>-26.565597241384836</v>
      </c>
      <c r="I39" s="95">
        <f t="shared" si="0"/>
        <v>0</v>
      </c>
      <c r="J39" s="96">
        <f t="shared" si="1"/>
        <v>0.25483283793347489</v>
      </c>
      <c r="K39" s="96"/>
      <c r="L39" s="96"/>
      <c r="M39" s="96"/>
      <c r="N39" s="171">
        <f t="shared" si="3"/>
        <v>0.118372304712</v>
      </c>
      <c r="O39" s="98">
        <f>N39/D39*100</f>
        <v>11.598305380364492</v>
      </c>
      <c r="P39" s="96">
        <f t="shared" si="5"/>
        <v>0.14445859872611463</v>
      </c>
      <c r="Q39" s="96"/>
      <c r="R39" s="97">
        <f t="shared" si="7"/>
        <v>0</v>
      </c>
      <c r="S39" s="99">
        <f t="shared" si="8"/>
        <v>0</v>
      </c>
      <c r="T39" s="95" t="e">
        <f t="shared" si="9"/>
        <v>#DIV/0!</v>
      </c>
    </row>
    <row r="40" spans="1:20" s="100" customFormat="1" ht="11.25" customHeight="1" x14ac:dyDescent="0.2">
      <c r="A40" s="115">
        <v>32</v>
      </c>
      <c r="B40" s="115" t="s">
        <v>194</v>
      </c>
      <c r="C40" s="116">
        <v>7.04</v>
      </c>
      <c r="D40" s="165">
        <f t="shared" ref="D40:D50" si="12">C40-$H$26</f>
        <v>0.9955999999999996</v>
      </c>
      <c r="E40" s="1"/>
      <c r="F40" s="116">
        <v>1.2433412500000001</v>
      </c>
      <c r="G40" s="116">
        <v>-22.452073900115185</v>
      </c>
      <c r="H40" s="123">
        <f t="shared" si="10"/>
        <v>-26.72000884654026</v>
      </c>
      <c r="I40" s="95">
        <f t="shared" si="0"/>
        <v>0</v>
      </c>
      <c r="J40" s="96">
        <f t="shared" si="1"/>
        <v>0.17661097301136364</v>
      </c>
      <c r="K40" s="96"/>
      <c r="L40" s="96"/>
      <c r="M40" s="96"/>
      <c r="N40" s="171">
        <f t="shared" si="3"/>
        <v>8.1747200505000006E-2</v>
      </c>
      <c r="O40" s="98">
        <f t="shared" ref="O40:O50" si="13">N40/D40*100</f>
        <v>8.2108477807352394</v>
      </c>
      <c r="P40" s="96">
        <f t="shared" si="5"/>
        <v>0.14142045454545449</v>
      </c>
      <c r="Q40" s="96"/>
      <c r="R40" s="97">
        <f t="shared" si="7"/>
        <v>0</v>
      </c>
      <c r="S40" s="99">
        <f t="shared" si="8"/>
        <v>0</v>
      </c>
      <c r="T40" s="95" t="e">
        <f t="shared" si="9"/>
        <v>#DIV/0!</v>
      </c>
    </row>
    <row r="41" spans="1:20" s="100" customFormat="1" ht="11.25" customHeight="1" x14ac:dyDescent="0.2">
      <c r="A41" s="102">
        <v>33</v>
      </c>
      <c r="B41" s="102" t="s">
        <v>195</v>
      </c>
      <c r="C41" s="114">
        <v>6.9349999999999996</v>
      </c>
      <c r="D41" s="165">
        <f t="shared" si="12"/>
        <v>0.89059999999999917</v>
      </c>
      <c r="E41" s="1"/>
      <c r="F41" s="103">
        <v>1.440102</v>
      </c>
      <c r="G41" s="114">
        <v>-22.32318763703848</v>
      </c>
      <c r="H41" s="123">
        <f t="shared" si="10"/>
        <v>-26.591122583463555</v>
      </c>
      <c r="I41" s="95">
        <f t="shared" si="0"/>
        <v>0</v>
      </c>
      <c r="J41" s="96">
        <f t="shared" si="1"/>
        <v>0.20765710165825524</v>
      </c>
      <c r="K41" s="96"/>
      <c r="L41" s="96"/>
      <c r="M41" s="96"/>
      <c r="N41" s="171">
        <f t="shared" si="3"/>
        <v>9.4683826296000001E-2</v>
      </c>
      <c r="O41" s="98">
        <f t="shared" si="13"/>
        <v>10.631464888389859</v>
      </c>
      <c r="P41" s="96">
        <f t="shared" si="5"/>
        <v>0.12842105263157882</v>
      </c>
      <c r="Q41" s="96"/>
      <c r="R41" s="97">
        <f t="shared" si="7"/>
        <v>0</v>
      </c>
      <c r="S41" s="99">
        <f t="shared" si="8"/>
        <v>0</v>
      </c>
      <c r="T41" s="95" t="e">
        <f t="shared" si="9"/>
        <v>#DIV/0!</v>
      </c>
    </row>
    <row r="42" spans="1:20" s="7" customFormat="1" ht="11.25" customHeight="1" x14ac:dyDescent="0.2">
      <c r="A42" s="115">
        <v>34</v>
      </c>
      <c r="B42" s="115" t="s">
        <v>196</v>
      </c>
      <c r="C42" s="116">
        <v>7.29</v>
      </c>
      <c r="D42" s="165">
        <f t="shared" si="12"/>
        <v>1.2455999999999996</v>
      </c>
      <c r="E42" s="1"/>
      <c r="F42" s="116">
        <v>2.1945892499999999</v>
      </c>
      <c r="G42" s="116">
        <v>-21.780762210311391</v>
      </c>
      <c r="H42" s="123">
        <f t="shared" si="10"/>
        <v>-26.048697156736466</v>
      </c>
      <c r="I42" s="95">
        <f t="shared" si="0"/>
        <v>0</v>
      </c>
      <c r="J42" s="96">
        <f t="shared" si="1"/>
        <v>0.30104104938271603</v>
      </c>
      <c r="K42" s="96"/>
      <c r="L42" s="96"/>
      <c r="M42" s="96"/>
      <c r="N42" s="171">
        <f t="shared" si="3"/>
        <v>0.14428985400899999</v>
      </c>
      <c r="O42" s="98">
        <f t="shared" si="13"/>
        <v>11.583963873554916</v>
      </c>
      <c r="P42" s="96">
        <f t="shared" si="5"/>
        <v>0.17086419753086415</v>
      </c>
      <c r="Q42" s="96"/>
      <c r="R42" s="97">
        <f t="shared" si="7"/>
        <v>0</v>
      </c>
      <c r="S42" s="99">
        <f t="shared" si="8"/>
        <v>0</v>
      </c>
      <c r="T42" s="95" t="e">
        <f t="shared" si="9"/>
        <v>#DIV/0!</v>
      </c>
    </row>
    <row r="43" spans="1:20" s="100" customFormat="1" ht="11.25" customHeight="1" x14ac:dyDescent="0.2">
      <c r="A43" s="102">
        <v>35</v>
      </c>
      <c r="B43" s="102" t="s">
        <v>197</v>
      </c>
      <c r="C43" s="114">
        <v>7.2489999999999997</v>
      </c>
      <c r="D43" s="165">
        <f t="shared" si="12"/>
        <v>1.2045999999999992</v>
      </c>
      <c r="E43" s="1"/>
      <c r="F43" s="103">
        <v>2.064565</v>
      </c>
      <c r="G43" s="114">
        <v>-22.077734557320596</v>
      </c>
      <c r="H43" s="123">
        <f t="shared" si="10"/>
        <v>-26.345669503745672</v>
      </c>
      <c r="I43" s="95">
        <f t="shared" si="0"/>
        <v>0</v>
      </c>
      <c r="J43" s="96">
        <f t="shared" si="1"/>
        <v>0.28480686991309145</v>
      </c>
      <c r="K43" s="96"/>
      <c r="L43" s="96"/>
      <c r="M43" s="96"/>
      <c r="N43" s="171">
        <f t="shared" si="3"/>
        <v>0.13574101962000001</v>
      </c>
      <c r="O43" s="98">
        <f t="shared" si="13"/>
        <v>11.268555505562022</v>
      </c>
      <c r="P43" s="96">
        <f t="shared" si="5"/>
        <v>0.16617464477859006</v>
      </c>
      <c r="Q43" s="96"/>
      <c r="R43" s="97">
        <f t="shared" si="7"/>
        <v>0</v>
      </c>
      <c r="S43" s="99">
        <f t="shared" si="8"/>
        <v>0</v>
      </c>
      <c r="T43" s="95" t="e">
        <f t="shared" si="9"/>
        <v>#DIV/0!</v>
      </c>
    </row>
    <row r="44" spans="1:20" s="100" customFormat="1" ht="11.25" customHeight="1" x14ac:dyDescent="0.2">
      <c r="A44" s="115">
        <v>36</v>
      </c>
      <c r="B44" s="115" t="s">
        <v>198</v>
      </c>
      <c r="C44" s="116">
        <v>7.4790000000000001</v>
      </c>
      <c r="D44" s="165">
        <f t="shared" si="12"/>
        <v>1.4345999999999997</v>
      </c>
      <c r="E44" s="1"/>
      <c r="F44" s="116">
        <v>2.19831675</v>
      </c>
      <c r="G44" s="116">
        <v>-22.44763202058537</v>
      </c>
      <c r="H44" s="123">
        <f t="shared" si="10"/>
        <v>-26.715566967010446</v>
      </c>
      <c r="I44" s="95">
        <f t="shared" si="0"/>
        <v>0</v>
      </c>
      <c r="J44" s="96">
        <f t="shared" si="1"/>
        <v>0.29393190934616925</v>
      </c>
      <c r="K44" s="96"/>
      <c r="L44" s="96"/>
      <c r="M44" s="96"/>
      <c r="N44" s="171">
        <f t="shared" si="3"/>
        <v>0.144534929679</v>
      </c>
      <c r="O44" s="98">
        <f t="shared" si="13"/>
        <v>10.074928877666251</v>
      </c>
      <c r="P44" s="96">
        <f t="shared" si="5"/>
        <v>0.19181708784596865</v>
      </c>
      <c r="Q44" s="96"/>
      <c r="R44" s="97">
        <f t="shared" si="7"/>
        <v>0</v>
      </c>
      <c r="S44" s="99">
        <f t="shared" si="8"/>
        <v>0</v>
      </c>
      <c r="T44" s="95" t="e">
        <f t="shared" si="9"/>
        <v>#DIV/0!</v>
      </c>
    </row>
    <row r="45" spans="1:20" s="100" customFormat="1" ht="11.25" customHeight="1" x14ac:dyDescent="0.2">
      <c r="A45" s="102">
        <v>37</v>
      </c>
      <c r="B45" s="102" t="s">
        <v>199</v>
      </c>
      <c r="C45" s="114">
        <v>8.6760000000000002</v>
      </c>
      <c r="D45" s="165">
        <f t="shared" si="12"/>
        <v>2.6315999999999997</v>
      </c>
      <c r="E45" s="1"/>
      <c r="F45" s="103">
        <v>3.96763025</v>
      </c>
      <c r="G45" s="114">
        <v>-21.625723700252646</v>
      </c>
      <c r="H45" s="123">
        <f t="shared" si="10"/>
        <v>-25.893658646677721</v>
      </c>
      <c r="I45" s="95">
        <f t="shared" si="0"/>
        <v>0</v>
      </c>
      <c r="J45" s="96">
        <f t="shared" si="1"/>
        <v>0.45731100161364685</v>
      </c>
      <c r="K45" s="96"/>
      <c r="L45" s="96"/>
      <c r="M45" s="96"/>
      <c r="N45" s="171">
        <f t="shared" si="3"/>
        <v>0.26086375367699999</v>
      </c>
      <c r="O45" s="98">
        <f t="shared" si="13"/>
        <v>9.9127433377792986</v>
      </c>
      <c r="P45" s="96">
        <f t="shared" si="5"/>
        <v>0.30331950207468877</v>
      </c>
      <c r="Q45" s="96"/>
      <c r="R45" s="97">
        <f t="shared" si="7"/>
        <v>0</v>
      </c>
      <c r="S45" s="99">
        <f t="shared" si="8"/>
        <v>0</v>
      </c>
      <c r="T45" s="95" t="e">
        <f t="shared" si="9"/>
        <v>#DIV/0!</v>
      </c>
    </row>
    <row r="46" spans="1:20" s="100" customFormat="1" ht="11.25" customHeight="1" x14ac:dyDescent="0.2">
      <c r="A46" s="115">
        <v>38</v>
      </c>
      <c r="B46" s="115" t="s">
        <v>200</v>
      </c>
      <c r="C46" s="116">
        <v>10.089</v>
      </c>
      <c r="D46" s="165">
        <f t="shared" si="12"/>
        <v>4.0446</v>
      </c>
      <c r="E46" s="1"/>
      <c r="F46" s="116">
        <v>13.896848</v>
      </c>
      <c r="G46" s="116">
        <v>-22.481137197074222</v>
      </c>
      <c r="H46" s="123">
        <f t="shared" si="10"/>
        <v>-26.749072143499298</v>
      </c>
      <c r="I46" s="95">
        <f t="shared" si="0"/>
        <v>0</v>
      </c>
      <c r="J46" s="96">
        <f t="shared" si="1"/>
        <v>1.3774257111705819</v>
      </c>
      <c r="K46" s="96"/>
      <c r="L46" s="96"/>
      <c r="M46" s="96"/>
      <c r="N46" s="171">
        <f t="shared" si="3"/>
        <v>0.91368996230400001</v>
      </c>
      <c r="O46" s="98">
        <f t="shared" si="13"/>
        <v>22.590366471443406</v>
      </c>
      <c r="P46" s="96">
        <f t="shared" si="5"/>
        <v>0.40089206066012489</v>
      </c>
      <c r="Q46" s="96"/>
      <c r="R46" s="97">
        <f t="shared" si="7"/>
        <v>0</v>
      </c>
      <c r="S46" s="99">
        <f t="shared" si="8"/>
        <v>0</v>
      </c>
      <c r="T46" s="95" t="e">
        <f t="shared" si="9"/>
        <v>#DIV/0!</v>
      </c>
    </row>
    <row r="47" spans="1:20" s="100" customFormat="1" ht="11.25" customHeight="1" x14ac:dyDescent="0.2">
      <c r="A47" s="102">
        <v>39</v>
      </c>
      <c r="B47" s="102" t="s">
        <v>201</v>
      </c>
      <c r="C47" s="114">
        <v>8.8800000000000008</v>
      </c>
      <c r="D47" s="165">
        <f t="shared" si="12"/>
        <v>2.8356000000000003</v>
      </c>
      <c r="E47" s="1"/>
      <c r="F47" s="103">
        <v>3.4949184999999998</v>
      </c>
      <c r="G47" s="114">
        <v>-22.193658692442085</v>
      </c>
      <c r="H47" s="123">
        <f t="shared" si="10"/>
        <v>-26.461593638867161</v>
      </c>
      <c r="I47" s="95">
        <f t="shared" si="0"/>
        <v>0</v>
      </c>
      <c r="J47" s="96">
        <f t="shared" si="1"/>
        <v>0.3935719031531531</v>
      </c>
      <c r="K47" s="96"/>
      <c r="L47" s="96"/>
      <c r="M47" s="96"/>
      <c r="N47" s="171">
        <f t="shared" si="3"/>
        <v>0.22978390153799999</v>
      </c>
      <c r="O47" s="98">
        <f t="shared" si="13"/>
        <v>8.1035372245027499</v>
      </c>
      <c r="P47" s="96">
        <f t="shared" si="5"/>
        <v>0.31932432432432434</v>
      </c>
      <c r="Q47" s="96"/>
      <c r="R47" s="97">
        <f t="shared" si="7"/>
        <v>0</v>
      </c>
      <c r="S47" s="99">
        <f t="shared" si="8"/>
        <v>0</v>
      </c>
      <c r="T47" s="95" t="e">
        <f t="shared" si="9"/>
        <v>#DIV/0!</v>
      </c>
    </row>
    <row r="48" spans="1:20" s="100" customFormat="1" ht="11.25" customHeight="1" x14ac:dyDescent="0.2">
      <c r="A48" s="115">
        <v>40</v>
      </c>
      <c r="B48" s="115" t="s">
        <v>202</v>
      </c>
      <c r="C48" s="116">
        <v>7.1219999999999999</v>
      </c>
      <c r="D48" s="165">
        <f t="shared" si="12"/>
        <v>1.0775999999999994</v>
      </c>
      <c r="E48" s="1"/>
      <c r="F48" s="116">
        <v>1.6358362500000001</v>
      </c>
      <c r="G48" s="116">
        <v>-22.237551316575075</v>
      </c>
      <c r="H48" s="123">
        <f t="shared" si="10"/>
        <v>-26.505486263000151</v>
      </c>
      <c r="I48" s="95">
        <f t="shared" si="0"/>
        <v>0</v>
      </c>
      <c r="J48" s="96">
        <f t="shared" si="1"/>
        <v>0.22968776326874477</v>
      </c>
      <c r="K48" s="96"/>
      <c r="L48" s="96"/>
      <c r="M48" s="96"/>
      <c r="N48" s="171">
        <f t="shared" si="3"/>
        <v>0.10755296176500001</v>
      </c>
      <c r="O48" s="98">
        <f t="shared" si="13"/>
        <v>9.9807870977171564</v>
      </c>
      <c r="P48" s="96">
        <f t="shared" si="5"/>
        <v>0.15130581297388365</v>
      </c>
      <c r="Q48" s="96"/>
      <c r="R48" s="97">
        <f t="shared" si="7"/>
        <v>0</v>
      </c>
      <c r="S48" s="99">
        <f t="shared" si="8"/>
        <v>0</v>
      </c>
      <c r="T48" s="95" t="e">
        <f t="shared" si="9"/>
        <v>#DIV/0!</v>
      </c>
    </row>
    <row r="49" spans="1:20" s="100" customFormat="1" ht="11.25" customHeight="1" x14ac:dyDescent="0.2">
      <c r="A49" s="102">
        <v>41</v>
      </c>
      <c r="B49" s="102" t="s">
        <v>203</v>
      </c>
      <c r="C49" s="114">
        <v>7.4020000000000001</v>
      </c>
      <c r="D49" s="165">
        <f t="shared" si="12"/>
        <v>1.3575999999999997</v>
      </c>
      <c r="E49" s="1"/>
      <c r="F49" s="103">
        <v>2.0314648750000002</v>
      </c>
      <c r="G49" s="114">
        <v>-22.140143919810786</v>
      </c>
      <c r="H49" s="123">
        <f t="shared" si="10"/>
        <v>-26.408078866235861</v>
      </c>
      <c r="I49" s="95">
        <f t="shared" si="0"/>
        <v>0</v>
      </c>
      <c r="J49" s="96">
        <f t="shared" si="1"/>
        <v>0.27444810524182656</v>
      </c>
      <c r="K49" s="96"/>
      <c r="L49" s="96"/>
      <c r="M49" s="96"/>
      <c r="N49" s="171">
        <f>F49*$B$28+$D$28</f>
        <v>0.13356475260150003</v>
      </c>
      <c r="O49" s="98">
        <f t="shared" si="13"/>
        <v>9.8382993961034213</v>
      </c>
      <c r="P49" s="96">
        <f t="shared" si="5"/>
        <v>0.18340988921912993</v>
      </c>
      <c r="Q49" s="96"/>
      <c r="R49" s="97">
        <f t="shared" si="7"/>
        <v>0</v>
      </c>
      <c r="S49" s="99">
        <f t="shared" si="8"/>
        <v>0</v>
      </c>
      <c r="T49" s="95" t="e">
        <f t="shared" si="9"/>
        <v>#DIV/0!</v>
      </c>
    </row>
    <row r="50" spans="1:20" s="100" customFormat="1" ht="11.25" customHeight="1" x14ac:dyDescent="0.2">
      <c r="A50" s="115">
        <v>42</v>
      </c>
      <c r="B50" s="115" t="s">
        <v>204</v>
      </c>
      <c r="C50" s="116">
        <v>8.0869999999999997</v>
      </c>
      <c r="D50" s="165">
        <f t="shared" si="12"/>
        <v>2.0425999999999993</v>
      </c>
      <c r="E50" s="1"/>
      <c r="F50" s="116">
        <v>3.0850559999999998</v>
      </c>
      <c r="G50" s="116">
        <v>-21.929230043795013</v>
      </c>
      <c r="H50" s="123">
        <f t="shared" si="10"/>
        <v>-26.197164990220088</v>
      </c>
      <c r="I50" s="95">
        <f t="shared" si="0"/>
        <v>0</v>
      </c>
      <c r="J50" s="96">
        <f t="shared" si="1"/>
        <v>0.38148336836898727</v>
      </c>
      <c r="K50" s="96"/>
      <c r="L50" s="96"/>
      <c r="M50" s="96"/>
      <c r="N50" s="171">
        <f t="shared" si="3"/>
        <v>0.202836261888</v>
      </c>
      <c r="O50" s="98">
        <f t="shared" si="13"/>
        <v>9.9302977522765143</v>
      </c>
      <c r="P50" s="96">
        <f t="shared" si="5"/>
        <v>0.252578211945097</v>
      </c>
      <c r="Q50" s="96"/>
      <c r="R50" s="97">
        <f t="shared" si="7"/>
        <v>0</v>
      </c>
      <c r="S50" s="99">
        <f t="shared" si="8"/>
        <v>0</v>
      </c>
      <c r="T50" s="95" t="e">
        <f t="shared" si="9"/>
        <v>#DIV/0!</v>
      </c>
    </row>
    <row r="51" spans="1:20" s="109" customFormat="1" ht="11.25" customHeight="1" x14ac:dyDescent="0.2">
      <c r="A51" s="102">
        <v>43</v>
      </c>
      <c r="B51" s="102" t="s">
        <v>70</v>
      </c>
      <c r="C51" s="114">
        <v>1.052</v>
      </c>
      <c r="E51" s="1"/>
      <c r="F51" s="103">
        <v>7.1805139999999996</v>
      </c>
      <c r="G51" s="114">
        <v>-21.734963686615327</v>
      </c>
      <c r="H51" s="122">
        <f t="shared" si="10"/>
        <v>-26.002898633040402</v>
      </c>
      <c r="I51" s="105">
        <f t="shared" si="0"/>
        <v>0</v>
      </c>
      <c r="J51" s="106">
        <f t="shared" si="1"/>
        <v>6.8255836501901133</v>
      </c>
      <c r="K51" s="106">
        <f t="shared" ref="K51:L51" si="14">H$14</f>
        <v>44.65</v>
      </c>
      <c r="L51" s="106">
        <f t="shared" si="14"/>
        <v>2.83</v>
      </c>
      <c r="M51" s="106">
        <f t="shared" ref="M51:M52" si="15">C51*(K51/100)</f>
        <v>0.46971800000000002</v>
      </c>
      <c r="N51" s="169">
        <f t="shared" si="3"/>
        <v>0.47210443447199996</v>
      </c>
      <c r="O51" s="110">
        <f t="shared" ref="O51" si="16">N51/C51*100</f>
        <v>44.876847383269961</v>
      </c>
      <c r="P51" s="106">
        <f t="shared" si="5"/>
        <v>0</v>
      </c>
      <c r="Q51" s="106">
        <f t="shared" ref="Q51" si="17">C51*(L51/100)</f>
        <v>2.9771600000000002E-2</v>
      </c>
      <c r="R51" s="107">
        <f t="shared" si="7"/>
        <v>0</v>
      </c>
      <c r="S51" s="108">
        <f t="shared" si="8"/>
        <v>0</v>
      </c>
      <c r="T51" s="105" t="e">
        <f t="shared" si="9"/>
        <v>#DIV/0!</v>
      </c>
    </row>
    <row r="52" spans="1:20" s="151" customFormat="1" ht="11.25" customHeight="1" x14ac:dyDescent="0.2">
      <c r="A52" s="115">
        <v>44</v>
      </c>
      <c r="B52" s="115" t="s">
        <v>91</v>
      </c>
      <c r="C52" s="116">
        <v>1.157</v>
      </c>
      <c r="E52" s="1"/>
      <c r="F52" s="116">
        <v>0.60166193749999997</v>
      </c>
      <c r="G52" s="116">
        <v>-15.751799312879559</v>
      </c>
      <c r="H52" s="153">
        <f>$B$26*G52+$D$26</f>
        <v>-20.019734259304634</v>
      </c>
      <c r="I52" s="154">
        <f>$B$27*E52+$D$27</f>
        <v>0</v>
      </c>
      <c r="J52" s="155">
        <f>(F52)/C52</f>
        <v>0.52001896067415732</v>
      </c>
      <c r="K52" s="155">
        <f>$H$13</f>
        <v>3.3479999999999999</v>
      </c>
      <c r="L52" s="155"/>
      <c r="M52" s="155">
        <f t="shared" si="15"/>
        <v>3.8736359999999997E-2</v>
      </c>
      <c r="N52" s="170">
        <f t="shared" si="3"/>
        <v>3.9558069066749996E-2</v>
      </c>
      <c r="O52" s="157">
        <f>N52/C52*100</f>
        <v>3.4190206626404493</v>
      </c>
      <c r="P52" s="155">
        <f>D52/C52</f>
        <v>0</v>
      </c>
      <c r="Q52" s="155"/>
      <c r="R52" s="156">
        <f>D52*$B$29+$D$29</f>
        <v>0</v>
      </c>
      <c r="S52" s="158">
        <f>R52/C52*100</f>
        <v>0</v>
      </c>
      <c r="T52" s="154" t="e">
        <f>N52/R52</f>
        <v>#DIV/0!</v>
      </c>
    </row>
    <row r="53" spans="1:20" s="100" customFormat="1" ht="11.25" customHeight="1" x14ac:dyDescent="0.2">
      <c r="A53" s="102">
        <v>45</v>
      </c>
      <c r="B53" s="102" t="s">
        <v>205</v>
      </c>
      <c r="C53" s="114">
        <v>7.18</v>
      </c>
      <c r="D53" s="165">
        <f t="shared" ref="D53:D64" si="18">C53-$H$26</f>
        <v>1.1355999999999993</v>
      </c>
      <c r="E53" s="1"/>
      <c r="F53" s="103">
        <v>1.7327494999999999</v>
      </c>
      <c r="G53" s="114">
        <v>-22.43664404675717</v>
      </c>
      <c r="H53" s="123">
        <f t="shared" si="10"/>
        <v>-26.704578993182245</v>
      </c>
      <c r="I53" s="95">
        <f t="shared" si="0"/>
        <v>0</v>
      </c>
      <c r="J53" s="96">
        <f t="shared" si="1"/>
        <v>0.24133001392757661</v>
      </c>
      <c r="K53" s="96"/>
      <c r="L53" s="96"/>
      <c r="M53" s="96"/>
      <c r="N53" s="171">
        <f t="shared" si="3"/>
        <v>0.113924814126</v>
      </c>
      <c r="O53" s="98">
        <f t="shared" ref="O53:O64" si="19">N53/D53*100</f>
        <v>10.032125231243402</v>
      </c>
      <c r="P53" s="96">
        <f t="shared" ref="P53:P54" si="20">D53/C53</f>
        <v>0.1581615598885793</v>
      </c>
      <c r="Q53" s="96"/>
      <c r="R53" s="97">
        <f t="shared" si="7"/>
        <v>0</v>
      </c>
      <c r="S53" s="99">
        <f t="shared" si="8"/>
        <v>0</v>
      </c>
      <c r="T53" s="95" t="e">
        <f t="shared" si="9"/>
        <v>#DIV/0!</v>
      </c>
    </row>
    <row r="54" spans="1:20" s="100" customFormat="1" ht="11.25" customHeight="1" x14ac:dyDescent="0.2">
      <c r="A54" s="115">
        <v>46</v>
      </c>
      <c r="B54" s="115" t="s">
        <v>206</v>
      </c>
      <c r="C54" s="116">
        <v>7.3449999999999998</v>
      </c>
      <c r="D54" s="165">
        <f t="shared" si="18"/>
        <v>1.3005999999999993</v>
      </c>
      <c r="E54" s="1"/>
      <c r="F54" s="116">
        <v>1.70432275</v>
      </c>
      <c r="G54" s="116">
        <v>-22.558218998904774</v>
      </c>
      <c r="H54" s="123">
        <f t="shared" si="10"/>
        <v>-26.82615394532985</v>
      </c>
      <c r="I54" s="95">
        <f t="shared" si="0"/>
        <v>0</v>
      </c>
      <c r="J54" s="96">
        <f t="shared" si="1"/>
        <v>0.23203849557522124</v>
      </c>
      <c r="K54" s="96"/>
      <c r="L54" s="96"/>
      <c r="M54" s="96"/>
      <c r="N54" s="171">
        <f t="shared" si="3"/>
        <v>0.112055812167</v>
      </c>
      <c r="O54" s="98">
        <f t="shared" si="19"/>
        <v>8.6157013814393402</v>
      </c>
      <c r="P54" s="96">
        <f t="shared" si="20"/>
        <v>0.17707283866575893</v>
      </c>
      <c r="Q54" s="96"/>
      <c r="R54" s="97">
        <f t="shared" si="7"/>
        <v>0</v>
      </c>
      <c r="S54" s="99">
        <f t="shared" si="8"/>
        <v>0</v>
      </c>
      <c r="T54" s="95" t="e">
        <f t="shared" si="9"/>
        <v>#DIV/0!</v>
      </c>
    </row>
    <row r="55" spans="1:20" s="100" customFormat="1" ht="11.25" customHeight="1" x14ac:dyDescent="0.2">
      <c r="A55" s="102">
        <v>47</v>
      </c>
      <c r="B55" s="102" t="s">
        <v>207</v>
      </c>
      <c r="C55" s="114">
        <v>7.0140000000000002</v>
      </c>
      <c r="D55" s="165">
        <f t="shared" si="18"/>
        <v>0.9695999999999998</v>
      </c>
      <c r="E55" s="1"/>
      <c r="F55" s="103">
        <v>1.57637</v>
      </c>
      <c r="G55" s="114">
        <v>-22.477344498666888</v>
      </c>
      <c r="H55" s="123">
        <f t="shared" si="10"/>
        <v>-26.745279445091963</v>
      </c>
      <c r="I55" s="95">
        <f t="shared" si="0"/>
        <v>0</v>
      </c>
      <c r="J55" s="96">
        <f t="shared" si="1"/>
        <v>0.22474622184203022</v>
      </c>
      <c r="K55" s="96"/>
      <c r="L55" s="96"/>
      <c r="M55" s="96"/>
      <c r="N55" s="171">
        <f t="shared" si="3"/>
        <v>0.10364317476</v>
      </c>
      <c r="O55" s="98">
        <f t="shared" si="19"/>
        <v>10.689271324257428</v>
      </c>
      <c r="P55" s="96">
        <f t="shared" si="5"/>
        <v>0.1382378100940975</v>
      </c>
      <c r="Q55" s="96"/>
      <c r="R55" s="97">
        <f t="shared" si="7"/>
        <v>0</v>
      </c>
      <c r="S55" s="99">
        <f t="shared" si="8"/>
        <v>0</v>
      </c>
      <c r="T55" s="95" t="e">
        <f t="shared" si="9"/>
        <v>#DIV/0!</v>
      </c>
    </row>
    <row r="56" spans="1:20" s="100" customFormat="1" ht="11.25" customHeight="1" x14ac:dyDescent="0.2">
      <c r="A56" s="115">
        <v>48</v>
      </c>
      <c r="B56" s="115" t="s">
        <v>208</v>
      </c>
      <c r="C56" s="116">
        <v>8.7650000000000006</v>
      </c>
      <c r="D56" s="165">
        <f t="shared" si="18"/>
        <v>2.7206000000000001</v>
      </c>
      <c r="E56" s="1"/>
      <c r="F56" s="116">
        <v>4.0087434999999996</v>
      </c>
      <c r="G56" s="116">
        <v>-22.247418659721983</v>
      </c>
      <c r="H56" s="123">
        <f t="shared" si="10"/>
        <v>-26.515353606147059</v>
      </c>
      <c r="I56" s="95">
        <f t="shared" si="0"/>
        <v>0</v>
      </c>
      <c r="J56" s="96">
        <f t="shared" si="1"/>
        <v>0.45735807187678257</v>
      </c>
      <c r="K56" s="96"/>
      <c r="L56" s="96"/>
      <c r="M56" s="96"/>
      <c r="N56" s="171">
        <f t="shared" si="3"/>
        <v>0.26356686763799997</v>
      </c>
      <c r="O56" s="98">
        <f t="shared" si="19"/>
        <v>9.6878213496287575</v>
      </c>
      <c r="P56" s="96">
        <f t="shared" si="5"/>
        <v>0.31039361095265261</v>
      </c>
      <c r="Q56" s="96"/>
      <c r="R56" s="97">
        <f t="shared" si="7"/>
        <v>0</v>
      </c>
      <c r="S56" s="99">
        <f t="shared" si="8"/>
        <v>0</v>
      </c>
      <c r="T56" s="95" t="e">
        <f t="shared" si="9"/>
        <v>#DIV/0!</v>
      </c>
    </row>
    <row r="57" spans="1:20" s="100" customFormat="1" ht="11.25" customHeight="1" x14ac:dyDescent="0.2">
      <c r="A57" s="102">
        <v>49</v>
      </c>
      <c r="B57" s="102" t="s">
        <v>209</v>
      </c>
      <c r="C57" s="114">
        <v>11.337999999999999</v>
      </c>
      <c r="D57" s="165">
        <f t="shared" si="18"/>
        <v>5.2935999999999988</v>
      </c>
      <c r="E57" s="1"/>
      <c r="F57" s="103">
        <v>8.058503</v>
      </c>
      <c r="G57" s="114">
        <v>-22.063756476403555</v>
      </c>
      <c r="H57" s="123">
        <f t="shared" si="10"/>
        <v>-26.33169142282863</v>
      </c>
      <c r="I57" s="95">
        <f t="shared" si="0"/>
        <v>0</v>
      </c>
      <c r="J57" s="96">
        <f t="shared" si="1"/>
        <v>0.71075171988004948</v>
      </c>
      <c r="K57" s="96"/>
      <c r="L57" s="96"/>
      <c r="M57" s="96"/>
      <c r="N57" s="171">
        <f t="shared" si="3"/>
        <v>0.52983045524399996</v>
      </c>
      <c r="O57" s="98">
        <f t="shared" si="19"/>
        <v>10.008887245806259</v>
      </c>
      <c r="P57" s="96">
        <f t="shared" si="5"/>
        <v>0.46689010407479264</v>
      </c>
      <c r="Q57" s="96"/>
      <c r="R57" s="97">
        <f t="shared" si="7"/>
        <v>0</v>
      </c>
      <c r="S57" s="99">
        <f t="shared" si="8"/>
        <v>0</v>
      </c>
      <c r="T57" s="95" t="e">
        <f t="shared" si="9"/>
        <v>#DIV/0!</v>
      </c>
    </row>
    <row r="58" spans="1:20" s="100" customFormat="1" ht="11.25" customHeight="1" x14ac:dyDescent="0.2">
      <c r="A58" s="115">
        <v>50</v>
      </c>
      <c r="B58" s="115" t="s">
        <v>210</v>
      </c>
      <c r="C58" s="116">
        <v>9.6449999999999996</v>
      </c>
      <c r="D58" s="165">
        <f t="shared" si="18"/>
        <v>3.6005999999999991</v>
      </c>
      <c r="E58" s="1"/>
      <c r="F58" s="116">
        <v>5.4361974999999996</v>
      </c>
      <c r="G58" s="116">
        <v>-22.15794381693328</v>
      </c>
      <c r="H58" s="123">
        <f t="shared" si="10"/>
        <v>-26.425878763358355</v>
      </c>
      <c r="I58" s="95">
        <f t="shared" si="0"/>
        <v>0</v>
      </c>
      <c r="J58" s="96">
        <f t="shared" si="1"/>
        <v>0.5636285640228097</v>
      </c>
      <c r="K58" s="96"/>
      <c r="L58" s="96"/>
      <c r="M58" s="96"/>
      <c r="N58" s="171">
        <f t="shared" si="3"/>
        <v>0.35741911322999997</v>
      </c>
      <c r="O58" s="98">
        <f t="shared" si="19"/>
        <v>9.9266542584569262</v>
      </c>
      <c r="P58" s="96">
        <f t="shared" si="5"/>
        <v>0.37331259720062199</v>
      </c>
      <c r="Q58" s="96"/>
      <c r="R58" s="97">
        <f t="shared" si="7"/>
        <v>0</v>
      </c>
      <c r="S58" s="99">
        <f t="shared" si="8"/>
        <v>0</v>
      </c>
      <c r="T58" s="95" t="e">
        <f t="shared" si="9"/>
        <v>#DIV/0!</v>
      </c>
    </row>
    <row r="59" spans="1:20" s="100" customFormat="1" ht="11.25" customHeight="1" x14ac:dyDescent="0.2">
      <c r="A59" s="102">
        <v>51</v>
      </c>
      <c r="B59" s="102" t="s">
        <v>211</v>
      </c>
      <c r="C59" s="114">
        <v>9.9619999999999997</v>
      </c>
      <c r="D59" s="165">
        <f t="shared" si="18"/>
        <v>3.9175999999999993</v>
      </c>
      <c r="E59" s="1"/>
      <c r="F59" s="103">
        <v>6.3570440000000001</v>
      </c>
      <c r="G59" s="114">
        <v>-21.902995643259594</v>
      </c>
      <c r="H59" s="123">
        <f t="shared" si="10"/>
        <v>-26.170930589684669</v>
      </c>
      <c r="I59" s="95">
        <f t="shared" si="0"/>
        <v>0</v>
      </c>
      <c r="J59" s="96">
        <f t="shared" si="1"/>
        <v>0.6381292913069665</v>
      </c>
      <c r="K59" s="96"/>
      <c r="L59" s="96"/>
      <c r="M59" s="96"/>
      <c r="N59" s="171">
        <f t="shared" si="3"/>
        <v>0.41796292891200004</v>
      </c>
      <c r="O59" s="98">
        <f t="shared" si="19"/>
        <v>10.668851565039823</v>
      </c>
      <c r="P59" s="96">
        <f t="shared" si="5"/>
        <v>0.39325436659305352</v>
      </c>
      <c r="Q59" s="96"/>
      <c r="R59" s="97">
        <f t="shared" si="7"/>
        <v>0</v>
      </c>
      <c r="S59" s="99">
        <f t="shared" si="8"/>
        <v>0</v>
      </c>
      <c r="T59" s="95" t="e">
        <f t="shared" si="9"/>
        <v>#DIV/0!</v>
      </c>
    </row>
    <row r="60" spans="1:20" s="100" customFormat="1" ht="11.25" customHeight="1" x14ac:dyDescent="0.2">
      <c r="A60" s="115">
        <v>52</v>
      </c>
      <c r="B60" s="115" t="s">
        <v>212</v>
      </c>
      <c r="C60" s="116">
        <v>10.89</v>
      </c>
      <c r="D60" s="165">
        <f t="shared" si="18"/>
        <v>4.8456000000000001</v>
      </c>
      <c r="E60" s="1"/>
      <c r="F60" s="116">
        <v>7.7858444999999996</v>
      </c>
      <c r="G60" s="116">
        <v>-21.978045192333088</v>
      </c>
      <c r="H60" s="123">
        <f t="shared" si="10"/>
        <v>-26.245980138758163</v>
      </c>
      <c r="I60" s="95">
        <f t="shared" si="0"/>
        <v>0</v>
      </c>
      <c r="J60" s="96">
        <f t="shared" si="1"/>
        <v>0.71495358126721753</v>
      </c>
      <c r="K60" s="96"/>
      <c r="L60" s="96"/>
      <c r="M60" s="96"/>
      <c r="N60" s="171">
        <f t="shared" si="3"/>
        <v>0.51190370418599995</v>
      </c>
      <c r="O60" s="98">
        <f t="shared" si="19"/>
        <v>10.564299657132242</v>
      </c>
      <c r="P60" s="96">
        <f t="shared" si="5"/>
        <v>0.44495867768595038</v>
      </c>
      <c r="Q60" s="96"/>
      <c r="R60" s="97">
        <f t="shared" si="7"/>
        <v>0</v>
      </c>
      <c r="S60" s="99">
        <f t="shared" si="8"/>
        <v>0</v>
      </c>
      <c r="T60" s="95" t="e">
        <f t="shared" si="9"/>
        <v>#DIV/0!</v>
      </c>
    </row>
    <row r="61" spans="1:20" s="100" customFormat="1" ht="11.25" customHeight="1" x14ac:dyDescent="0.2">
      <c r="A61" s="102">
        <v>53</v>
      </c>
      <c r="B61" s="102" t="s">
        <v>213</v>
      </c>
      <c r="C61" s="114">
        <v>9.4670000000000005</v>
      </c>
      <c r="D61" s="165">
        <f t="shared" si="18"/>
        <v>3.4226000000000001</v>
      </c>
      <c r="E61" s="1"/>
      <c r="F61" s="103">
        <v>6.5560305000000003</v>
      </c>
      <c r="G61" s="114">
        <v>-21.96803745150131</v>
      </c>
      <c r="H61" s="123">
        <f t="shared" si="10"/>
        <v>-26.235972397926385</v>
      </c>
      <c r="I61" s="95">
        <f t="shared" si="0"/>
        <v>0</v>
      </c>
      <c r="J61" s="96">
        <f t="shared" si="1"/>
        <v>0.69251404880109857</v>
      </c>
      <c r="K61" s="96"/>
      <c r="L61" s="96"/>
      <c r="M61" s="96"/>
      <c r="N61" s="171">
        <f t="shared" si="3"/>
        <v>0.43104589331400001</v>
      </c>
      <c r="O61" s="98">
        <f t="shared" si="19"/>
        <v>12.594106624028518</v>
      </c>
      <c r="P61" s="96">
        <f t="shared" si="5"/>
        <v>0.36152952360832363</v>
      </c>
      <c r="Q61" s="96"/>
      <c r="R61" s="97">
        <f t="shared" si="7"/>
        <v>0</v>
      </c>
      <c r="S61" s="99">
        <f t="shared" si="8"/>
        <v>0</v>
      </c>
      <c r="T61" s="95" t="e">
        <f t="shared" si="9"/>
        <v>#DIV/0!</v>
      </c>
    </row>
    <row r="62" spans="1:20" s="100" customFormat="1" ht="11.25" customHeight="1" x14ac:dyDescent="0.2">
      <c r="A62" s="115">
        <v>54</v>
      </c>
      <c r="B62" s="115" t="s">
        <v>214</v>
      </c>
      <c r="C62" s="116">
        <v>10.208</v>
      </c>
      <c r="D62" s="165">
        <f t="shared" si="18"/>
        <v>4.1635999999999997</v>
      </c>
      <c r="E62" s="1"/>
      <c r="F62" s="116">
        <v>6.6546810000000001</v>
      </c>
      <c r="G62" s="116">
        <v>-21.755482634180272</v>
      </c>
      <c r="H62" s="123">
        <f t="shared" si="10"/>
        <v>-26.023417580605347</v>
      </c>
      <c r="I62" s="95">
        <f t="shared" si="0"/>
        <v>0</v>
      </c>
      <c r="J62" s="96">
        <f t="shared" si="1"/>
        <v>0.65190840517241377</v>
      </c>
      <c r="K62" s="96"/>
      <c r="L62" s="96"/>
      <c r="M62" s="96"/>
      <c r="N62" s="171">
        <f t="shared" si="3"/>
        <v>0.43753196638800002</v>
      </c>
      <c r="O62" s="98">
        <f t="shared" si="19"/>
        <v>10.50850145037948</v>
      </c>
      <c r="P62" s="96">
        <f t="shared" si="5"/>
        <v>0.40787617554858929</v>
      </c>
      <c r="Q62" s="96"/>
      <c r="R62" s="97">
        <f t="shared" si="7"/>
        <v>0</v>
      </c>
      <c r="S62" s="99">
        <f t="shared" si="8"/>
        <v>0</v>
      </c>
      <c r="T62" s="95" t="e">
        <f t="shared" si="9"/>
        <v>#DIV/0!</v>
      </c>
    </row>
    <row r="63" spans="1:20" s="100" customFormat="1" ht="11.25" customHeight="1" x14ac:dyDescent="0.2">
      <c r="A63" s="102">
        <v>55</v>
      </c>
      <c r="B63" s="102" t="s">
        <v>215</v>
      </c>
      <c r="C63" s="114">
        <v>9.9890000000000008</v>
      </c>
      <c r="D63" s="165">
        <f t="shared" si="18"/>
        <v>3.9446000000000003</v>
      </c>
      <c r="E63" s="1"/>
      <c r="F63" s="103">
        <v>6.2771904999999997</v>
      </c>
      <c r="G63" s="114">
        <v>-21.836266623882452</v>
      </c>
      <c r="H63" s="123">
        <f>$B$26*G63+$D$26</f>
        <v>-26.104201570307527</v>
      </c>
      <c r="I63" s="95">
        <f>$B$27*E63+$D$27</f>
        <v>0</v>
      </c>
      <c r="J63" s="96">
        <f>(F63)/C63</f>
        <v>0.62841030133146458</v>
      </c>
      <c r="K63" s="96"/>
      <c r="L63" s="96"/>
      <c r="M63" s="96"/>
      <c r="N63" s="171">
        <f>F63*$B$28+$D$28</f>
        <v>0.41271272099399997</v>
      </c>
      <c r="O63" s="98">
        <f t="shared" si="19"/>
        <v>10.462726790904018</v>
      </c>
      <c r="P63" s="96">
        <f>D63/C63</f>
        <v>0.39489438382220443</v>
      </c>
      <c r="Q63" s="96"/>
      <c r="R63" s="97">
        <f>D63*$B$29+$D$29</f>
        <v>0</v>
      </c>
      <c r="S63" s="99">
        <f>R63/C63*100</f>
        <v>0</v>
      </c>
      <c r="T63" s="95" t="e">
        <f>N63/R63</f>
        <v>#DIV/0!</v>
      </c>
    </row>
    <row r="64" spans="1:20" s="100" customFormat="1" ht="11.25" customHeight="1" x14ac:dyDescent="0.2">
      <c r="A64" s="115">
        <v>56</v>
      </c>
      <c r="B64" s="115" t="s">
        <v>216</v>
      </c>
      <c r="C64" s="116">
        <v>12.013999999999999</v>
      </c>
      <c r="D64" s="165">
        <f t="shared" si="18"/>
        <v>5.9695999999999989</v>
      </c>
      <c r="E64" s="1"/>
      <c r="F64" s="116">
        <v>8.5954189999999997</v>
      </c>
      <c r="G64" s="116">
        <v>-21.794297003751382</v>
      </c>
      <c r="H64" s="123">
        <f t="shared" si="10"/>
        <v>-26.062231950176457</v>
      </c>
      <c r="I64" s="95">
        <f t="shared" si="0"/>
        <v>0</v>
      </c>
      <c r="J64" s="96">
        <f t="shared" si="1"/>
        <v>0.71545022473780595</v>
      </c>
      <c r="K64" s="96"/>
      <c r="L64" s="96"/>
      <c r="M64" s="96"/>
      <c r="N64" s="171">
        <f t="shared" si="3"/>
        <v>0.56513160841199994</v>
      </c>
      <c r="O64" s="98">
        <f t="shared" si="19"/>
        <v>9.4668253888367726</v>
      </c>
      <c r="P64" s="96">
        <f t="shared" si="5"/>
        <v>0.49688696520725811</v>
      </c>
      <c r="Q64" s="96"/>
      <c r="R64" s="97">
        <f t="shared" si="7"/>
        <v>0</v>
      </c>
      <c r="S64" s="99">
        <f t="shared" si="8"/>
        <v>0</v>
      </c>
      <c r="T64" s="95" t="e">
        <f t="shared" si="9"/>
        <v>#DIV/0!</v>
      </c>
    </row>
    <row r="65" spans="1:20" s="109" customFormat="1" ht="11.25" customHeight="1" x14ac:dyDescent="0.2">
      <c r="A65" s="102">
        <v>57</v>
      </c>
      <c r="B65" s="102" t="s">
        <v>60</v>
      </c>
      <c r="C65" s="114">
        <v>0.58399999999999996</v>
      </c>
      <c r="E65" s="1"/>
      <c r="F65" s="103">
        <v>4.0913887500000001</v>
      </c>
      <c r="G65" s="114">
        <v>-21.705251828311944</v>
      </c>
      <c r="H65" s="122">
        <f t="shared" si="10"/>
        <v>-25.97318677473702</v>
      </c>
      <c r="I65" s="105">
        <f t="shared" si="0"/>
        <v>0</v>
      </c>
      <c r="J65" s="106">
        <f t="shared" si="1"/>
        <v>7.0058026541095897</v>
      </c>
      <c r="K65" s="106">
        <f t="shared" ref="K65:L65" si="21">H$14</f>
        <v>44.65</v>
      </c>
      <c r="L65" s="106">
        <f t="shared" si="21"/>
        <v>2.83</v>
      </c>
      <c r="M65" s="106">
        <f t="shared" ref="M65:M66" si="22">C65*(K65/100)</f>
        <v>0.26075599999999999</v>
      </c>
      <c r="N65" s="169">
        <f t="shared" si="3"/>
        <v>0.26900062753500004</v>
      </c>
      <c r="O65" s="110">
        <f t="shared" ref="O65:O66" si="23">N65/C65*100</f>
        <v>46.061751290239734</v>
      </c>
      <c r="P65" s="106">
        <f t="shared" si="5"/>
        <v>0</v>
      </c>
      <c r="Q65" s="106">
        <f t="shared" ref="Q65" si="24">C65*(L65/100)</f>
        <v>1.6527199999999999E-2</v>
      </c>
      <c r="R65" s="107">
        <f t="shared" si="7"/>
        <v>0</v>
      </c>
      <c r="S65" s="108">
        <f t="shared" si="8"/>
        <v>0</v>
      </c>
      <c r="T65" s="105" t="e">
        <f t="shared" si="9"/>
        <v>#DIV/0!</v>
      </c>
    </row>
    <row r="66" spans="1:20" s="151" customFormat="1" ht="11.25" customHeight="1" x14ac:dyDescent="0.2">
      <c r="A66" s="115">
        <v>58</v>
      </c>
      <c r="B66" s="115" t="s">
        <v>104</v>
      </c>
      <c r="C66" s="116">
        <v>2.3170000000000002</v>
      </c>
      <c r="E66" s="1"/>
      <c r="F66" s="116">
        <v>1.1171781249999999</v>
      </c>
      <c r="G66" s="116">
        <v>-15.391689595377201</v>
      </c>
      <c r="H66" s="153">
        <f t="shared" si="10"/>
        <v>-19.659624541802277</v>
      </c>
      <c r="I66" s="154">
        <f t="shared" si="0"/>
        <v>0</v>
      </c>
      <c r="J66" s="155">
        <f t="shared" si="1"/>
        <v>0.48216578549848937</v>
      </c>
      <c r="K66" s="155">
        <f>$H$13</f>
        <v>3.3479999999999999</v>
      </c>
      <c r="L66" s="155"/>
      <c r="M66" s="155">
        <f t="shared" si="22"/>
        <v>7.7573160000000002E-2</v>
      </c>
      <c r="N66" s="170">
        <f t="shared" si="3"/>
        <v>7.3452227362499997E-2</v>
      </c>
      <c r="O66" s="157">
        <f t="shared" si="23"/>
        <v>3.170143606495468</v>
      </c>
      <c r="P66" s="155">
        <f t="shared" si="5"/>
        <v>0</v>
      </c>
      <c r="Q66" s="155"/>
      <c r="R66" s="156">
        <f t="shared" si="7"/>
        <v>0</v>
      </c>
      <c r="S66" s="158">
        <f t="shared" si="8"/>
        <v>0</v>
      </c>
      <c r="T66" s="154" t="e">
        <f t="shared" si="9"/>
        <v>#DIV/0!</v>
      </c>
    </row>
    <row r="67" spans="1:20" s="100" customFormat="1" ht="11.25" customHeight="1" x14ac:dyDescent="0.2">
      <c r="A67" s="102">
        <v>59</v>
      </c>
      <c r="B67" s="102" t="s">
        <v>217</v>
      </c>
      <c r="C67" s="114">
        <v>8.6270000000000007</v>
      </c>
      <c r="D67" s="165">
        <f t="shared" ref="D67:D78" si="25">C67-$H$26</f>
        <v>2.5826000000000002</v>
      </c>
      <c r="E67" s="1"/>
      <c r="F67" s="103">
        <v>3.5538975000000002</v>
      </c>
      <c r="G67" s="114">
        <v>-24.212762129800453</v>
      </c>
      <c r="H67" s="123">
        <f t="shared" si="10"/>
        <v>-28.480697076225528</v>
      </c>
      <c r="I67" s="95">
        <f t="shared" si="0"/>
        <v>0</v>
      </c>
      <c r="J67" s="96">
        <f t="shared" si="1"/>
        <v>0.41195056218847803</v>
      </c>
      <c r="K67" s="96"/>
      <c r="L67" s="96"/>
      <c r="M67" s="96"/>
      <c r="N67" s="171">
        <f t="shared" si="3"/>
        <v>0.23366165283000001</v>
      </c>
      <c r="O67" s="98">
        <f t="shared" ref="O67:O78" si="26">N67/D67*100</f>
        <v>9.0475355389917134</v>
      </c>
      <c r="P67" s="96">
        <f t="shared" si="5"/>
        <v>0.29936246667439437</v>
      </c>
      <c r="Q67" s="96"/>
      <c r="R67" s="97">
        <f t="shared" si="7"/>
        <v>0</v>
      </c>
      <c r="S67" s="99">
        <f t="shared" si="8"/>
        <v>0</v>
      </c>
      <c r="T67" s="95" t="e">
        <f t="shared" si="9"/>
        <v>#DIV/0!</v>
      </c>
    </row>
    <row r="68" spans="1:20" s="100" customFormat="1" ht="11.25" customHeight="1" x14ac:dyDescent="0.2">
      <c r="A68" s="115">
        <v>60</v>
      </c>
      <c r="B68" s="115" t="s">
        <v>218</v>
      </c>
      <c r="C68" s="116">
        <v>9.5960000000000001</v>
      </c>
      <c r="D68" s="165">
        <f t="shared" si="25"/>
        <v>3.5515999999999996</v>
      </c>
      <c r="E68" s="1"/>
      <c r="F68" s="116">
        <v>5.2169860000000003</v>
      </c>
      <c r="G68" s="116">
        <v>-23.978623116217751</v>
      </c>
      <c r="H68" s="123">
        <f t="shared" si="10"/>
        <v>-28.246558062642826</v>
      </c>
      <c r="I68" s="95">
        <f t="shared" si="0"/>
        <v>0</v>
      </c>
      <c r="J68" s="96">
        <f t="shared" si="1"/>
        <v>0.54366256773655697</v>
      </c>
      <c r="K68" s="96"/>
      <c r="L68" s="96"/>
      <c r="M68" s="96"/>
      <c r="N68" s="171">
        <f t="shared" si="3"/>
        <v>0.34300639552800005</v>
      </c>
      <c r="O68" s="98">
        <f t="shared" si="26"/>
        <v>9.6577991758080888</v>
      </c>
      <c r="P68" s="96">
        <f t="shared" si="5"/>
        <v>0.37011254689453937</v>
      </c>
      <c r="Q68" s="96"/>
      <c r="R68" s="97">
        <f t="shared" si="7"/>
        <v>0</v>
      </c>
      <c r="S68" s="99">
        <f t="shared" si="8"/>
        <v>0</v>
      </c>
      <c r="T68" s="95" t="e">
        <f t="shared" si="9"/>
        <v>#DIV/0!</v>
      </c>
    </row>
    <row r="69" spans="1:20" s="100" customFormat="1" ht="11.25" customHeight="1" x14ac:dyDescent="0.2">
      <c r="A69" s="102">
        <v>61</v>
      </c>
      <c r="B69" s="102" t="s">
        <v>219</v>
      </c>
      <c r="C69" s="114">
        <v>9.7789999999999999</v>
      </c>
      <c r="D69" s="165">
        <f t="shared" si="25"/>
        <v>3.7345999999999995</v>
      </c>
      <c r="E69" s="1"/>
      <c r="F69" s="103">
        <v>5.3553129999999998</v>
      </c>
      <c r="G69" s="114">
        <v>-24.163193039145501</v>
      </c>
      <c r="H69" s="123">
        <f t="shared" si="10"/>
        <v>-28.431127985570576</v>
      </c>
      <c r="I69" s="95">
        <f t="shared" si="0"/>
        <v>0</v>
      </c>
      <c r="J69" s="96">
        <f t="shared" si="1"/>
        <v>0.5476340116576337</v>
      </c>
      <c r="K69" s="96"/>
      <c r="L69" s="96"/>
      <c r="M69" s="96"/>
      <c r="N69" s="171">
        <f t="shared" si="3"/>
        <v>0.35210111912399999</v>
      </c>
      <c r="O69" s="98">
        <f t="shared" si="26"/>
        <v>9.4280811632838866</v>
      </c>
      <c r="P69" s="96">
        <f t="shared" si="5"/>
        <v>0.38189998977400547</v>
      </c>
      <c r="Q69" s="96"/>
      <c r="R69" s="97">
        <f t="shared" si="7"/>
        <v>0</v>
      </c>
      <c r="S69" s="99">
        <f t="shared" si="8"/>
        <v>0</v>
      </c>
      <c r="T69" s="95" t="e">
        <f t="shared" si="9"/>
        <v>#DIV/0!</v>
      </c>
    </row>
    <row r="70" spans="1:20" s="100" customFormat="1" ht="11.25" customHeight="1" x14ac:dyDescent="0.2">
      <c r="A70" s="115">
        <v>62</v>
      </c>
      <c r="B70" s="115" t="s">
        <v>220</v>
      </c>
      <c r="C70" s="116">
        <v>7.2510000000000003</v>
      </c>
      <c r="D70" s="165">
        <f t="shared" si="25"/>
        <v>1.2065999999999999</v>
      </c>
      <c r="E70" s="1"/>
      <c r="F70" s="116">
        <v>1.7948191250000001</v>
      </c>
      <c r="G70" s="116">
        <v>-18.752580090816938</v>
      </c>
      <c r="H70" s="123">
        <f t="shared" si="10"/>
        <v>-23.020515037242014</v>
      </c>
      <c r="I70" s="95">
        <f t="shared" si="0"/>
        <v>0</v>
      </c>
      <c r="J70" s="96">
        <f t="shared" si="1"/>
        <v>0.24752711694938628</v>
      </c>
      <c r="K70" s="96"/>
      <c r="L70" s="96"/>
      <c r="M70" s="96"/>
      <c r="N70" s="171">
        <f t="shared" si="3"/>
        <v>0.1180057678305</v>
      </c>
      <c r="O70" s="98">
        <f t="shared" si="26"/>
        <v>9.7800238546742921</v>
      </c>
      <c r="P70" s="96">
        <f t="shared" si="5"/>
        <v>0.16640463384360776</v>
      </c>
      <c r="Q70" s="96"/>
      <c r="R70" s="97">
        <f t="shared" si="7"/>
        <v>0</v>
      </c>
      <c r="S70" s="99">
        <f t="shared" si="8"/>
        <v>0</v>
      </c>
      <c r="T70" s="95" t="e">
        <f t="shared" si="9"/>
        <v>#DIV/0!</v>
      </c>
    </row>
    <row r="71" spans="1:20" s="100" customFormat="1" ht="11.25" customHeight="1" x14ac:dyDescent="0.2">
      <c r="A71" s="102">
        <v>63</v>
      </c>
      <c r="B71" s="102" t="s">
        <v>221</v>
      </c>
      <c r="C71" s="114">
        <v>7.548</v>
      </c>
      <c r="D71" s="165">
        <f t="shared" si="25"/>
        <v>1.5035999999999996</v>
      </c>
      <c r="E71" s="1"/>
      <c r="F71" s="103">
        <v>2.0918744999999999</v>
      </c>
      <c r="G71" s="114">
        <v>-18.837249883314332</v>
      </c>
      <c r="H71" s="123">
        <f t="shared" si="10"/>
        <v>-23.105184829739407</v>
      </c>
      <c r="I71" s="95">
        <f t="shared" si="0"/>
        <v>0</v>
      </c>
      <c r="J71" s="96">
        <f t="shared" si="1"/>
        <v>0.27714288553259142</v>
      </c>
      <c r="K71" s="96"/>
      <c r="L71" s="96"/>
      <c r="M71" s="96"/>
      <c r="N71" s="171">
        <f t="shared" si="3"/>
        <v>0.137536564626</v>
      </c>
      <c r="O71" s="98">
        <f t="shared" si="26"/>
        <v>9.1471511456504402</v>
      </c>
      <c r="P71" s="96">
        <f t="shared" si="5"/>
        <v>0.19920508744038151</v>
      </c>
      <c r="Q71" s="96"/>
      <c r="R71" s="97">
        <f t="shared" si="7"/>
        <v>0</v>
      </c>
      <c r="S71" s="99">
        <f t="shared" si="8"/>
        <v>0</v>
      </c>
      <c r="T71" s="95" t="e">
        <f t="shared" si="9"/>
        <v>#DIV/0!</v>
      </c>
    </row>
    <row r="72" spans="1:20" s="100" customFormat="1" ht="11.25" customHeight="1" x14ac:dyDescent="0.2">
      <c r="A72" s="115">
        <v>64</v>
      </c>
      <c r="B72" s="115" t="s">
        <v>222</v>
      </c>
      <c r="C72" s="116">
        <v>7.3129999999999997</v>
      </c>
      <c r="D72" s="165">
        <f t="shared" si="25"/>
        <v>1.2685999999999993</v>
      </c>
      <c r="E72" s="1"/>
      <c r="F72" s="116">
        <v>1.89953175</v>
      </c>
      <c r="G72" s="116">
        <v>-19.07371946180162</v>
      </c>
      <c r="H72" s="123">
        <f t="shared" si="10"/>
        <v>-23.341654408226695</v>
      </c>
      <c r="I72" s="95">
        <f t="shared" si="0"/>
        <v>0</v>
      </c>
      <c r="J72" s="96">
        <f t="shared" si="1"/>
        <v>0.25974726514426366</v>
      </c>
      <c r="K72" s="96"/>
      <c r="L72" s="96"/>
      <c r="M72" s="96"/>
      <c r="N72" s="171">
        <f t="shared" si="3"/>
        <v>0.124890413499</v>
      </c>
      <c r="O72" s="98">
        <f t="shared" si="26"/>
        <v>9.8447432996216353</v>
      </c>
      <c r="P72" s="96">
        <f t="shared" si="5"/>
        <v>0.17347189935730881</v>
      </c>
      <c r="Q72" s="96"/>
      <c r="R72" s="97">
        <f t="shared" si="7"/>
        <v>0</v>
      </c>
      <c r="S72" s="99">
        <f t="shared" si="8"/>
        <v>0</v>
      </c>
      <c r="T72" s="95" t="e">
        <f t="shared" si="9"/>
        <v>#DIV/0!</v>
      </c>
    </row>
    <row r="73" spans="1:20" s="100" customFormat="1" ht="11.25" customHeight="1" x14ac:dyDescent="0.2">
      <c r="A73" s="102">
        <v>65</v>
      </c>
      <c r="B73" s="102" t="s">
        <v>223</v>
      </c>
      <c r="C73" s="114">
        <v>14.904</v>
      </c>
      <c r="D73" s="165">
        <f t="shared" si="25"/>
        <v>8.8596000000000004</v>
      </c>
      <c r="E73" s="1"/>
      <c r="F73" s="103">
        <v>4.6294880000000003</v>
      </c>
      <c r="G73" s="114">
        <v>-21.27571937236036</v>
      </c>
      <c r="H73" s="123">
        <f t="shared" si="10"/>
        <v>-25.543654318785435</v>
      </c>
      <c r="I73" s="95">
        <f t="shared" si="0"/>
        <v>0</v>
      </c>
      <c r="J73" s="96">
        <f t="shared" si="1"/>
        <v>0.31062050456253359</v>
      </c>
      <c r="K73" s="96"/>
      <c r="L73" s="96"/>
      <c r="M73" s="96"/>
      <c r="N73" s="171">
        <f t="shared" si="3"/>
        <v>0.30437957702400004</v>
      </c>
      <c r="O73" s="98">
        <f t="shared" si="26"/>
        <v>3.4355905122578898</v>
      </c>
      <c r="P73" s="96">
        <f t="shared" si="5"/>
        <v>0.59444444444444444</v>
      </c>
      <c r="Q73" s="96"/>
      <c r="R73" s="97">
        <f t="shared" si="7"/>
        <v>0</v>
      </c>
      <c r="S73" s="99">
        <f t="shared" si="8"/>
        <v>0</v>
      </c>
      <c r="T73" s="95" t="e">
        <f t="shared" si="9"/>
        <v>#DIV/0!</v>
      </c>
    </row>
    <row r="74" spans="1:20" s="100" customFormat="1" ht="11.25" customHeight="1" x14ac:dyDescent="0.2">
      <c r="A74" s="115">
        <v>66</v>
      </c>
      <c r="B74" s="115" t="s">
        <v>224</v>
      </c>
      <c r="C74" s="116">
        <v>15.021000000000001</v>
      </c>
      <c r="D74" s="165">
        <f t="shared" si="25"/>
        <v>8.9766000000000012</v>
      </c>
      <c r="E74" s="1"/>
      <c r="F74" s="116">
        <v>4.8754989999999996</v>
      </c>
      <c r="G74" s="116">
        <v>-21.384646303290204</v>
      </c>
      <c r="H74" s="123">
        <f t="shared" si="10"/>
        <v>-25.652581249715279</v>
      </c>
      <c r="I74" s="95">
        <f t="shared" si="0"/>
        <v>0</v>
      </c>
      <c r="J74" s="96">
        <f t="shared" si="1"/>
        <v>0.32457885626789157</v>
      </c>
      <c r="K74" s="96"/>
      <c r="L74" s="96"/>
      <c r="M74" s="96"/>
      <c r="N74" s="171">
        <f t="shared" si="3"/>
        <v>0.32055430825199999</v>
      </c>
      <c r="O74" s="98">
        <f t="shared" si="26"/>
        <v>3.5709991338814242</v>
      </c>
      <c r="P74" s="96">
        <f t="shared" si="5"/>
        <v>0.59760335530257647</v>
      </c>
      <c r="Q74" s="96"/>
      <c r="R74" s="97">
        <f t="shared" si="7"/>
        <v>0</v>
      </c>
      <c r="S74" s="99">
        <f t="shared" si="8"/>
        <v>0</v>
      </c>
      <c r="T74" s="95" t="e">
        <f t="shared" si="9"/>
        <v>#DIV/0!</v>
      </c>
    </row>
    <row r="75" spans="1:20" s="100" customFormat="1" ht="11.25" customHeight="1" x14ac:dyDescent="0.2">
      <c r="A75" s="102">
        <v>67</v>
      </c>
      <c r="B75" s="102" t="s">
        <v>225</v>
      </c>
      <c r="C75" s="114">
        <v>14.436999999999999</v>
      </c>
      <c r="D75" s="165">
        <f t="shared" si="25"/>
        <v>8.3925999999999981</v>
      </c>
      <c r="E75" s="1"/>
      <c r="F75" s="103">
        <v>4.1261987500000004</v>
      </c>
      <c r="G75" s="114">
        <v>-21.407939848215982</v>
      </c>
      <c r="H75" s="123">
        <f t="shared" si="10"/>
        <v>-25.675874794641057</v>
      </c>
      <c r="I75" s="95">
        <f t="shared" si="0"/>
        <v>0</v>
      </c>
      <c r="J75" s="96">
        <f t="shared" si="1"/>
        <v>0.28580721410265292</v>
      </c>
      <c r="K75" s="96"/>
      <c r="L75" s="96"/>
      <c r="M75" s="96"/>
      <c r="N75" s="171">
        <f t="shared" si="3"/>
        <v>0.27128931541500001</v>
      </c>
      <c r="O75" s="98">
        <f t="shared" si="26"/>
        <v>3.2324823703619865</v>
      </c>
      <c r="P75" s="96">
        <f t="shared" si="5"/>
        <v>0.58132576019948734</v>
      </c>
      <c r="Q75" s="96"/>
      <c r="R75" s="97">
        <f t="shared" si="7"/>
        <v>0</v>
      </c>
      <c r="S75" s="99">
        <f t="shared" si="8"/>
        <v>0</v>
      </c>
      <c r="T75" s="95" t="e">
        <f t="shared" si="9"/>
        <v>#DIV/0!</v>
      </c>
    </row>
    <row r="76" spans="1:20" s="100" customFormat="1" ht="11.25" customHeight="1" x14ac:dyDescent="0.2">
      <c r="A76" s="115">
        <v>68</v>
      </c>
      <c r="B76" s="115" t="s">
        <v>226</v>
      </c>
      <c r="C76" s="116">
        <v>19.907</v>
      </c>
      <c r="D76" s="165">
        <f t="shared" si="25"/>
        <v>13.8626</v>
      </c>
      <c r="E76" s="1"/>
      <c r="F76" s="116">
        <v>5.9747839999999997</v>
      </c>
      <c r="G76" s="116">
        <v>-21.021643255334975</v>
      </c>
      <c r="H76" s="123">
        <f t="shared" si="10"/>
        <v>-25.289578201760051</v>
      </c>
      <c r="I76" s="95">
        <f t="shared" si="0"/>
        <v>0</v>
      </c>
      <c r="J76" s="96">
        <f t="shared" si="1"/>
        <v>0.30013482694529559</v>
      </c>
      <c r="K76" s="96"/>
      <c r="L76" s="96"/>
      <c r="M76" s="96"/>
      <c r="N76" s="171">
        <f t="shared" si="3"/>
        <v>0.39283009843200001</v>
      </c>
      <c r="O76" s="98">
        <f t="shared" si="26"/>
        <v>2.8337404125632997</v>
      </c>
      <c r="P76" s="96">
        <f t="shared" si="5"/>
        <v>0.69636811171949564</v>
      </c>
      <c r="Q76" s="96"/>
      <c r="R76" s="97">
        <f t="shared" si="7"/>
        <v>0</v>
      </c>
      <c r="S76" s="99">
        <f t="shared" si="8"/>
        <v>0</v>
      </c>
      <c r="T76" s="95" t="e">
        <f t="shared" si="9"/>
        <v>#DIV/0!</v>
      </c>
    </row>
    <row r="77" spans="1:20" s="100" customFormat="1" ht="11.25" customHeight="1" x14ac:dyDescent="0.2">
      <c r="A77" s="102">
        <v>69</v>
      </c>
      <c r="B77" s="102" t="s">
        <v>227</v>
      </c>
      <c r="C77" s="114">
        <v>14.795</v>
      </c>
      <c r="D77" s="165">
        <f t="shared" si="25"/>
        <v>8.7505999999999986</v>
      </c>
      <c r="E77" s="1"/>
      <c r="F77" s="103">
        <v>2.6043717499999999</v>
      </c>
      <c r="G77" s="114">
        <v>-20.778758820414069</v>
      </c>
      <c r="H77" s="123">
        <f t="shared" si="10"/>
        <v>-25.046693766839145</v>
      </c>
      <c r="I77" s="95">
        <f t="shared" si="0"/>
        <v>0</v>
      </c>
      <c r="J77" s="96">
        <f t="shared" si="1"/>
        <v>0.17603053396417709</v>
      </c>
      <c r="K77" s="96"/>
      <c r="L77" s="96"/>
      <c r="M77" s="96"/>
      <c r="N77" s="171">
        <f t="shared" si="3"/>
        <v>0.17123223381899999</v>
      </c>
      <c r="O77" s="98">
        <f t="shared" si="26"/>
        <v>1.9568056341165181</v>
      </c>
      <c r="P77" s="96">
        <f t="shared" si="5"/>
        <v>0.59145657316661027</v>
      </c>
      <c r="Q77" s="96"/>
      <c r="R77" s="97">
        <f t="shared" si="7"/>
        <v>0</v>
      </c>
      <c r="S77" s="99">
        <f t="shared" si="8"/>
        <v>0</v>
      </c>
      <c r="T77" s="95" t="e">
        <f t="shared" si="9"/>
        <v>#DIV/0!</v>
      </c>
    </row>
    <row r="78" spans="1:20" s="100" customFormat="1" ht="11.25" customHeight="1" x14ac:dyDescent="0.2">
      <c r="A78" s="115">
        <v>70</v>
      </c>
      <c r="B78" s="115" t="s">
        <v>228</v>
      </c>
      <c r="C78" s="116">
        <v>27.736000000000001</v>
      </c>
      <c r="D78" s="165">
        <f t="shared" si="25"/>
        <v>21.691600000000001</v>
      </c>
      <c r="E78" s="1"/>
      <c r="F78" s="116">
        <v>7.7406420000000002</v>
      </c>
      <c r="G78" s="116">
        <v>-20.75542765951749</v>
      </c>
      <c r="H78" s="123">
        <f t="shared" si="10"/>
        <v>-25.023362605942566</v>
      </c>
      <c r="I78" s="95">
        <f t="shared" si="0"/>
        <v>0</v>
      </c>
      <c r="J78" s="96">
        <f t="shared" si="1"/>
        <v>0.27908285261032595</v>
      </c>
      <c r="K78" s="96"/>
      <c r="L78" s="96"/>
      <c r="M78" s="96"/>
      <c r="N78" s="171">
        <f t="shared" si="3"/>
        <v>0.50893173021600002</v>
      </c>
      <c r="O78" s="98">
        <f t="shared" si="26"/>
        <v>2.3462157250548601</v>
      </c>
      <c r="P78" s="96">
        <f t="shared" si="5"/>
        <v>0.78207383905393713</v>
      </c>
      <c r="Q78" s="96"/>
      <c r="R78" s="97">
        <f t="shared" si="7"/>
        <v>0</v>
      </c>
      <c r="S78" s="99">
        <f t="shared" si="8"/>
        <v>0</v>
      </c>
      <c r="T78" s="95" t="e">
        <f t="shared" si="9"/>
        <v>#DIV/0!</v>
      </c>
    </row>
    <row r="79" spans="1:20" s="109" customFormat="1" ht="11.25" customHeight="1" x14ac:dyDescent="0.2">
      <c r="A79" s="102">
        <v>71</v>
      </c>
      <c r="B79" s="102" t="s">
        <v>72</v>
      </c>
      <c r="C79" s="114">
        <v>0.438</v>
      </c>
      <c r="D79" s="137"/>
      <c r="E79" s="1"/>
      <c r="F79" s="103">
        <v>3.0748692499999999</v>
      </c>
      <c r="G79" s="114">
        <v>-21.596085434924763</v>
      </c>
      <c r="H79" s="122">
        <f t="shared" si="10"/>
        <v>-25.864020381349839</v>
      </c>
      <c r="I79" s="105">
        <f t="shared" si="0"/>
        <v>0</v>
      </c>
      <c r="J79" s="106">
        <f t="shared" si="1"/>
        <v>7.0202494292237443</v>
      </c>
      <c r="K79" s="106">
        <f t="shared" ref="K79:L79" si="27">H$14</f>
        <v>44.65</v>
      </c>
      <c r="L79" s="106">
        <f t="shared" si="27"/>
        <v>2.83</v>
      </c>
      <c r="M79" s="106">
        <f t="shared" ref="M79:M80" si="28">C79*(K79/100)</f>
        <v>0.19556699999999999</v>
      </c>
      <c r="N79" s="169">
        <f t="shared" si="3"/>
        <v>0.202166503449</v>
      </c>
      <c r="O79" s="110">
        <f t="shared" si="4"/>
        <v>46.156735947260273</v>
      </c>
      <c r="P79" s="106">
        <f t="shared" si="5"/>
        <v>0</v>
      </c>
      <c r="Q79" s="106">
        <f t="shared" ref="Q79" si="29">C79*(L79/100)</f>
        <v>1.2395400000000001E-2</v>
      </c>
      <c r="R79" s="107">
        <f t="shared" si="7"/>
        <v>0</v>
      </c>
      <c r="S79" s="108">
        <f t="shared" si="8"/>
        <v>0</v>
      </c>
      <c r="T79" s="105" t="e">
        <f t="shared" si="9"/>
        <v>#DIV/0!</v>
      </c>
    </row>
    <row r="80" spans="1:20" s="151" customFormat="1" ht="11.25" customHeight="1" x14ac:dyDescent="0.2">
      <c r="A80" s="115">
        <v>72</v>
      </c>
      <c r="B80" s="115" t="s">
        <v>117</v>
      </c>
      <c r="C80" s="116">
        <v>1.6339999999999999</v>
      </c>
      <c r="D80" s="138"/>
      <c r="E80" s="1"/>
      <c r="F80" s="116">
        <v>0.78586462499999998</v>
      </c>
      <c r="G80" s="116">
        <v>-15.472332285027196</v>
      </c>
      <c r="H80" s="153">
        <f t="shared" si="10"/>
        <v>-19.740267231452272</v>
      </c>
      <c r="I80" s="154">
        <f t="shared" si="0"/>
        <v>0</v>
      </c>
      <c r="J80" s="155">
        <f t="shared" si="1"/>
        <v>0.48094530293757654</v>
      </c>
      <c r="K80" s="155">
        <f>$H$13</f>
        <v>3.3479999999999999</v>
      </c>
      <c r="L80" s="155"/>
      <c r="M80" s="155">
        <f t="shared" si="28"/>
        <v>5.4706319999999989E-2</v>
      </c>
      <c r="N80" s="170">
        <f t="shared" si="3"/>
        <v>5.1669027364499999E-2</v>
      </c>
      <c r="O80" s="157">
        <f t="shared" si="4"/>
        <v>3.1621191777539783</v>
      </c>
      <c r="P80" s="155">
        <f t="shared" si="5"/>
        <v>0</v>
      </c>
      <c r="Q80" s="155"/>
      <c r="R80" s="156">
        <f t="shared" si="7"/>
        <v>0</v>
      </c>
      <c r="S80" s="158">
        <f t="shared" si="8"/>
        <v>0</v>
      </c>
      <c r="T80" s="154" t="e">
        <f t="shared" si="9"/>
        <v>#DIV/0!</v>
      </c>
    </row>
    <row r="81" spans="1:28" s="100" customFormat="1" ht="11.25" customHeight="1" x14ac:dyDescent="0.2">
      <c r="A81" s="102">
        <v>73</v>
      </c>
      <c r="B81" s="102" t="s">
        <v>229</v>
      </c>
      <c r="C81" s="114">
        <v>0</v>
      </c>
      <c r="D81" s="137"/>
      <c r="E81" s="1"/>
      <c r="F81" s="103">
        <v>1.2563855468749999E-2</v>
      </c>
      <c r="G81" s="114">
        <v>-17.329558730016458</v>
      </c>
      <c r="H81" s="123"/>
      <c r="I81" s="95"/>
      <c r="J81" s="96"/>
      <c r="K81" s="96"/>
      <c r="L81" s="96"/>
      <c r="M81" s="96"/>
      <c r="N81" s="97"/>
      <c r="O81" s="98"/>
      <c r="P81" s="96"/>
      <c r="Q81" s="96"/>
      <c r="R81" s="97"/>
      <c r="S81" s="99"/>
      <c r="T81" s="95"/>
    </row>
    <row r="82" spans="1:28" s="100" customFormat="1" ht="11.25" customHeight="1" x14ac:dyDescent="0.2">
      <c r="A82" s="140">
        <v>74</v>
      </c>
      <c r="B82" s="140" t="s">
        <v>230</v>
      </c>
      <c r="C82" s="132">
        <v>0</v>
      </c>
      <c r="D82" s="141"/>
      <c r="E82" s="1"/>
      <c r="F82" s="132">
        <v>8.9229189453125003E-3</v>
      </c>
      <c r="G82" s="132">
        <v>-19.939513919495305</v>
      </c>
      <c r="H82" s="123"/>
      <c r="I82" s="95"/>
      <c r="J82" s="96"/>
      <c r="M82" s="96"/>
      <c r="N82" s="97"/>
      <c r="O82" s="98"/>
      <c r="P82" s="96"/>
      <c r="Q82" s="96"/>
      <c r="R82" s="97"/>
      <c r="S82" s="99"/>
      <c r="T82" s="95"/>
    </row>
    <row r="83" spans="1:28" ht="11.25" customHeight="1" x14ac:dyDescent="0.2">
      <c r="A83" s="129"/>
      <c r="B83" s="129"/>
      <c r="C83" s="120"/>
      <c r="D83" s="104"/>
      <c r="E83" s="120"/>
      <c r="F83" s="114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71</v>
      </c>
      <c r="H84" s="123">
        <f>STDEV(H86:H90,H92,H94,H96)</f>
        <v>4.165948060897378E-2</v>
      </c>
      <c r="I84" s="123">
        <f>STDEV(I86:I95)</f>
        <v>0</v>
      </c>
      <c r="J84" s="96"/>
      <c r="K84" s="1"/>
      <c r="L84" s="1"/>
      <c r="M84" s="96"/>
      <c r="N84" s="97"/>
      <c r="O84" s="123">
        <f>STDEV(O86:O90,O92,O94,O96)</f>
        <v>0.76879923981023579</v>
      </c>
      <c r="P84" s="96"/>
      <c r="Q84" s="96"/>
      <c r="R84" s="97"/>
      <c r="S84" s="123">
        <f>STDEV(S86:S95)</f>
        <v>0</v>
      </c>
      <c r="T84" s="123" t="e">
        <f>STDEV(T86:T95)</f>
        <v>#DIV/0!</v>
      </c>
    </row>
    <row r="85" spans="1:28" ht="11.25" customHeight="1" x14ac:dyDescent="0.25">
      <c r="H85" s="124"/>
      <c r="I85" s="124"/>
      <c r="J85"/>
      <c r="K85" s="1"/>
      <c r="L85" s="1"/>
      <c r="M85" s="1"/>
      <c r="N85" s="1"/>
      <c r="O85" s="124"/>
      <c r="P85" s="1"/>
      <c r="Q85" s="1"/>
      <c r="S85" s="124"/>
      <c r="T85" s="124"/>
      <c r="V85" s="1"/>
      <c r="W85" s="1"/>
      <c r="X85" s="1"/>
      <c r="Y85" s="1"/>
      <c r="Z85" s="1"/>
      <c r="AA85" s="1"/>
      <c r="AB85" s="1"/>
    </row>
    <row r="86" spans="1:28" s="109" customFormat="1" ht="11.25" customHeight="1" x14ac:dyDescent="0.2">
      <c r="A86" s="102">
        <v>25</v>
      </c>
      <c r="B86" s="102" t="s">
        <v>55</v>
      </c>
      <c r="C86" s="114">
        <v>1.0940000000000001</v>
      </c>
      <c r="D86" s="137"/>
      <c r="E86" s="1"/>
      <c r="F86" s="103">
        <v>7.3773115000000002</v>
      </c>
      <c r="G86" s="114">
        <v>-21.694268133873912</v>
      </c>
      <c r="H86" s="122">
        <f>$B$26*G86+$D$26</f>
        <v>-25.962203080298988</v>
      </c>
      <c r="I86" s="105">
        <f t="shared" ref="I86:I92" si="30">$B$27*E86+$D$27</f>
        <v>0</v>
      </c>
      <c r="J86" s="106">
        <f t="shared" ref="J86:J92" si="31">(F86)/C86</f>
        <v>6.7434291590493602</v>
      </c>
      <c r="K86" s="106">
        <f>H$14</f>
        <v>44.65</v>
      </c>
      <c r="L86" s="106">
        <f>I$14</f>
        <v>2.83</v>
      </c>
      <c r="M86" s="106">
        <f t="shared" ref="M86:M97" si="32">C86*(K86/100)</f>
        <v>0.48847100000000004</v>
      </c>
      <c r="N86" s="107">
        <f t="shared" ref="N86:N97" si="33">F86*$B$28+$D$28</f>
        <v>0.48504347650200003</v>
      </c>
      <c r="O86" s="110">
        <f t="shared" ref="O86:O92" si="34">N86/C86*100</f>
        <v>44.336698034917731</v>
      </c>
      <c r="P86" s="106">
        <f t="shared" ref="P86:P92" si="35">D86/C86</f>
        <v>0</v>
      </c>
      <c r="Q86" s="106">
        <f t="shared" ref="Q86:Q90" si="36">C86*(L86/100)</f>
        <v>3.0960200000000004E-2</v>
      </c>
      <c r="R86" s="107">
        <f t="shared" ref="R86:R92" si="37">D86*$B$29+$D$29</f>
        <v>0</v>
      </c>
      <c r="S86" s="108">
        <f t="shared" ref="S86:S92" si="38">R86/C86*100</f>
        <v>0</v>
      </c>
      <c r="T86" s="105" t="e">
        <f t="shared" ref="T86:T92" si="39">N86/R86</f>
        <v>#DIV/0!</v>
      </c>
    </row>
    <row r="87" spans="1:28" s="109" customFormat="1" ht="11.25" customHeight="1" x14ac:dyDescent="0.2">
      <c r="A87" s="115">
        <v>26</v>
      </c>
      <c r="B87" s="115" t="s">
        <v>56</v>
      </c>
      <c r="C87" s="116">
        <v>0.70699999999999996</v>
      </c>
      <c r="D87" s="138"/>
      <c r="E87" s="1"/>
      <c r="F87" s="116">
        <v>4.7832520000000001</v>
      </c>
      <c r="G87" s="116">
        <v>-21.652118369749047</v>
      </c>
      <c r="H87" s="122">
        <f t="shared" ref="H87:H92" si="40">$B$26*G87+$D$26</f>
        <v>-25.920053316174123</v>
      </c>
      <c r="I87" s="105">
        <f t="shared" si="30"/>
        <v>0</v>
      </c>
      <c r="J87" s="106">
        <f t="shared" si="31"/>
        <v>6.7655615275813297</v>
      </c>
      <c r="K87" s="106">
        <f t="shared" ref="K87:K90" si="41">H$14</f>
        <v>44.65</v>
      </c>
      <c r="L87" s="106">
        <f t="shared" ref="L87:L90" si="42">I$14</f>
        <v>2.83</v>
      </c>
      <c r="M87" s="106">
        <f t="shared" si="32"/>
        <v>0.3156755</v>
      </c>
      <c r="N87" s="107">
        <f t="shared" si="33"/>
        <v>0.31448925249600002</v>
      </c>
      <c r="O87" s="110">
        <f t="shared" si="34"/>
        <v>44.482213931541729</v>
      </c>
      <c r="P87" s="106">
        <f t="shared" si="35"/>
        <v>0</v>
      </c>
      <c r="Q87" s="106">
        <f t="shared" si="36"/>
        <v>2.0008100000000001E-2</v>
      </c>
      <c r="R87" s="107">
        <f t="shared" si="37"/>
        <v>0</v>
      </c>
      <c r="S87" s="108">
        <f t="shared" si="38"/>
        <v>0</v>
      </c>
      <c r="T87" s="105" t="e">
        <f t="shared" si="39"/>
        <v>#DIV/0!</v>
      </c>
    </row>
    <row r="88" spans="1:28" s="109" customFormat="1" ht="11.25" customHeight="1" x14ac:dyDescent="0.2">
      <c r="A88" s="102">
        <v>27</v>
      </c>
      <c r="B88" s="102" t="s">
        <v>57</v>
      </c>
      <c r="C88" s="114">
        <v>0.86899999999999999</v>
      </c>
      <c r="D88" s="137"/>
      <c r="E88" s="1"/>
      <c r="F88" s="103">
        <v>5.8776275</v>
      </c>
      <c r="G88" s="114">
        <v>-21.685599730435278</v>
      </c>
      <c r="H88" s="122">
        <f t="shared" si="40"/>
        <v>-25.953534676860354</v>
      </c>
      <c r="I88" s="105">
        <f t="shared" si="30"/>
        <v>0</v>
      </c>
      <c r="J88" s="106">
        <f t="shared" si="31"/>
        <v>6.7636680092059835</v>
      </c>
      <c r="K88" s="106">
        <f t="shared" si="41"/>
        <v>44.65</v>
      </c>
      <c r="L88" s="106">
        <f t="shared" si="42"/>
        <v>2.83</v>
      </c>
      <c r="M88" s="106">
        <f t="shared" si="32"/>
        <v>0.38800849999999998</v>
      </c>
      <c r="N88" s="107">
        <f t="shared" si="33"/>
        <v>0.38644225287</v>
      </c>
      <c r="O88" s="110">
        <f t="shared" si="34"/>
        <v>44.469764426927505</v>
      </c>
      <c r="P88" s="106">
        <f t="shared" si="35"/>
        <v>0</v>
      </c>
      <c r="Q88" s="106">
        <f t="shared" si="36"/>
        <v>2.4592700000000002E-2</v>
      </c>
      <c r="R88" s="107">
        <f t="shared" si="37"/>
        <v>0</v>
      </c>
      <c r="S88" s="108">
        <f t="shared" si="38"/>
        <v>0</v>
      </c>
      <c r="T88" s="105" t="e">
        <f t="shared" si="39"/>
        <v>#DIV/0!</v>
      </c>
    </row>
    <row r="89" spans="1:28" s="109" customFormat="1" ht="11.25" customHeight="1" x14ac:dyDescent="0.2">
      <c r="A89" s="115">
        <v>28</v>
      </c>
      <c r="B89" s="115" t="s">
        <v>58</v>
      </c>
      <c r="C89" s="116">
        <v>0.86299999999999999</v>
      </c>
      <c r="D89" s="138"/>
      <c r="E89" s="1"/>
      <c r="F89" s="116">
        <v>5.8102324999999997</v>
      </c>
      <c r="G89" s="116">
        <v>-21.700096001397373</v>
      </c>
      <c r="H89" s="122">
        <f t="shared" si="40"/>
        <v>-25.968030947822449</v>
      </c>
      <c r="I89" s="105">
        <f t="shared" si="30"/>
        <v>0</v>
      </c>
      <c r="J89" s="106">
        <f t="shared" si="31"/>
        <v>6.7325984936268828</v>
      </c>
      <c r="K89" s="106">
        <f t="shared" si="41"/>
        <v>44.65</v>
      </c>
      <c r="L89" s="106">
        <f t="shared" si="42"/>
        <v>2.83</v>
      </c>
      <c r="M89" s="106">
        <f t="shared" si="32"/>
        <v>0.38532949999999999</v>
      </c>
      <c r="N89" s="107">
        <f t="shared" si="33"/>
        <v>0.38201116640999999</v>
      </c>
      <c r="O89" s="110">
        <f t="shared" si="34"/>
        <v>44.265488575898033</v>
      </c>
      <c r="P89" s="106">
        <f t="shared" si="35"/>
        <v>0</v>
      </c>
      <c r="Q89" s="106">
        <f t="shared" si="36"/>
        <v>2.4422900000000001E-2</v>
      </c>
      <c r="R89" s="107">
        <f t="shared" si="37"/>
        <v>0</v>
      </c>
      <c r="S89" s="108">
        <f t="shared" si="38"/>
        <v>0</v>
      </c>
      <c r="T89" s="105" t="e">
        <f t="shared" si="39"/>
        <v>#DIV/0!</v>
      </c>
    </row>
    <row r="90" spans="1:28" s="109" customFormat="1" ht="11.25" customHeight="1" x14ac:dyDescent="0.2">
      <c r="A90" s="102">
        <v>29</v>
      </c>
      <c r="B90" s="102" t="s">
        <v>59</v>
      </c>
      <c r="C90" s="114">
        <v>0.77</v>
      </c>
      <c r="D90" s="137"/>
      <c r="E90" s="1"/>
      <c r="F90" s="103">
        <v>5.2164739999999998</v>
      </c>
      <c r="G90" s="114">
        <v>-21.688137243291745</v>
      </c>
      <c r="H90" s="122">
        <f t="shared" si="40"/>
        <v>-25.956072189716821</v>
      </c>
      <c r="I90" s="105">
        <f t="shared" si="30"/>
        <v>0</v>
      </c>
      <c r="J90" s="106">
        <f t="shared" si="31"/>
        <v>6.7746415584415578</v>
      </c>
      <c r="K90" s="106">
        <f t="shared" si="41"/>
        <v>44.65</v>
      </c>
      <c r="L90" s="106">
        <f t="shared" si="42"/>
        <v>2.83</v>
      </c>
      <c r="M90" s="106">
        <f t="shared" si="32"/>
        <v>0.34380500000000003</v>
      </c>
      <c r="N90" s="107">
        <f t="shared" si="33"/>
        <v>0.342972732552</v>
      </c>
      <c r="O90" s="110">
        <f t="shared" si="34"/>
        <v>44.541913318441559</v>
      </c>
      <c r="P90" s="106">
        <f t="shared" si="35"/>
        <v>0</v>
      </c>
      <c r="Q90" s="106">
        <f t="shared" si="36"/>
        <v>2.1791000000000001E-2</v>
      </c>
      <c r="R90" s="107">
        <f t="shared" si="37"/>
        <v>0</v>
      </c>
      <c r="S90" s="108">
        <f t="shared" si="38"/>
        <v>0</v>
      </c>
      <c r="T90" s="105" t="e">
        <f t="shared" si="39"/>
        <v>#DIV/0!</v>
      </c>
    </row>
    <row r="91" spans="1:28" s="151" customFormat="1" ht="11.25" customHeight="1" x14ac:dyDescent="0.2">
      <c r="A91" s="115">
        <v>30</v>
      </c>
      <c r="B91" s="115" t="s">
        <v>78</v>
      </c>
      <c r="C91" s="116">
        <v>0.79800000000000004</v>
      </c>
      <c r="D91" s="138"/>
      <c r="E91" s="1"/>
      <c r="F91" s="116">
        <v>0.37196756250000002</v>
      </c>
      <c r="G91" s="116">
        <v>-15.340436792044073</v>
      </c>
      <c r="H91" s="153">
        <f t="shared" si="40"/>
        <v>-19.608371738469149</v>
      </c>
      <c r="I91" s="154">
        <f t="shared" si="30"/>
        <v>0</v>
      </c>
      <c r="J91" s="155">
        <f t="shared" si="31"/>
        <v>0.46612476503759398</v>
      </c>
      <c r="K91" s="155">
        <f>$H$13</f>
        <v>3.3479999999999999</v>
      </c>
      <c r="L91" s="155"/>
      <c r="M91" s="155">
        <f t="shared" si="32"/>
        <v>2.6717039999999997E-2</v>
      </c>
      <c r="N91" s="156">
        <f t="shared" si="33"/>
        <v>2.4456123299250003E-2</v>
      </c>
      <c r="O91" s="157">
        <f t="shared" si="34"/>
        <v>3.064677105169173</v>
      </c>
      <c r="P91" s="155">
        <f t="shared" si="35"/>
        <v>0</v>
      </c>
      <c r="Q91" s="155"/>
      <c r="R91" s="156">
        <f t="shared" si="37"/>
        <v>0</v>
      </c>
      <c r="S91" s="158">
        <f t="shared" si="38"/>
        <v>0</v>
      </c>
      <c r="T91" s="154" t="e">
        <f t="shared" si="39"/>
        <v>#DIV/0!</v>
      </c>
    </row>
    <row r="92" spans="1:28" s="109" customFormat="1" ht="11.25" customHeight="1" x14ac:dyDescent="0.2">
      <c r="A92" s="102">
        <v>43</v>
      </c>
      <c r="B92" s="102" t="s">
        <v>70</v>
      </c>
      <c r="C92" s="114">
        <v>1.052</v>
      </c>
      <c r="D92" s="137"/>
      <c r="E92" s="1"/>
      <c r="F92" s="103">
        <v>7.1805139999999996</v>
      </c>
      <c r="G92" s="114">
        <v>-21.734963686615327</v>
      </c>
      <c r="H92" s="122">
        <f t="shared" si="40"/>
        <v>-26.002898633040402</v>
      </c>
      <c r="I92" s="105">
        <f t="shared" si="30"/>
        <v>0</v>
      </c>
      <c r="J92" s="106">
        <f t="shared" si="31"/>
        <v>6.8255836501901133</v>
      </c>
      <c r="K92" s="106">
        <f t="shared" ref="K92" si="43">H$14</f>
        <v>44.65</v>
      </c>
      <c r="L92" s="106">
        <f t="shared" ref="L92" si="44">I$14</f>
        <v>2.83</v>
      </c>
      <c r="M92" s="106">
        <f t="shared" si="32"/>
        <v>0.46971800000000002</v>
      </c>
      <c r="N92" s="107">
        <f t="shared" si="33"/>
        <v>0.47210443447199996</v>
      </c>
      <c r="O92" s="110">
        <f t="shared" si="34"/>
        <v>44.876847383269961</v>
      </c>
      <c r="P92" s="106">
        <f t="shared" si="35"/>
        <v>0</v>
      </c>
      <c r="Q92" s="106">
        <f t="shared" ref="Q92" si="45">C92*(L92/100)</f>
        <v>2.9771600000000002E-2</v>
      </c>
      <c r="R92" s="107">
        <f t="shared" si="37"/>
        <v>0</v>
      </c>
      <c r="S92" s="108">
        <f t="shared" si="38"/>
        <v>0</v>
      </c>
      <c r="T92" s="105" t="e">
        <f t="shared" si="39"/>
        <v>#DIV/0!</v>
      </c>
    </row>
    <row r="93" spans="1:28" s="151" customFormat="1" ht="11.25" customHeight="1" x14ac:dyDescent="0.2">
      <c r="A93" s="115">
        <v>44</v>
      </c>
      <c r="B93" s="115" t="s">
        <v>91</v>
      </c>
      <c r="C93" s="116">
        <v>1.157</v>
      </c>
      <c r="D93" s="138"/>
      <c r="E93" s="1"/>
      <c r="F93" s="116">
        <v>0.60166193749999997</v>
      </c>
      <c r="G93" s="116">
        <v>-15.751799312879559</v>
      </c>
      <c r="H93" s="153">
        <f>$B$26*G93+$D$26</f>
        <v>-20.019734259304634</v>
      </c>
      <c r="I93" s="154">
        <f>$B$27*E93+$D$27</f>
        <v>0</v>
      </c>
      <c r="J93" s="155">
        <f>(F93)/C93</f>
        <v>0.52001896067415732</v>
      </c>
      <c r="K93" s="155">
        <f>$H$13</f>
        <v>3.3479999999999999</v>
      </c>
      <c r="L93" s="155"/>
      <c r="M93" s="155">
        <f t="shared" si="32"/>
        <v>3.8736359999999997E-2</v>
      </c>
      <c r="N93" s="156">
        <f t="shared" si="33"/>
        <v>3.9558069066749996E-2</v>
      </c>
      <c r="O93" s="157">
        <f>N93/C93*100</f>
        <v>3.4190206626404493</v>
      </c>
      <c r="P93" s="155">
        <f>D93/C93</f>
        <v>0</v>
      </c>
      <c r="Q93" s="155"/>
      <c r="R93" s="156">
        <f>D93*$B$29+$D$29</f>
        <v>0</v>
      </c>
      <c r="S93" s="158">
        <f>R93/C93*100</f>
        <v>0</v>
      </c>
      <c r="T93" s="154" t="e">
        <f>N93/R93</f>
        <v>#DIV/0!</v>
      </c>
    </row>
    <row r="94" spans="1:28" s="109" customFormat="1" ht="11.25" customHeight="1" x14ac:dyDescent="0.2">
      <c r="A94" s="102">
        <v>57</v>
      </c>
      <c r="B94" s="102" t="s">
        <v>60</v>
      </c>
      <c r="C94" s="114">
        <v>0.58399999999999996</v>
      </c>
      <c r="D94" s="137"/>
      <c r="E94" s="1"/>
      <c r="F94" s="103">
        <v>4.0913887500000001</v>
      </c>
      <c r="G94" s="114">
        <v>-21.705251828311944</v>
      </c>
      <c r="H94" s="122">
        <f t="shared" ref="H94:H97" si="46">$B$26*G94+$D$26</f>
        <v>-25.97318677473702</v>
      </c>
      <c r="I94" s="105">
        <f t="shared" ref="I94:I97" si="47">$B$27*E94+$D$27</f>
        <v>0</v>
      </c>
      <c r="J94" s="106">
        <f t="shared" ref="J94:J97" si="48">(F94)/C94</f>
        <v>7.0058026541095897</v>
      </c>
      <c r="K94" s="106">
        <f t="shared" ref="K94" si="49">H$14</f>
        <v>44.65</v>
      </c>
      <c r="L94" s="106">
        <f t="shared" ref="L94" si="50">I$14</f>
        <v>2.83</v>
      </c>
      <c r="M94" s="106">
        <f t="shared" si="32"/>
        <v>0.26075599999999999</v>
      </c>
      <c r="N94" s="107">
        <f t="shared" si="33"/>
        <v>0.26900062753500004</v>
      </c>
      <c r="O94" s="110">
        <f t="shared" ref="O94:O97" si="51">N94/C94*100</f>
        <v>46.061751290239734</v>
      </c>
      <c r="P94" s="106">
        <f t="shared" ref="P94:P97" si="52">D94/C94</f>
        <v>0</v>
      </c>
      <c r="Q94" s="106">
        <f t="shared" ref="Q94" si="53">C94*(L94/100)</f>
        <v>1.6527199999999999E-2</v>
      </c>
      <c r="R94" s="107">
        <f t="shared" ref="R94:R97" si="54">D94*$B$29+$D$29</f>
        <v>0</v>
      </c>
      <c r="S94" s="108">
        <f t="shared" ref="S94:S97" si="55">R94/C94*100</f>
        <v>0</v>
      </c>
      <c r="T94" s="105" t="e">
        <f t="shared" ref="T94:T97" si="56">N94/R94</f>
        <v>#DIV/0!</v>
      </c>
    </row>
    <row r="95" spans="1:28" s="151" customFormat="1" ht="11.25" customHeight="1" x14ac:dyDescent="0.2">
      <c r="A95" s="115">
        <v>58</v>
      </c>
      <c r="B95" s="115" t="s">
        <v>104</v>
      </c>
      <c r="C95" s="116">
        <v>2.3170000000000002</v>
      </c>
      <c r="D95" s="138"/>
      <c r="E95" s="1"/>
      <c r="F95" s="116">
        <v>1.1171781249999999</v>
      </c>
      <c r="G95" s="116">
        <v>-15.391689595377201</v>
      </c>
      <c r="H95" s="153">
        <f t="shared" si="46"/>
        <v>-19.659624541802277</v>
      </c>
      <c r="I95" s="154">
        <f t="shared" si="47"/>
        <v>0</v>
      </c>
      <c r="J95" s="155">
        <f t="shared" si="48"/>
        <v>0.48216578549848937</v>
      </c>
      <c r="K95" s="155">
        <f>$H$13</f>
        <v>3.3479999999999999</v>
      </c>
      <c r="L95" s="155"/>
      <c r="M95" s="155">
        <f t="shared" si="32"/>
        <v>7.7573160000000002E-2</v>
      </c>
      <c r="N95" s="156">
        <f t="shared" si="33"/>
        <v>7.3452227362499997E-2</v>
      </c>
      <c r="O95" s="157">
        <f t="shared" si="51"/>
        <v>3.170143606495468</v>
      </c>
      <c r="P95" s="155">
        <f t="shared" si="52"/>
        <v>0</v>
      </c>
      <c r="Q95" s="155"/>
      <c r="R95" s="156">
        <f t="shared" si="54"/>
        <v>0</v>
      </c>
      <c r="S95" s="158">
        <f t="shared" si="55"/>
        <v>0</v>
      </c>
      <c r="T95" s="154" t="e">
        <f t="shared" si="56"/>
        <v>#DIV/0!</v>
      </c>
    </row>
    <row r="96" spans="1:28" s="109" customFormat="1" ht="11.25" customHeight="1" x14ac:dyDescent="0.2">
      <c r="A96" s="102">
        <v>71</v>
      </c>
      <c r="B96" s="102" t="s">
        <v>72</v>
      </c>
      <c r="C96" s="114">
        <v>0.438</v>
      </c>
      <c r="D96" s="137"/>
      <c r="E96" s="1"/>
      <c r="F96" s="103">
        <v>3.0748692499999999</v>
      </c>
      <c r="G96" s="114">
        <v>-21.596085434924763</v>
      </c>
      <c r="H96" s="122">
        <f t="shared" si="46"/>
        <v>-25.864020381349839</v>
      </c>
      <c r="I96" s="105">
        <f t="shared" si="47"/>
        <v>0</v>
      </c>
      <c r="J96" s="106">
        <f t="shared" si="48"/>
        <v>7.0202494292237443</v>
      </c>
      <c r="K96" s="106">
        <f t="shared" ref="K96" si="57">H$14</f>
        <v>44.65</v>
      </c>
      <c r="L96" s="106">
        <f t="shared" ref="L96" si="58">I$14</f>
        <v>2.83</v>
      </c>
      <c r="M96" s="106">
        <f t="shared" si="32"/>
        <v>0.19556699999999999</v>
      </c>
      <c r="N96" s="107">
        <f t="shared" si="33"/>
        <v>0.202166503449</v>
      </c>
      <c r="O96" s="110">
        <f t="shared" si="51"/>
        <v>46.156735947260273</v>
      </c>
      <c r="P96" s="106">
        <f t="shared" si="52"/>
        <v>0</v>
      </c>
      <c r="Q96" s="106">
        <f t="shared" ref="Q96" si="59">C96*(L96/100)</f>
        <v>1.2395400000000001E-2</v>
      </c>
      <c r="R96" s="107">
        <f t="shared" si="54"/>
        <v>0</v>
      </c>
      <c r="S96" s="108">
        <f t="shared" si="55"/>
        <v>0</v>
      </c>
      <c r="T96" s="105" t="e">
        <f t="shared" si="56"/>
        <v>#DIV/0!</v>
      </c>
    </row>
    <row r="97" spans="1:28" s="151" customFormat="1" ht="11.25" customHeight="1" x14ac:dyDescent="0.2">
      <c r="A97" s="115">
        <v>72</v>
      </c>
      <c r="B97" s="115" t="s">
        <v>117</v>
      </c>
      <c r="C97" s="116">
        <v>1.6339999999999999</v>
      </c>
      <c r="D97" s="138"/>
      <c r="E97" s="1"/>
      <c r="F97" s="116">
        <v>0.78586462499999998</v>
      </c>
      <c r="G97" s="116">
        <v>-15.472332285027196</v>
      </c>
      <c r="H97" s="153">
        <f t="shared" si="46"/>
        <v>-19.740267231452272</v>
      </c>
      <c r="I97" s="154">
        <f t="shared" si="47"/>
        <v>0</v>
      </c>
      <c r="J97" s="155">
        <f t="shared" si="48"/>
        <v>0.48094530293757654</v>
      </c>
      <c r="K97" s="155">
        <f>$H$13</f>
        <v>3.3479999999999999</v>
      </c>
      <c r="L97" s="155"/>
      <c r="M97" s="155">
        <f t="shared" si="32"/>
        <v>5.4706319999999989E-2</v>
      </c>
      <c r="N97" s="156">
        <f t="shared" si="33"/>
        <v>5.1669027364499999E-2</v>
      </c>
      <c r="O97" s="157">
        <f t="shared" si="51"/>
        <v>3.1621191777539783</v>
      </c>
      <c r="P97" s="155">
        <f t="shared" si="52"/>
        <v>0</v>
      </c>
      <c r="Q97" s="155"/>
      <c r="R97" s="156">
        <f t="shared" si="54"/>
        <v>0</v>
      </c>
      <c r="S97" s="158">
        <f t="shared" si="55"/>
        <v>0</v>
      </c>
      <c r="T97" s="154" t="e">
        <f t="shared" si="56"/>
        <v>#DIV/0!</v>
      </c>
    </row>
    <row r="98" spans="1:28" s="100" customFormat="1" ht="11.25" customHeight="1" x14ac:dyDescent="0.2">
      <c r="A98" s="102"/>
      <c r="B98" s="162"/>
      <c r="C98" s="103"/>
      <c r="E98" s="148"/>
      <c r="F98" s="103"/>
      <c r="G98" s="103"/>
      <c r="H98" s="124"/>
      <c r="I98" s="124"/>
      <c r="J98" s="130"/>
      <c r="K98" s="130"/>
      <c r="L98" s="130"/>
      <c r="M98" s="130"/>
      <c r="N98" s="131"/>
      <c r="O98" s="125"/>
      <c r="P98" s="130"/>
      <c r="Q98" s="130"/>
      <c r="R98" s="131"/>
      <c r="S98" s="126"/>
      <c r="T98" s="124"/>
    </row>
    <row r="99" spans="1:28" s="100" customFormat="1" ht="11.25" customHeight="1" x14ac:dyDescent="0.2">
      <c r="A99" s="102"/>
      <c r="B99" s="162"/>
      <c r="C99" s="103"/>
      <c r="E99" s="148"/>
      <c r="F99" s="103"/>
      <c r="G99" s="103"/>
      <c r="H99" s="124"/>
      <c r="I99" s="124"/>
      <c r="J99" s="130"/>
      <c r="K99" s="130"/>
      <c r="L99" s="130"/>
      <c r="M99" s="130"/>
      <c r="N99" s="131"/>
      <c r="O99" s="125"/>
      <c r="P99" s="130"/>
      <c r="Q99" s="130"/>
      <c r="R99" s="131"/>
      <c r="S99" s="126"/>
      <c r="T99" s="124"/>
    </row>
    <row r="100" spans="1:28" s="100" customFormat="1" ht="11.25" customHeight="1" x14ac:dyDescent="0.2">
      <c r="A100" s="102"/>
      <c r="B100" s="162"/>
      <c r="C100" s="103"/>
      <c r="E100" s="148"/>
      <c r="F100" s="103"/>
      <c r="G100" s="103"/>
      <c r="H100" s="124"/>
      <c r="I100" s="124"/>
      <c r="J100" s="130"/>
      <c r="K100" s="130"/>
      <c r="L100" s="130"/>
      <c r="M100" s="130"/>
      <c r="N100" s="131"/>
      <c r="O100" s="125"/>
      <c r="P100" s="130"/>
      <c r="Q100" s="130"/>
      <c r="R100" s="131"/>
      <c r="S100" s="126"/>
      <c r="T100" s="124"/>
    </row>
    <row r="101" spans="1:28" s="100" customFormat="1" ht="11.25" customHeight="1" x14ac:dyDescent="0.2">
      <c r="A101" s="102"/>
      <c r="B101" s="162"/>
      <c r="C101" s="103"/>
      <c r="E101" s="148"/>
      <c r="F101" s="103"/>
      <c r="G101" s="103"/>
      <c r="H101" s="124"/>
      <c r="I101" s="124"/>
      <c r="J101" s="130"/>
      <c r="K101" s="130"/>
      <c r="L101" s="130"/>
      <c r="M101" s="130"/>
      <c r="N101" s="131"/>
      <c r="O101" s="125"/>
      <c r="P101" s="130"/>
      <c r="Q101" s="130"/>
      <c r="R101" s="131"/>
      <c r="S101" s="126"/>
      <c r="T101" s="124"/>
    </row>
    <row r="102" spans="1:28" ht="11.25" customHeight="1" x14ac:dyDescent="0.2">
      <c r="A102" s="111" t="s">
        <v>61</v>
      </c>
      <c r="B102" s="112" t="s">
        <v>40</v>
      </c>
      <c r="C102" s="111" t="s">
        <v>54</v>
      </c>
      <c r="D102" s="135"/>
      <c r="F102" s="111" t="s">
        <v>62</v>
      </c>
      <c r="G102" s="113" t="s">
        <v>63</v>
      </c>
      <c r="J102" s="1"/>
      <c r="K102" s="1"/>
      <c r="L102" s="1"/>
      <c r="M102" s="1"/>
      <c r="N102" s="1"/>
      <c r="O102" s="1"/>
      <c r="P102" s="1"/>
      <c r="Q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">
      <c r="A103" s="117" t="s">
        <v>64</v>
      </c>
      <c r="B103" s="117" t="s">
        <v>65</v>
      </c>
      <c r="C103" s="119" t="s">
        <v>67</v>
      </c>
      <c r="D103" s="136"/>
      <c r="F103" s="118" t="s">
        <v>66</v>
      </c>
      <c r="G103" s="119" t="s">
        <v>68</v>
      </c>
      <c r="J103" s="1"/>
      <c r="K103" s="1"/>
      <c r="L103" s="1"/>
      <c r="M103" s="1"/>
      <c r="N103" s="1"/>
      <c r="O103" s="1"/>
      <c r="P103" s="1"/>
      <c r="Q103" s="1"/>
      <c r="V103" s="1"/>
      <c r="W103" s="1"/>
      <c r="X103" s="1"/>
      <c r="Y103" s="1"/>
      <c r="Z103" s="1"/>
      <c r="AA103" s="1"/>
      <c r="AB103" s="1"/>
    </row>
    <row r="104" spans="1:28" ht="11.25" customHeight="1" x14ac:dyDescent="0.2">
      <c r="A104" s="102">
        <v>25</v>
      </c>
      <c r="B104" s="102" t="s">
        <v>55</v>
      </c>
      <c r="C104" s="114">
        <v>1.0940000000000001</v>
      </c>
      <c r="D104" s="137"/>
      <c r="F104" s="103">
        <v>7.3773115000000002</v>
      </c>
      <c r="G104" s="114">
        <v>-21.694268133873912</v>
      </c>
      <c r="J104" s="1"/>
      <c r="K104" s="1"/>
      <c r="L104" s="1"/>
      <c r="M104" s="1"/>
      <c r="N104" s="1"/>
      <c r="O104" s="1"/>
      <c r="P104" s="1"/>
      <c r="Q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115">
        <v>26</v>
      </c>
      <c r="B105" s="115" t="s">
        <v>56</v>
      </c>
      <c r="C105" s="116">
        <v>0.70699999999999996</v>
      </c>
      <c r="D105" s="138"/>
      <c r="F105" s="116">
        <v>4.7832520000000001</v>
      </c>
      <c r="G105" s="116">
        <v>-21.652118369749047</v>
      </c>
      <c r="J105" s="1"/>
      <c r="K105" s="1"/>
      <c r="L105" s="1"/>
      <c r="M105" s="1"/>
      <c r="N105" s="1"/>
      <c r="O105" s="1"/>
      <c r="P105" s="1"/>
      <c r="Q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102">
        <v>27</v>
      </c>
      <c r="B106" s="102" t="s">
        <v>57</v>
      </c>
      <c r="C106" s="114">
        <v>0.86899999999999999</v>
      </c>
      <c r="D106" s="137"/>
      <c r="F106" s="103">
        <v>5.8776275</v>
      </c>
      <c r="G106" s="114">
        <v>-21.685599730435278</v>
      </c>
      <c r="J106" s="1"/>
      <c r="K106" s="1"/>
      <c r="L106" s="1"/>
      <c r="M106" s="1"/>
      <c r="N106" s="1"/>
      <c r="O106" s="1"/>
      <c r="P106" s="1"/>
      <c r="Q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115">
        <v>28</v>
      </c>
      <c r="B107" s="115" t="s">
        <v>58</v>
      </c>
      <c r="C107" s="116">
        <v>0.86299999999999999</v>
      </c>
      <c r="D107" s="138"/>
      <c r="F107" s="116">
        <v>5.8102324999999997</v>
      </c>
      <c r="G107" s="116">
        <v>-21.700096001397373</v>
      </c>
      <c r="J107" s="1"/>
      <c r="K107" s="1"/>
      <c r="L107" s="1"/>
      <c r="M107" s="1"/>
      <c r="N107" s="1"/>
      <c r="O107" s="1"/>
      <c r="P107" s="1"/>
      <c r="Q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102">
        <v>29</v>
      </c>
      <c r="B108" s="102" t="s">
        <v>59</v>
      </c>
      <c r="C108" s="114">
        <v>0.77</v>
      </c>
      <c r="D108" s="137"/>
      <c r="F108" s="103">
        <v>5.2164739999999998</v>
      </c>
      <c r="G108" s="114">
        <v>-21.688137243291745</v>
      </c>
      <c r="J108" s="1"/>
      <c r="K108" s="1"/>
      <c r="L108" s="1"/>
      <c r="M108" s="1"/>
      <c r="N108" s="1"/>
      <c r="O108" s="1"/>
      <c r="P108" s="1"/>
      <c r="Q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115">
        <v>30</v>
      </c>
      <c r="B109" s="115" t="s">
        <v>78</v>
      </c>
      <c r="C109" s="116">
        <v>0.79800000000000004</v>
      </c>
      <c r="D109" s="138"/>
      <c r="F109" s="116">
        <v>0.37196756250000002</v>
      </c>
      <c r="G109" s="116">
        <v>-15.340436792044073</v>
      </c>
      <c r="J109" s="1"/>
      <c r="K109" s="1"/>
      <c r="L109" s="1"/>
      <c r="M109" s="1"/>
      <c r="N109" s="1"/>
      <c r="O109" s="1"/>
      <c r="P109" s="1"/>
      <c r="Q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102">
        <v>31</v>
      </c>
      <c r="B110" s="102" t="s">
        <v>193</v>
      </c>
      <c r="C110" s="114">
        <v>7.0650000000000004</v>
      </c>
      <c r="D110" s="137"/>
      <c r="F110" s="103">
        <v>1.800394</v>
      </c>
      <c r="G110" s="114">
        <v>-22.29766229495976</v>
      </c>
      <c r="J110" s="1"/>
      <c r="K110" s="1"/>
      <c r="L110" s="1"/>
      <c r="M110" s="1"/>
      <c r="N110" s="1"/>
      <c r="O110" s="1"/>
      <c r="P110" s="1"/>
      <c r="Q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115">
        <v>32</v>
      </c>
      <c r="B111" s="115" t="s">
        <v>194</v>
      </c>
      <c r="C111" s="116">
        <v>7.04</v>
      </c>
      <c r="D111" s="138"/>
      <c r="F111" s="116">
        <v>1.2433412500000001</v>
      </c>
      <c r="G111" s="116">
        <v>-22.452073900115185</v>
      </c>
      <c r="J111" s="1"/>
      <c r="K111" s="1"/>
      <c r="L111" s="1"/>
      <c r="M111" s="1"/>
      <c r="N111" s="1"/>
      <c r="O111" s="1"/>
      <c r="P111" s="1"/>
      <c r="Q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102">
        <v>33</v>
      </c>
      <c r="B112" s="102" t="s">
        <v>195</v>
      </c>
      <c r="C112" s="114">
        <v>6.9349999999999996</v>
      </c>
      <c r="D112" s="137"/>
      <c r="F112" s="103">
        <v>1.440102</v>
      </c>
      <c r="G112" s="114">
        <v>-22.32318763703848</v>
      </c>
      <c r="J112" s="1"/>
      <c r="K112" s="1"/>
      <c r="L112" s="1"/>
      <c r="M112" s="1"/>
      <c r="N112" s="1"/>
      <c r="O112" s="1"/>
      <c r="P112" s="1"/>
      <c r="Q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115">
        <v>34</v>
      </c>
      <c r="B113" s="115" t="s">
        <v>196</v>
      </c>
      <c r="C113" s="116">
        <v>7.29</v>
      </c>
      <c r="D113" s="138"/>
      <c r="F113" s="116">
        <v>2.1945892499999999</v>
      </c>
      <c r="G113" s="116">
        <v>-21.780762210311391</v>
      </c>
      <c r="J113" s="1"/>
      <c r="K113" s="1"/>
      <c r="L113" s="1"/>
      <c r="M113" s="1"/>
      <c r="N113" s="1"/>
      <c r="O113" s="1"/>
      <c r="P113" s="1"/>
      <c r="Q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102">
        <v>35</v>
      </c>
      <c r="B114" s="102" t="s">
        <v>197</v>
      </c>
      <c r="C114" s="114">
        <v>7.2489999999999997</v>
      </c>
      <c r="D114" s="137"/>
      <c r="F114" s="103">
        <v>2.064565</v>
      </c>
      <c r="G114" s="114">
        <v>-22.077734557320596</v>
      </c>
      <c r="J114" s="1"/>
      <c r="K114" s="1"/>
      <c r="L114" s="1"/>
      <c r="M114" s="1"/>
      <c r="N114" s="1"/>
      <c r="O114" s="1"/>
      <c r="P114" s="1"/>
      <c r="Q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115">
        <v>36</v>
      </c>
      <c r="B115" s="115" t="s">
        <v>198</v>
      </c>
      <c r="C115" s="116">
        <v>7.4790000000000001</v>
      </c>
      <c r="D115" s="138"/>
      <c r="F115" s="116">
        <v>2.19831675</v>
      </c>
      <c r="G115" s="116">
        <v>-22.44763202058537</v>
      </c>
      <c r="J115" s="1"/>
      <c r="K115" s="1"/>
      <c r="L115" s="1"/>
      <c r="M115" s="1"/>
      <c r="N115" s="1"/>
      <c r="O115" s="1"/>
      <c r="P115" s="1"/>
      <c r="Q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102">
        <v>37</v>
      </c>
      <c r="B116" s="102" t="s">
        <v>199</v>
      </c>
      <c r="C116" s="114">
        <v>8.6760000000000002</v>
      </c>
      <c r="D116" s="137"/>
      <c r="F116" s="103">
        <v>3.96763025</v>
      </c>
      <c r="G116" s="114">
        <v>-21.625723700252646</v>
      </c>
      <c r="J116" s="1"/>
      <c r="K116" s="1"/>
      <c r="L116" s="1"/>
      <c r="M116" s="1"/>
      <c r="N116" s="1"/>
      <c r="O116" s="1"/>
      <c r="P116" s="1"/>
      <c r="Q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115">
        <v>38</v>
      </c>
      <c r="B117" s="115" t="s">
        <v>200</v>
      </c>
      <c r="C117" s="116">
        <v>10.089</v>
      </c>
      <c r="D117" s="138"/>
      <c r="F117" s="116">
        <v>13.896848</v>
      </c>
      <c r="G117" s="116">
        <v>-22.481137197074222</v>
      </c>
      <c r="J117" s="1"/>
      <c r="K117" s="1"/>
      <c r="L117" s="1"/>
      <c r="M117" s="1"/>
      <c r="N117" s="1"/>
      <c r="O117" s="1"/>
      <c r="P117" s="1"/>
      <c r="Q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102">
        <v>39</v>
      </c>
      <c r="B118" s="102" t="s">
        <v>201</v>
      </c>
      <c r="C118" s="114">
        <v>8.8800000000000008</v>
      </c>
      <c r="D118" s="137"/>
      <c r="F118" s="103">
        <v>3.4949184999999998</v>
      </c>
      <c r="G118" s="114">
        <v>-22.193658692442085</v>
      </c>
      <c r="J118" s="1"/>
      <c r="K118" s="1"/>
      <c r="L118" s="1"/>
      <c r="M118" s="1"/>
      <c r="N118" s="1"/>
      <c r="O118" s="1"/>
      <c r="P118" s="1"/>
      <c r="Q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115">
        <v>40</v>
      </c>
      <c r="B119" s="115" t="s">
        <v>202</v>
      </c>
      <c r="C119" s="116">
        <v>7.1219999999999999</v>
      </c>
      <c r="D119" s="138"/>
      <c r="F119" s="116">
        <v>1.6358362500000001</v>
      </c>
      <c r="G119" s="116">
        <v>-22.237551316575075</v>
      </c>
      <c r="J119" s="1"/>
      <c r="K119" s="1"/>
      <c r="L119" s="1"/>
      <c r="M119" s="1"/>
      <c r="N119" s="1"/>
      <c r="O119" s="1"/>
      <c r="P119" s="1"/>
      <c r="Q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102">
        <v>41</v>
      </c>
      <c r="B120" s="102" t="s">
        <v>203</v>
      </c>
      <c r="C120" s="114">
        <v>7.4020000000000001</v>
      </c>
      <c r="D120" s="137"/>
      <c r="F120" s="103">
        <v>2.0314648750000002</v>
      </c>
      <c r="G120" s="114">
        <v>-22.140143919810786</v>
      </c>
      <c r="J120" s="1"/>
      <c r="K120" s="1"/>
      <c r="L120" s="1"/>
      <c r="M120" s="1"/>
      <c r="N120" s="1"/>
      <c r="O120" s="1"/>
      <c r="P120" s="1"/>
      <c r="Q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115">
        <v>42</v>
      </c>
      <c r="B121" s="115" t="s">
        <v>204</v>
      </c>
      <c r="C121" s="116">
        <v>8.0869999999999997</v>
      </c>
      <c r="D121" s="138"/>
      <c r="F121" s="116">
        <v>3.0850559999999998</v>
      </c>
      <c r="G121" s="116">
        <v>-21.929230043795013</v>
      </c>
      <c r="J121" s="1"/>
      <c r="K121" s="1"/>
      <c r="L121" s="1"/>
      <c r="M121" s="1"/>
      <c r="N121" s="1"/>
      <c r="O121" s="1"/>
      <c r="P121" s="1"/>
      <c r="Q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102">
        <v>43</v>
      </c>
      <c r="B122" s="102" t="s">
        <v>70</v>
      </c>
      <c r="C122" s="114">
        <v>1.052</v>
      </c>
      <c r="D122" s="137"/>
      <c r="F122" s="103">
        <v>7.1805139999999996</v>
      </c>
      <c r="G122" s="114">
        <v>-21.734963686615327</v>
      </c>
      <c r="J122" s="1"/>
      <c r="K122" s="1"/>
      <c r="L122" s="1"/>
      <c r="M122" s="1"/>
      <c r="N122" s="1"/>
      <c r="O122" s="1"/>
      <c r="P122" s="1"/>
      <c r="Q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115">
        <v>44</v>
      </c>
      <c r="B123" s="115" t="s">
        <v>91</v>
      </c>
      <c r="C123" s="116">
        <v>1.157</v>
      </c>
      <c r="D123" s="138"/>
      <c r="F123" s="116">
        <v>0.60166193749999997</v>
      </c>
      <c r="G123" s="116">
        <v>-15.751799312879559</v>
      </c>
      <c r="J123" s="1"/>
      <c r="K123" s="1"/>
      <c r="L123" s="1"/>
      <c r="M123" s="1"/>
      <c r="N123" s="1"/>
      <c r="O123" s="1"/>
      <c r="P123" s="1"/>
      <c r="Q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102">
        <v>45</v>
      </c>
      <c r="B124" s="102" t="s">
        <v>205</v>
      </c>
      <c r="C124" s="114">
        <v>7.18</v>
      </c>
      <c r="D124" s="137"/>
      <c r="F124" s="103">
        <v>1.7327494999999999</v>
      </c>
      <c r="G124" s="114">
        <v>-22.43664404675717</v>
      </c>
      <c r="J124" s="1"/>
      <c r="K124" s="1"/>
      <c r="L124" s="1"/>
      <c r="M124" s="1"/>
      <c r="N124" s="1"/>
      <c r="O124" s="1"/>
      <c r="P124" s="1"/>
      <c r="Q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115">
        <v>46</v>
      </c>
      <c r="B125" s="115" t="s">
        <v>206</v>
      </c>
      <c r="C125" s="116">
        <v>7.3449999999999998</v>
      </c>
      <c r="D125" s="138"/>
      <c r="F125" s="116">
        <v>1.70432275</v>
      </c>
      <c r="G125" s="116">
        <v>-22.558218998904774</v>
      </c>
      <c r="J125" s="1"/>
      <c r="K125" s="1"/>
      <c r="L125" s="1"/>
      <c r="M125" s="1"/>
      <c r="N125" s="1"/>
      <c r="O125" s="1"/>
      <c r="P125" s="1"/>
      <c r="Q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102">
        <v>47</v>
      </c>
      <c r="B126" s="102" t="s">
        <v>207</v>
      </c>
      <c r="C126" s="114">
        <v>7.0140000000000002</v>
      </c>
      <c r="D126" s="137"/>
      <c r="F126" s="103">
        <v>1.57637</v>
      </c>
      <c r="G126" s="114">
        <v>-22.477344498666888</v>
      </c>
      <c r="J126" s="1"/>
      <c r="K126" s="1"/>
      <c r="L126" s="1"/>
      <c r="M126" s="1"/>
      <c r="N126" s="1"/>
      <c r="O126" s="1"/>
      <c r="P126" s="1"/>
      <c r="Q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115">
        <v>48</v>
      </c>
      <c r="B127" s="115" t="s">
        <v>208</v>
      </c>
      <c r="C127" s="116">
        <v>8.7650000000000006</v>
      </c>
      <c r="D127" s="138"/>
      <c r="F127" s="116">
        <v>4.0087434999999996</v>
      </c>
      <c r="G127" s="116">
        <v>-22.247418659721983</v>
      </c>
      <c r="J127" s="1"/>
      <c r="K127" s="1"/>
      <c r="L127" s="1"/>
      <c r="M127" s="1"/>
      <c r="N127" s="1"/>
      <c r="O127" s="1"/>
      <c r="P127" s="1"/>
      <c r="Q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102">
        <v>49</v>
      </c>
      <c r="B128" s="102" t="s">
        <v>209</v>
      </c>
      <c r="C128" s="114">
        <v>11.337999999999999</v>
      </c>
      <c r="D128" s="137"/>
      <c r="F128" s="103">
        <v>8.058503</v>
      </c>
      <c r="G128" s="114">
        <v>-22.063756476403555</v>
      </c>
      <c r="J128" s="1"/>
      <c r="K128" s="1"/>
      <c r="L128" s="1"/>
      <c r="M128" s="1"/>
      <c r="N128" s="1"/>
      <c r="O128" s="1"/>
      <c r="P128" s="1"/>
      <c r="Q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115">
        <v>50</v>
      </c>
      <c r="B129" s="115" t="s">
        <v>210</v>
      </c>
      <c r="C129" s="116">
        <v>9.6449999999999996</v>
      </c>
      <c r="D129" s="138"/>
      <c r="F129" s="116">
        <v>5.4361974999999996</v>
      </c>
      <c r="G129" s="116">
        <v>-22.15794381693328</v>
      </c>
      <c r="J129" s="1"/>
      <c r="K129" s="1"/>
      <c r="L129" s="1"/>
      <c r="M129" s="1"/>
      <c r="N129" s="1"/>
      <c r="O129" s="1"/>
      <c r="P129" s="1"/>
      <c r="Q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102">
        <v>51</v>
      </c>
      <c r="B130" s="102" t="s">
        <v>211</v>
      </c>
      <c r="C130" s="114">
        <v>9.9619999999999997</v>
      </c>
      <c r="D130" s="137"/>
      <c r="F130" s="103">
        <v>6.3570440000000001</v>
      </c>
      <c r="G130" s="114">
        <v>-21.902995643259594</v>
      </c>
      <c r="J130" s="1"/>
      <c r="K130" s="1"/>
      <c r="L130" s="1"/>
      <c r="M130" s="1"/>
      <c r="N130" s="1"/>
      <c r="O130" s="1"/>
      <c r="P130" s="1"/>
      <c r="Q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115">
        <v>52</v>
      </c>
      <c r="B131" s="115" t="s">
        <v>212</v>
      </c>
      <c r="C131" s="116">
        <v>10.89</v>
      </c>
      <c r="D131" s="138"/>
      <c r="F131" s="116">
        <v>7.7858444999999996</v>
      </c>
      <c r="G131" s="116">
        <v>-21.978045192333088</v>
      </c>
      <c r="J131" s="1"/>
      <c r="K131" s="1"/>
      <c r="L131" s="1"/>
      <c r="M131" s="1"/>
      <c r="N131" s="1"/>
      <c r="O131" s="1"/>
      <c r="P131" s="1"/>
      <c r="Q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102">
        <v>53</v>
      </c>
      <c r="B132" s="102" t="s">
        <v>213</v>
      </c>
      <c r="C132" s="114">
        <v>9.4670000000000005</v>
      </c>
      <c r="D132" s="137"/>
      <c r="F132" s="103">
        <v>6.5560305000000003</v>
      </c>
      <c r="G132" s="114">
        <v>-21.96803745150131</v>
      </c>
      <c r="J132" s="1"/>
      <c r="K132" s="1"/>
      <c r="L132" s="1"/>
      <c r="M132" s="1"/>
      <c r="N132" s="1"/>
      <c r="O132" s="1"/>
      <c r="P132" s="1"/>
      <c r="Q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115">
        <v>54</v>
      </c>
      <c r="B133" s="115" t="s">
        <v>214</v>
      </c>
      <c r="C133" s="116">
        <v>10.208</v>
      </c>
      <c r="D133" s="138"/>
      <c r="F133" s="116">
        <v>6.6546810000000001</v>
      </c>
      <c r="G133" s="116">
        <v>-21.755482634180272</v>
      </c>
      <c r="J133" s="1"/>
      <c r="K133" s="1"/>
      <c r="L133" s="1"/>
      <c r="M133" s="1"/>
      <c r="N133" s="1"/>
      <c r="O133" s="1"/>
      <c r="P133" s="1"/>
      <c r="Q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102">
        <v>55</v>
      </c>
      <c r="B134" s="102" t="s">
        <v>215</v>
      </c>
      <c r="C134" s="114">
        <v>9.9890000000000008</v>
      </c>
      <c r="D134" s="137"/>
      <c r="F134" s="103">
        <v>6.2771904999999997</v>
      </c>
      <c r="G134" s="114">
        <v>-21.836266623882452</v>
      </c>
      <c r="J134" s="1"/>
      <c r="K134" s="1"/>
      <c r="L134" s="1"/>
      <c r="M134" s="1"/>
      <c r="N134" s="1"/>
      <c r="O134" s="1"/>
      <c r="P134" s="1"/>
      <c r="Q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115">
        <v>56</v>
      </c>
      <c r="B135" s="115" t="s">
        <v>216</v>
      </c>
      <c r="C135" s="116">
        <v>12.013999999999999</v>
      </c>
      <c r="D135" s="138"/>
      <c r="F135" s="116">
        <v>8.5954189999999997</v>
      </c>
      <c r="G135" s="116">
        <v>-21.794297003751382</v>
      </c>
      <c r="J135" s="1"/>
      <c r="K135" s="1"/>
      <c r="L135" s="1"/>
      <c r="M135" s="1"/>
      <c r="N135" s="1"/>
      <c r="O135" s="1"/>
      <c r="P135" s="1"/>
      <c r="Q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102">
        <v>57</v>
      </c>
      <c r="B136" s="102" t="s">
        <v>60</v>
      </c>
      <c r="C136" s="114">
        <v>0.58399999999999996</v>
      </c>
      <c r="D136" s="137"/>
      <c r="F136" s="103">
        <v>4.0913887500000001</v>
      </c>
      <c r="G136" s="114">
        <v>-21.705251828311944</v>
      </c>
      <c r="J136" s="1"/>
      <c r="K136" s="1"/>
      <c r="L136" s="1"/>
      <c r="M136" s="1"/>
      <c r="N136" s="1"/>
      <c r="O136" s="1"/>
      <c r="P136" s="1"/>
      <c r="Q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115">
        <v>58</v>
      </c>
      <c r="B137" s="115" t="s">
        <v>104</v>
      </c>
      <c r="C137" s="116">
        <v>2.3170000000000002</v>
      </c>
      <c r="D137" s="138"/>
      <c r="F137" s="116">
        <v>1.1171781249999999</v>
      </c>
      <c r="G137" s="116">
        <v>-15.391689595377201</v>
      </c>
      <c r="J137" s="1"/>
      <c r="K137" s="1"/>
      <c r="L137" s="1"/>
      <c r="M137" s="1"/>
      <c r="N137" s="1"/>
      <c r="O137" s="1"/>
      <c r="P137" s="1"/>
      <c r="Q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102">
        <v>59</v>
      </c>
      <c r="B138" s="102" t="s">
        <v>217</v>
      </c>
      <c r="C138" s="114">
        <v>8.6270000000000007</v>
      </c>
      <c r="D138" s="137"/>
      <c r="F138" s="103">
        <v>3.5538975000000002</v>
      </c>
      <c r="G138" s="114">
        <v>-24.212762129800453</v>
      </c>
      <c r="J138" s="1"/>
      <c r="K138" s="1"/>
      <c r="L138" s="1"/>
      <c r="M138" s="1"/>
      <c r="N138" s="1"/>
      <c r="O138" s="1"/>
      <c r="P138" s="1"/>
      <c r="Q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115">
        <v>60</v>
      </c>
      <c r="B139" s="115" t="s">
        <v>218</v>
      </c>
      <c r="C139" s="116">
        <v>9.5960000000000001</v>
      </c>
      <c r="D139" s="138"/>
      <c r="F139" s="116">
        <v>5.2169860000000003</v>
      </c>
      <c r="G139" s="116">
        <v>-23.978623116217751</v>
      </c>
      <c r="J139" s="1"/>
      <c r="K139" s="1"/>
      <c r="L139" s="1"/>
      <c r="M139" s="1"/>
      <c r="N139" s="1"/>
      <c r="O139" s="1"/>
      <c r="P139" s="1"/>
      <c r="Q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102">
        <v>61</v>
      </c>
      <c r="B140" s="102" t="s">
        <v>219</v>
      </c>
      <c r="C140" s="114">
        <v>9.7789999999999999</v>
      </c>
      <c r="D140" s="137"/>
      <c r="F140" s="103">
        <v>5.3553129999999998</v>
      </c>
      <c r="G140" s="114">
        <v>-24.163193039145501</v>
      </c>
      <c r="J140" s="1"/>
      <c r="K140" s="1"/>
      <c r="L140" s="1"/>
      <c r="M140" s="1"/>
      <c r="N140" s="1"/>
      <c r="O140" s="1"/>
      <c r="P140" s="1"/>
      <c r="Q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115">
        <v>62</v>
      </c>
      <c r="B141" s="115" t="s">
        <v>220</v>
      </c>
      <c r="C141" s="116">
        <v>7.2510000000000003</v>
      </c>
      <c r="D141" s="138"/>
      <c r="F141" s="116">
        <v>1.7948191250000001</v>
      </c>
      <c r="G141" s="116">
        <v>-18.752580090816938</v>
      </c>
      <c r="J141" s="1"/>
      <c r="K141" s="1"/>
      <c r="L141" s="1"/>
      <c r="M141" s="1"/>
      <c r="N141" s="1"/>
      <c r="O141" s="1"/>
      <c r="P141" s="1"/>
      <c r="Q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102">
        <v>63</v>
      </c>
      <c r="B142" s="102" t="s">
        <v>221</v>
      </c>
      <c r="C142" s="114">
        <v>7.548</v>
      </c>
      <c r="D142" s="137"/>
      <c r="F142" s="103">
        <v>2.0918744999999999</v>
      </c>
      <c r="G142" s="114">
        <v>-18.837249883314332</v>
      </c>
      <c r="J142" s="1"/>
      <c r="K142" s="1"/>
      <c r="L142" s="1"/>
      <c r="M142" s="1"/>
      <c r="N142" s="1"/>
      <c r="O142" s="1"/>
      <c r="P142" s="1"/>
      <c r="Q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115">
        <v>64</v>
      </c>
      <c r="B143" s="115" t="s">
        <v>222</v>
      </c>
      <c r="C143" s="116">
        <v>7.3129999999999997</v>
      </c>
      <c r="D143" s="138"/>
      <c r="F143" s="116">
        <v>1.89953175</v>
      </c>
      <c r="G143" s="116">
        <v>-19.07371946180162</v>
      </c>
      <c r="J143" s="1"/>
      <c r="K143" s="1"/>
      <c r="L143" s="1"/>
      <c r="M143" s="1"/>
      <c r="N143" s="1"/>
      <c r="O143" s="1"/>
      <c r="P143" s="1"/>
      <c r="Q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102">
        <v>65</v>
      </c>
      <c r="B144" s="102" t="s">
        <v>223</v>
      </c>
      <c r="C144" s="114">
        <v>14.904</v>
      </c>
      <c r="D144" s="137"/>
      <c r="F144" s="103">
        <v>4.6294880000000003</v>
      </c>
      <c r="G144" s="114">
        <v>-21.27571937236036</v>
      </c>
      <c r="J144" s="1"/>
      <c r="K144" s="1"/>
      <c r="L144" s="1"/>
      <c r="M144" s="1"/>
      <c r="N144" s="1"/>
      <c r="O144" s="1"/>
      <c r="P144" s="1"/>
      <c r="Q144" s="1"/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115">
        <v>66</v>
      </c>
      <c r="B145" s="115" t="s">
        <v>224</v>
      </c>
      <c r="C145" s="116">
        <v>15.021000000000001</v>
      </c>
      <c r="D145" s="138"/>
      <c r="F145" s="116">
        <v>4.8754989999999996</v>
      </c>
      <c r="G145" s="116">
        <v>-21.384646303290204</v>
      </c>
      <c r="J145" s="1"/>
      <c r="K145" s="1"/>
      <c r="L145" s="1"/>
      <c r="M145" s="1"/>
      <c r="N145" s="1"/>
      <c r="O145" s="1"/>
      <c r="P145" s="1"/>
      <c r="Q145" s="1"/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102">
        <v>67</v>
      </c>
      <c r="B146" s="102" t="s">
        <v>225</v>
      </c>
      <c r="C146" s="114">
        <v>14.436999999999999</v>
      </c>
      <c r="D146" s="137"/>
      <c r="F146" s="103">
        <v>4.1261987500000004</v>
      </c>
      <c r="G146" s="114">
        <v>-21.407939848215982</v>
      </c>
      <c r="J146" s="1"/>
      <c r="K146" s="1"/>
      <c r="L146" s="1"/>
      <c r="M146" s="1"/>
      <c r="N146" s="1"/>
      <c r="O146" s="1"/>
      <c r="P146" s="1"/>
      <c r="Q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115">
        <v>68</v>
      </c>
      <c r="B147" s="115" t="s">
        <v>226</v>
      </c>
      <c r="C147" s="116">
        <v>19.907</v>
      </c>
      <c r="D147" s="138"/>
      <c r="F147" s="116">
        <v>5.9747839999999997</v>
      </c>
      <c r="G147" s="116">
        <v>-21.021643255334975</v>
      </c>
      <c r="J147" s="1"/>
      <c r="K147" s="1"/>
      <c r="L147" s="1"/>
      <c r="M147" s="1"/>
      <c r="N147" s="1"/>
      <c r="O147" s="1"/>
      <c r="P147" s="1"/>
      <c r="Q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102">
        <v>69</v>
      </c>
      <c r="B148" s="102" t="s">
        <v>227</v>
      </c>
      <c r="C148" s="114">
        <v>14.795</v>
      </c>
      <c r="D148" s="137"/>
      <c r="F148" s="103">
        <v>2.6043717499999999</v>
      </c>
      <c r="G148" s="114">
        <v>-20.778758820414069</v>
      </c>
      <c r="J148" s="1"/>
      <c r="K148" s="1"/>
      <c r="L148" s="1"/>
      <c r="M148" s="1"/>
      <c r="N148" s="1"/>
      <c r="O148" s="1"/>
      <c r="P148" s="1"/>
      <c r="Q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115">
        <v>70</v>
      </c>
      <c r="B149" s="115" t="s">
        <v>228</v>
      </c>
      <c r="C149" s="116">
        <v>27.736000000000001</v>
      </c>
      <c r="D149" s="138"/>
      <c r="F149" s="116">
        <v>7.7406420000000002</v>
      </c>
      <c r="G149" s="116">
        <v>-20.75542765951749</v>
      </c>
      <c r="J149" s="1"/>
      <c r="K149" s="1"/>
      <c r="L149" s="1"/>
      <c r="M149" s="1"/>
      <c r="N149" s="1"/>
      <c r="O149" s="1"/>
      <c r="P149" s="1"/>
      <c r="Q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102">
        <v>71</v>
      </c>
      <c r="B150" s="102" t="s">
        <v>72</v>
      </c>
      <c r="C150" s="114">
        <v>0.438</v>
      </c>
      <c r="D150" s="137"/>
      <c r="F150" s="103">
        <v>3.0748692499999999</v>
      </c>
      <c r="G150" s="114">
        <v>-21.596085434924763</v>
      </c>
      <c r="J150" s="1"/>
      <c r="K150" s="1"/>
      <c r="L150" s="1"/>
      <c r="M150" s="1"/>
      <c r="N150" s="1"/>
      <c r="O150" s="1"/>
      <c r="P150" s="1"/>
      <c r="Q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115">
        <v>72</v>
      </c>
      <c r="B151" s="115" t="s">
        <v>117</v>
      </c>
      <c r="C151" s="116">
        <v>1.6339999999999999</v>
      </c>
      <c r="D151" s="138"/>
      <c r="F151" s="116">
        <v>0.78586462499999998</v>
      </c>
      <c r="G151" s="116">
        <v>-15.472332285027196</v>
      </c>
      <c r="J151" s="1"/>
      <c r="K151" s="1"/>
      <c r="L151" s="1"/>
      <c r="M151" s="1"/>
      <c r="N151" s="1"/>
      <c r="O151" s="1"/>
      <c r="P151" s="1"/>
      <c r="Q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5">
      <c r="A152" s="102">
        <v>73</v>
      </c>
      <c r="B152" s="102" t="s">
        <v>229</v>
      </c>
      <c r="C152" s="114">
        <v>0</v>
      </c>
      <c r="D152" s="137"/>
      <c r="F152" s="103">
        <v>1.2563855468749999E-2</v>
      </c>
      <c r="G152" s="114">
        <v>-17.329558730016458</v>
      </c>
      <c r="J152" s="7"/>
      <c r="K152" s="1"/>
      <c r="L152" s="1"/>
      <c r="M152" s="1"/>
      <c r="N152" s="1"/>
      <c r="O152"/>
      <c r="P152"/>
      <c r="Q152"/>
      <c r="R152"/>
      <c r="S152"/>
      <c r="T152"/>
      <c r="U152"/>
      <c r="V152" s="1"/>
      <c r="W152" s="1"/>
      <c r="X152" s="1"/>
      <c r="Y152" s="1"/>
      <c r="Z152" s="1"/>
      <c r="AA152" s="1"/>
      <c r="AB152" s="1"/>
    </row>
    <row r="153" spans="1:28" ht="11.25" customHeight="1" x14ac:dyDescent="0.25">
      <c r="A153" s="140">
        <v>74</v>
      </c>
      <c r="B153" s="140" t="s">
        <v>230</v>
      </c>
      <c r="C153" s="132">
        <v>0</v>
      </c>
      <c r="D153" s="141"/>
      <c r="F153" s="132">
        <v>8.9229189453125003E-3</v>
      </c>
      <c r="G153" s="132">
        <v>-19.939513919495305</v>
      </c>
      <c r="J153" s="7"/>
      <c r="K153" s="1"/>
      <c r="L153" s="1"/>
      <c r="M153" s="1"/>
      <c r="N153" s="1"/>
      <c r="O153"/>
      <c r="P153"/>
      <c r="Q153"/>
      <c r="R153"/>
      <c r="S153"/>
      <c r="T153"/>
      <c r="U153"/>
      <c r="V153" s="1"/>
      <c r="W153" s="1"/>
      <c r="X153" s="1"/>
      <c r="Y153" s="1"/>
      <c r="Z153" s="1"/>
      <c r="AA153" s="1"/>
      <c r="AB153" s="1"/>
    </row>
    <row r="154" spans="1:28" ht="11.25" customHeight="1" x14ac:dyDescent="0.25">
      <c r="I154" s="10"/>
      <c r="L154" s="7"/>
      <c r="Q154" s="1"/>
      <c r="U154"/>
      <c r="AB154" s="1"/>
    </row>
    <row r="155" spans="1:28" ht="11.25" customHeight="1" x14ac:dyDescent="0.25">
      <c r="I155" s="10"/>
      <c r="L155" s="7"/>
      <c r="Q155" s="1"/>
      <c r="U155"/>
      <c r="AB155" s="1"/>
    </row>
    <row r="156" spans="1:28" ht="11.25" customHeight="1" x14ac:dyDescent="0.25">
      <c r="I156" s="10"/>
      <c r="L156" s="7"/>
      <c r="Q156" s="1"/>
      <c r="U156"/>
      <c r="AB156" s="1"/>
    </row>
    <row r="157" spans="1:28" ht="11.25" customHeight="1" x14ac:dyDescent="0.25">
      <c r="I157" s="10"/>
      <c r="L157" s="7"/>
      <c r="Q157" s="1"/>
      <c r="U157"/>
      <c r="AB157" s="1"/>
    </row>
    <row r="158" spans="1:28" ht="11.25" customHeight="1" x14ac:dyDescent="0.25">
      <c r="I158" s="10"/>
      <c r="L158" s="7"/>
      <c r="Q158" s="1"/>
      <c r="U158"/>
      <c r="AB158" s="1"/>
    </row>
    <row r="159" spans="1:28" ht="11.25" customHeight="1" x14ac:dyDescent="0.25">
      <c r="I159" s="10"/>
      <c r="L159" s="7"/>
      <c r="Q159" s="1"/>
      <c r="U159"/>
      <c r="AB159" s="1"/>
    </row>
    <row r="160" spans="1:28" ht="11.25" customHeight="1" x14ac:dyDescent="0.25">
      <c r="I160" s="10"/>
      <c r="L160" s="7"/>
      <c r="Q160" s="1"/>
      <c r="U160"/>
      <c r="AB160" s="1"/>
    </row>
    <row r="161" spans="9:28" ht="11.25" customHeight="1" x14ac:dyDescent="0.25">
      <c r="I161" s="10"/>
      <c r="L161" s="7"/>
      <c r="Q161" s="1"/>
      <c r="U161"/>
      <c r="AB161" s="1"/>
    </row>
    <row r="162" spans="9:28" ht="11.25" customHeight="1" x14ac:dyDescent="0.25">
      <c r="I162" s="10"/>
      <c r="L162" s="7"/>
      <c r="Q162" s="1"/>
      <c r="U162"/>
      <c r="AB162" s="1"/>
    </row>
    <row r="163" spans="9:28" ht="11.25" customHeight="1" x14ac:dyDescent="0.25">
      <c r="I163" s="10"/>
      <c r="L163" s="7"/>
      <c r="Q163" s="1"/>
      <c r="U163"/>
      <c r="AB163" s="1"/>
    </row>
    <row r="164" spans="9:28" ht="11.25" customHeight="1" x14ac:dyDescent="0.25">
      <c r="I164" s="10"/>
      <c r="L164" s="7"/>
      <c r="Q164" s="1"/>
      <c r="U164"/>
      <c r="AB164" s="1"/>
    </row>
    <row r="165" spans="9:28" ht="11.25" customHeight="1" x14ac:dyDescent="0.25">
      <c r="I165" s="10"/>
      <c r="L165" s="7"/>
      <c r="Q165" s="1"/>
      <c r="U165"/>
      <c r="AB165" s="1"/>
    </row>
    <row r="166" spans="9:28" ht="11.25" customHeight="1" x14ac:dyDescent="0.25">
      <c r="I166" s="10"/>
      <c r="L166" s="7"/>
      <c r="Q166" s="1"/>
      <c r="U166"/>
      <c r="AB166" s="1"/>
    </row>
    <row r="167" spans="9:28" ht="11.25" customHeight="1" x14ac:dyDescent="0.25">
      <c r="I167" s="10"/>
      <c r="L167" s="7"/>
      <c r="Q167" s="1"/>
      <c r="U167"/>
      <c r="AB167" s="1"/>
    </row>
    <row r="168" spans="9:28" ht="11.25" customHeight="1" x14ac:dyDescent="0.25">
      <c r="I168" s="10"/>
      <c r="L168" s="7"/>
      <c r="Q168" s="1"/>
      <c r="U168"/>
      <c r="AB168" s="1"/>
    </row>
    <row r="169" spans="9:28" ht="11.25" customHeight="1" x14ac:dyDescent="0.25">
      <c r="I169" s="10"/>
      <c r="L169" s="7"/>
      <c r="Q169" s="1"/>
      <c r="U169"/>
      <c r="AB169" s="1"/>
    </row>
    <row r="170" spans="9:28" ht="11.25" customHeight="1" x14ac:dyDescent="0.25">
      <c r="I170" s="10"/>
      <c r="L170" s="7"/>
      <c r="Q170" s="1"/>
      <c r="U170"/>
      <c r="AB170" s="1"/>
    </row>
    <row r="171" spans="9:28" ht="11.25" customHeight="1" x14ac:dyDescent="0.25">
      <c r="I171" s="10"/>
      <c r="L171" s="7"/>
      <c r="Q171" s="1"/>
      <c r="U171"/>
      <c r="AB171" s="1"/>
    </row>
    <row r="172" spans="9:28" ht="11.25" customHeight="1" x14ac:dyDescent="0.25">
      <c r="I172" s="10"/>
      <c r="L172" s="7"/>
      <c r="Q172" s="1"/>
      <c r="U172"/>
      <c r="AB172" s="1"/>
    </row>
    <row r="173" spans="9:28" ht="11.25" customHeight="1" x14ac:dyDescent="0.25">
      <c r="I173" s="10"/>
      <c r="L173" s="7"/>
      <c r="Q173" s="1"/>
      <c r="U173"/>
      <c r="AB173" s="1"/>
    </row>
    <row r="174" spans="9:28" ht="11.25" customHeight="1" x14ac:dyDescent="0.25">
      <c r="I174" s="10"/>
      <c r="L174" s="7"/>
      <c r="Q174" s="1"/>
      <c r="U174"/>
      <c r="AB174" s="1"/>
    </row>
    <row r="175" spans="9:28" ht="11.25" customHeight="1" x14ac:dyDescent="0.25">
      <c r="I175" s="10"/>
      <c r="L175" s="7"/>
      <c r="Q175" s="1"/>
      <c r="U175"/>
      <c r="AB175" s="1"/>
    </row>
    <row r="176" spans="9:28" ht="11.25" customHeight="1" x14ac:dyDescent="0.25">
      <c r="I176" s="10"/>
      <c r="L176" s="7"/>
      <c r="Q176" s="1"/>
      <c r="U176"/>
      <c r="AB176" s="1"/>
    </row>
    <row r="177" spans="9:28" ht="11.25" customHeight="1" x14ac:dyDescent="0.25">
      <c r="I177" s="10"/>
      <c r="L177" s="7"/>
      <c r="Q177" s="1"/>
      <c r="U177"/>
      <c r="AB177" s="1"/>
    </row>
    <row r="178" spans="9:28" ht="11.25" customHeight="1" x14ac:dyDescent="0.25">
      <c r="I178" s="10"/>
      <c r="L178" s="7"/>
      <c r="Q178" s="1"/>
      <c r="U178"/>
      <c r="AB178" s="1"/>
    </row>
    <row r="179" spans="9:28" ht="11.25" customHeight="1" x14ac:dyDescent="0.25">
      <c r="I179" s="10"/>
      <c r="L179" s="7"/>
      <c r="Q179" s="1"/>
      <c r="U179"/>
      <c r="AB179" s="1"/>
    </row>
    <row r="180" spans="9:28" ht="11.25" customHeight="1" x14ac:dyDescent="0.25">
      <c r="I180" s="10"/>
      <c r="L180" s="7"/>
      <c r="Q180" s="1"/>
      <c r="U180"/>
      <c r="AB180" s="1"/>
    </row>
    <row r="181" spans="9:28" ht="11.25" customHeight="1" x14ac:dyDescent="0.25">
      <c r="I181" s="10"/>
      <c r="L181" s="7"/>
      <c r="Q181" s="1"/>
      <c r="U181"/>
      <c r="AB181" s="1"/>
    </row>
    <row r="182" spans="9:28" ht="11.25" customHeight="1" x14ac:dyDescent="0.25">
      <c r="I182" s="10"/>
      <c r="L182" s="7"/>
      <c r="Q182" s="1"/>
      <c r="U182"/>
      <c r="AB182" s="1"/>
    </row>
    <row r="183" spans="9:28" ht="11.25" customHeight="1" x14ac:dyDescent="0.25">
      <c r="I183" s="10"/>
      <c r="L183" s="7"/>
      <c r="Q183" s="1"/>
      <c r="U183"/>
      <c r="AB183" s="1"/>
    </row>
    <row r="184" spans="9:28" ht="11.25" customHeight="1" x14ac:dyDescent="0.25">
      <c r="I184" s="10"/>
      <c r="L184" s="7"/>
      <c r="Q184" s="1"/>
      <c r="U184"/>
      <c r="AB184" s="1"/>
    </row>
    <row r="185" spans="9:28" ht="11.25" customHeight="1" x14ac:dyDescent="0.25">
      <c r="I185" s="10"/>
      <c r="L185" s="7"/>
      <c r="Q185" s="1"/>
      <c r="U185"/>
      <c r="AB185" s="1"/>
    </row>
    <row r="186" spans="9:28" ht="11.25" customHeight="1" x14ac:dyDescent="0.25">
      <c r="I186" s="10"/>
      <c r="L186" s="7"/>
      <c r="Q186" s="1"/>
      <c r="U186"/>
      <c r="AB186" s="1"/>
    </row>
    <row r="187" spans="9:28" ht="11.25" customHeight="1" x14ac:dyDescent="0.25">
      <c r="I187" s="10"/>
      <c r="L187" s="7"/>
      <c r="Q187" s="1"/>
      <c r="U187"/>
      <c r="AB187" s="1"/>
    </row>
    <row r="188" spans="9:28" ht="11.25" customHeight="1" x14ac:dyDescent="0.25">
      <c r="I188" s="10"/>
      <c r="L188" s="7"/>
      <c r="Q188" s="1"/>
      <c r="U188"/>
      <c r="AB188" s="1"/>
    </row>
    <row r="189" spans="9:28" ht="11.25" customHeight="1" x14ac:dyDescent="0.25">
      <c r="I189" s="10"/>
      <c r="L189" s="7"/>
      <c r="Q189" s="1"/>
      <c r="U189"/>
      <c r="AB189" s="1"/>
    </row>
    <row r="190" spans="9:28" ht="11.25" customHeight="1" x14ac:dyDescent="0.25">
      <c r="I190" s="10"/>
      <c r="L190" s="7"/>
      <c r="Q190" s="1"/>
      <c r="U190"/>
      <c r="AB190" s="1"/>
    </row>
    <row r="191" spans="9:28" ht="11.25" customHeight="1" x14ac:dyDescent="0.25">
      <c r="I191" s="10"/>
      <c r="L191" s="7"/>
      <c r="Q191" s="1"/>
      <c r="U191"/>
      <c r="AB191" s="1"/>
    </row>
    <row r="192" spans="9:28" ht="11.25" customHeight="1" x14ac:dyDescent="0.25">
      <c r="I192" s="10"/>
      <c r="L192" s="7"/>
      <c r="Q192" s="1"/>
      <c r="U192"/>
      <c r="AB192" s="1"/>
    </row>
    <row r="193" spans="9:28" ht="11.25" customHeight="1" x14ac:dyDescent="0.25">
      <c r="I193" s="10"/>
      <c r="L193" s="7"/>
      <c r="Q193" s="1"/>
      <c r="U193"/>
      <c r="AB193" s="1"/>
    </row>
    <row r="194" spans="9:28" ht="11.25" customHeight="1" x14ac:dyDescent="0.25">
      <c r="I194" s="10"/>
      <c r="L194" s="7"/>
      <c r="Q194" s="1"/>
      <c r="U194"/>
      <c r="AB194" s="1"/>
    </row>
    <row r="195" spans="9:28" ht="11.25" customHeight="1" x14ac:dyDescent="0.25">
      <c r="I195" s="10"/>
      <c r="L195" s="7"/>
      <c r="Q195" s="1"/>
      <c r="U195"/>
      <c r="AB195" s="1"/>
    </row>
    <row r="196" spans="9:28" ht="11.25" customHeight="1" x14ac:dyDescent="0.25">
      <c r="I196" s="10"/>
      <c r="L196" s="7"/>
      <c r="Q196" s="1"/>
      <c r="U196"/>
      <c r="AB196" s="1"/>
    </row>
    <row r="197" spans="9:28" ht="11.25" customHeight="1" x14ac:dyDescent="0.25">
      <c r="I197" s="10"/>
      <c r="L197" s="7"/>
      <c r="Q197" s="1"/>
      <c r="U197"/>
      <c r="AB197" s="1"/>
    </row>
    <row r="198" spans="9:28" ht="11.25" customHeight="1" x14ac:dyDescent="0.25">
      <c r="I198" s="10"/>
      <c r="L198" s="7"/>
      <c r="Q198" s="1"/>
      <c r="U198"/>
      <c r="AB198" s="1"/>
    </row>
    <row r="199" spans="9:28" ht="11.25" customHeight="1" x14ac:dyDescent="0.25">
      <c r="I199" s="10"/>
      <c r="L199" s="7"/>
      <c r="Q199" s="1"/>
      <c r="U199"/>
      <c r="AB199" s="1"/>
    </row>
    <row r="200" spans="9:28" ht="11.25" customHeight="1" x14ac:dyDescent="0.25">
      <c r="I200" s="10"/>
      <c r="L200" s="7"/>
      <c r="Q200" s="1"/>
      <c r="U200"/>
      <c r="AB200" s="1"/>
    </row>
    <row r="201" spans="9:28" ht="11.25" customHeight="1" x14ac:dyDescent="0.25">
      <c r="I201" s="10"/>
      <c r="L201" s="7"/>
      <c r="Q201" s="1"/>
      <c r="U201"/>
      <c r="AB201" s="1"/>
    </row>
    <row r="202" spans="9:28" ht="11.25" customHeight="1" x14ac:dyDescent="0.25">
      <c r="I202" s="10"/>
      <c r="L202" s="7"/>
    </row>
    <row r="203" spans="9:28" ht="11.25" customHeight="1" x14ac:dyDescent="0.25">
      <c r="I203" s="10"/>
      <c r="L203" s="7"/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203"/>
  <sheetViews>
    <sheetView zoomScale="85" zoomScaleNormal="85" workbookViewId="0">
      <selection activeCell="A39" sqref="A39:XFD78"/>
    </sheetView>
  </sheetViews>
  <sheetFormatPr defaultColWidth="9.140625" defaultRowHeight="11.25" customHeight="1" x14ac:dyDescent="0.25"/>
  <cols>
    <col min="1" max="1" width="12" style="1" customWidth="1"/>
    <col min="2" max="2" width="25.28515625" style="101" customWidth="1"/>
    <col min="3" max="3" width="10.85546875" style="1" customWidth="1"/>
    <col min="4" max="4" width="8.28515625" style="1" customWidth="1"/>
    <col min="5" max="5" width="14" style="1" bestFit="1" customWidth="1"/>
    <col min="6" max="6" width="10.7109375" style="1" customWidth="1"/>
    <col min="7" max="7" width="11.42578125" style="1" bestFit="1" customWidth="1"/>
    <col min="8" max="8" width="9" style="1" customWidth="1"/>
    <col min="9" max="9" width="9.5703125" style="1" customWidth="1"/>
    <col min="10" max="10" width="11.42578125" style="10" customWidth="1"/>
    <col min="11" max="12" width="9.42578125" style="10" customWidth="1"/>
    <col min="13" max="14" width="10" style="7" customWidth="1"/>
    <col min="15" max="15" width="13" style="7" customWidth="1"/>
    <col min="16" max="16" width="9.140625" style="7"/>
    <col min="17" max="17" width="9.5703125" style="7" bestFit="1" customWidth="1"/>
    <col min="18" max="18" width="9.140625" style="1"/>
    <col min="19" max="19" width="9.5703125" style="1" bestFit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3"/>
      <c r="D2" s="3"/>
      <c r="E2" s="3"/>
      <c r="F2" s="3"/>
      <c r="G2" s="4"/>
      <c r="H2" s="4"/>
      <c r="I2" s="4"/>
      <c r="J2" s="5"/>
      <c r="K2" s="5"/>
      <c r="L2" s="6"/>
      <c r="M2" s="7"/>
      <c r="N2" s="7"/>
      <c r="O2" s="7"/>
      <c r="P2" s="7"/>
      <c r="Q2" s="7"/>
    </row>
    <row r="3" spans="1:19" s="1" customFormat="1" ht="11.25" customHeight="1" x14ac:dyDescent="0.2">
      <c r="B3" s="8" t="s">
        <v>1</v>
      </c>
      <c r="C3" s="9"/>
      <c r="D3" s="9"/>
      <c r="E3" s="9"/>
      <c r="F3" s="9"/>
      <c r="G3" s="133">
        <v>44636</v>
      </c>
      <c r="J3" s="10"/>
      <c r="K3" s="10"/>
      <c r="L3" s="10"/>
      <c r="M3" s="7"/>
      <c r="N3" s="7"/>
      <c r="O3" s="7"/>
      <c r="P3" s="7"/>
      <c r="Q3" s="7"/>
    </row>
    <row r="4" spans="1:19" s="1" customFormat="1" ht="11.25" customHeight="1" x14ac:dyDescent="0.2">
      <c r="B4" s="8" t="s">
        <v>2</v>
      </c>
      <c r="C4" s="9"/>
      <c r="D4" s="9"/>
      <c r="E4" s="9"/>
      <c r="F4" s="9"/>
      <c r="G4" s="1" t="s">
        <v>3</v>
      </c>
      <c r="J4" s="10"/>
      <c r="K4" s="10"/>
      <c r="L4" s="10"/>
      <c r="M4" s="7"/>
      <c r="N4" s="7"/>
      <c r="O4" s="7"/>
      <c r="P4" s="7"/>
      <c r="Q4" s="7"/>
    </row>
    <row r="5" spans="1:19" s="1" customFormat="1" ht="11.25" customHeight="1" x14ac:dyDescent="0.25">
      <c r="B5" s="8" t="s">
        <v>4</v>
      </c>
      <c r="C5" s="9"/>
      <c r="D5" s="9"/>
      <c r="E5" s="9"/>
      <c r="F5" s="9"/>
      <c r="G5" s="134" t="s">
        <v>155</v>
      </c>
      <c r="J5" s="10"/>
      <c r="K5" s="10"/>
      <c r="L5" s="10"/>
      <c r="M5" s="11"/>
      <c r="N5" s="11"/>
      <c r="O5" s="7"/>
      <c r="P5" s="7"/>
      <c r="Q5" s="7"/>
    </row>
    <row r="6" spans="1:19" s="1" customFormat="1" ht="11.25" customHeight="1" x14ac:dyDescent="0.2">
      <c r="B6" s="8" t="s">
        <v>5</v>
      </c>
      <c r="C6" s="9"/>
      <c r="D6" s="9"/>
      <c r="E6" s="9"/>
      <c r="F6" s="9"/>
      <c r="G6" s="1" t="s">
        <v>6</v>
      </c>
      <c r="J6" s="10"/>
      <c r="K6" s="10"/>
      <c r="L6" s="10"/>
      <c r="M6" s="7"/>
      <c r="N6" s="7"/>
      <c r="O6" s="7"/>
      <c r="P6" s="7"/>
      <c r="Q6" s="7"/>
      <c r="S6" s="12"/>
    </row>
    <row r="7" spans="1:19" s="1" customFormat="1" ht="11.25" customHeight="1" x14ac:dyDescent="0.2">
      <c r="B7" s="8" t="s">
        <v>7</v>
      </c>
      <c r="C7" s="9"/>
      <c r="D7" s="9"/>
      <c r="E7" s="9"/>
      <c r="F7" s="9"/>
      <c r="G7" s="9" t="s">
        <v>53</v>
      </c>
      <c r="J7" s="10"/>
      <c r="K7" s="10"/>
      <c r="L7" s="10"/>
      <c r="M7" s="7"/>
      <c r="N7" s="7"/>
      <c r="O7" s="7"/>
      <c r="P7" s="7"/>
      <c r="Q7" s="7"/>
    </row>
    <row r="8" spans="1:19" s="1" customFormat="1" ht="11.25" customHeight="1" x14ac:dyDescent="0.2">
      <c r="B8" s="8" t="s">
        <v>8</v>
      </c>
      <c r="C8" s="9"/>
      <c r="D8" s="9"/>
      <c r="E8" s="9"/>
      <c r="F8" s="9"/>
      <c r="G8" s="9" t="s">
        <v>9</v>
      </c>
      <c r="J8" s="10"/>
      <c r="K8" s="13"/>
      <c r="L8" s="7"/>
      <c r="M8" s="14"/>
      <c r="N8" s="15"/>
      <c r="O8" s="7"/>
      <c r="P8" s="7"/>
      <c r="Q8" s="7"/>
    </row>
    <row r="9" spans="1:19" s="1" customFormat="1" ht="11.25" customHeight="1" x14ac:dyDescent="0.25">
      <c r="A9" s="16" t="s">
        <v>10</v>
      </c>
      <c r="B9" s="17"/>
      <c r="C9" s="18" t="s">
        <v>11</v>
      </c>
      <c r="D9" s="19"/>
      <c r="E9" s="18" t="s">
        <v>12</v>
      </c>
      <c r="F9" s="20"/>
      <c r="G9" s="21" t="s">
        <v>13</v>
      </c>
      <c r="H9" s="22" t="s">
        <v>14</v>
      </c>
      <c r="I9" s="23" t="s">
        <v>14</v>
      </c>
      <c r="J9" s="24" t="s">
        <v>14</v>
      </c>
      <c r="K9" s="25"/>
      <c r="L9" s="7"/>
      <c r="M9" s="14"/>
      <c r="N9" s="15"/>
    </row>
    <row r="10" spans="1:19" s="1" customFormat="1" ht="11.25" customHeight="1" x14ac:dyDescent="0.25">
      <c r="A10" s="26"/>
      <c r="B10" s="27"/>
      <c r="C10" s="28" t="s">
        <v>14</v>
      </c>
      <c r="D10" s="29" t="s">
        <v>15</v>
      </c>
      <c r="E10" s="28" t="s">
        <v>14</v>
      </c>
      <c r="F10" s="30" t="s">
        <v>15</v>
      </c>
      <c r="G10" s="31" t="s">
        <v>16</v>
      </c>
      <c r="H10" s="31" t="s">
        <v>17</v>
      </c>
      <c r="I10" s="32" t="s">
        <v>18</v>
      </c>
      <c r="J10" s="33" t="s">
        <v>19</v>
      </c>
      <c r="K10" s="25"/>
      <c r="L10" s="7"/>
      <c r="M10" s="14"/>
      <c r="N10" s="15"/>
    </row>
    <row r="11" spans="1:19" s="1" customFormat="1" ht="11.25" customHeight="1" x14ac:dyDescent="0.25">
      <c r="A11" s="34"/>
      <c r="B11" s="35" t="s">
        <v>20</v>
      </c>
      <c r="C11" s="36">
        <v>-26.6</v>
      </c>
      <c r="D11" s="37"/>
      <c r="E11" s="38">
        <v>-21.3</v>
      </c>
      <c r="F11" s="39"/>
      <c r="G11" s="40"/>
      <c r="H11" s="41">
        <v>72.53</v>
      </c>
      <c r="I11" s="41">
        <v>6.51</v>
      </c>
      <c r="J11" s="42">
        <f>H11/I11</f>
        <v>11.141321044546851</v>
      </c>
      <c r="K11" s="25"/>
      <c r="L11" s="7"/>
      <c r="M11" s="14"/>
      <c r="N11" s="15"/>
    </row>
    <row r="12" spans="1:19" s="1" customFormat="1" ht="11.25" customHeight="1" x14ac:dyDescent="0.25">
      <c r="A12" s="43"/>
      <c r="B12" s="44" t="s">
        <v>21</v>
      </c>
      <c r="C12" s="45"/>
      <c r="D12" s="46"/>
      <c r="E12" s="47"/>
      <c r="F12" s="48"/>
      <c r="G12" s="40"/>
      <c r="H12" s="49">
        <v>20</v>
      </c>
      <c r="I12" s="49">
        <v>46.65</v>
      </c>
      <c r="J12" s="50">
        <f>H12/I12</f>
        <v>0.4287245444801715</v>
      </c>
      <c r="K12" s="10"/>
      <c r="L12" s="10"/>
    </row>
    <row r="13" spans="1:19" s="1" customFormat="1" ht="11.25" customHeight="1" x14ac:dyDescent="0.25">
      <c r="A13" s="43"/>
      <c r="B13" s="44">
        <v>2704</v>
      </c>
      <c r="C13" s="45"/>
      <c r="D13" s="46"/>
      <c r="E13" s="47"/>
      <c r="F13" s="48"/>
      <c r="G13" s="51"/>
      <c r="H13" s="49">
        <v>3.3479999999999999</v>
      </c>
      <c r="I13" s="49"/>
      <c r="J13" s="50"/>
      <c r="K13" s="10"/>
      <c r="L13" s="10"/>
    </row>
    <row r="14" spans="1:19" s="1" customFormat="1" ht="11.25" customHeight="1" x14ac:dyDescent="0.25">
      <c r="A14" s="43"/>
      <c r="B14" s="44" t="s">
        <v>22</v>
      </c>
      <c r="C14" s="52">
        <v>-25.95</v>
      </c>
      <c r="D14" s="53">
        <f>AVERAGE(G33:G37,G51,G65,G79)</f>
        <v>-21.571888442832698</v>
      </c>
      <c r="E14" s="54">
        <v>2.08</v>
      </c>
      <c r="F14" s="55"/>
      <c r="G14" s="51"/>
      <c r="H14" s="49">
        <v>44.65</v>
      </c>
      <c r="I14" s="49">
        <v>2.83</v>
      </c>
      <c r="J14" s="50">
        <f>H14/I14</f>
        <v>15.777385159010599</v>
      </c>
      <c r="K14" s="10"/>
      <c r="L14" s="10"/>
    </row>
    <row r="15" spans="1:19" s="1" customFormat="1" ht="11.25" customHeight="1" x14ac:dyDescent="0.25">
      <c r="A15" s="43"/>
      <c r="B15" s="44" t="s">
        <v>23</v>
      </c>
      <c r="C15" s="56">
        <v>-18.3</v>
      </c>
      <c r="D15" s="57"/>
      <c r="E15" s="54"/>
      <c r="F15" s="58"/>
      <c r="G15" s="59"/>
      <c r="H15" s="60"/>
      <c r="I15" s="60"/>
      <c r="J15" s="59"/>
      <c r="K15" s="10"/>
      <c r="L15" s="10"/>
    </row>
    <row r="16" spans="1:19" s="1" customFormat="1" ht="11.25" customHeight="1" x14ac:dyDescent="0.25">
      <c r="A16" s="43"/>
      <c r="B16" s="44" t="s">
        <v>24</v>
      </c>
      <c r="C16" s="52">
        <v>-25.49</v>
      </c>
      <c r="D16" s="57"/>
      <c r="E16" s="61"/>
      <c r="F16" s="62"/>
      <c r="G16" s="59"/>
      <c r="H16" s="60"/>
      <c r="I16" s="60"/>
      <c r="J16" s="59"/>
      <c r="K16" s="10"/>
      <c r="L16" s="10"/>
    </row>
    <row r="17" spans="1:20" s="1" customFormat="1" ht="11.25" customHeight="1" x14ac:dyDescent="0.25">
      <c r="A17" s="43"/>
      <c r="B17" s="44" t="s">
        <v>25</v>
      </c>
      <c r="C17" s="45">
        <v>-10.8</v>
      </c>
      <c r="D17" s="57"/>
      <c r="E17" s="61"/>
      <c r="F17" s="62"/>
      <c r="G17" s="59"/>
      <c r="H17" s="60"/>
      <c r="I17" s="60"/>
      <c r="J17" s="59"/>
      <c r="K17" s="10"/>
      <c r="L17" s="10"/>
    </row>
    <row r="18" spans="1:20" s="1" customFormat="1" ht="11.25" customHeight="1" x14ac:dyDescent="0.25">
      <c r="A18" s="43"/>
      <c r="B18" s="44" t="s">
        <v>26</v>
      </c>
      <c r="C18" s="45">
        <v>-24.91</v>
      </c>
      <c r="D18" s="57"/>
      <c r="E18" s="61"/>
      <c r="F18" s="62"/>
      <c r="G18" s="59"/>
      <c r="H18" s="60"/>
      <c r="I18" s="60"/>
      <c r="J18" s="59"/>
      <c r="K18" s="10"/>
      <c r="L18" s="10"/>
    </row>
    <row r="19" spans="1:20" s="1" customFormat="1" ht="11.25" customHeight="1" x14ac:dyDescent="0.25">
      <c r="A19" s="43"/>
      <c r="B19" s="6" t="s">
        <v>27</v>
      </c>
      <c r="C19" s="45"/>
      <c r="D19" s="57"/>
      <c r="E19" s="63">
        <v>2.7</v>
      </c>
      <c r="F19" s="62"/>
      <c r="G19" s="59"/>
      <c r="H19" s="60"/>
      <c r="I19" s="60"/>
      <c r="J19" s="59"/>
      <c r="K19" s="10"/>
      <c r="L19" s="10"/>
    </row>
    <row r="20" spans="1:20" s="1" customFormat="1" ht="11.25" customHeight="1" x14ac:dyDescent="0.25">
      <c r="A20" s="43"/>
      <c r="B20" s="6" t="s">
        <v>28</v>
      </c>
      <c r="C20" s="45"/>
      <c r="D20" s="57"/>
      <c r="E20" s="63">
        <v>180</v>
      </c>
      <c r="F20" s="62"/>
      <c r="G20" s="59"/>
      <c r="H20" s="60"/>
      <c r="I20" s="60"/>
      <c r="J20" s="59"/>
      <c r="K20" s="10"/>
      <c r="L20" s="10"/>
    </row>
    <row r="21" spans="1:20" s="1" customFormat="1" ht="11.25" customHeight="1" x14ac:dyDescent="0.25">
      <c r="A21" s="43"/>
      <c r="B21" s="6" t="s">
        <v>29</v>
      </c>
      <c r="C21" s="45"/>
      <c r="D21" s="57"/>
      <c r="E21" s="63">
        <v>-1.8</v>
      </c>
      <c r="F21" s="62"/>
      <c r="G21" s="59"/>
      <c r="H21" s="60"/>
      <c r="I21" s="60"/>
      <c r="J21" s="59"/>
      <c r="K21" s="10"/>
      <c r="L21" s="10"/>
    </row>
    <row r="22" spans="1:20" s="1" customFormat="1" ht="11.25" customHeight="1" x14ac:dyDescent="0.25">
      <c r="A22" s="43"/>
      <c r="B22" s="44" t="s">
        <v>30</v>
      </c>
      <c r="C22" s="64"/>
      <c r="D22" s="65"/>
      <c r="E22" s="66">
        <v>0.4</v>
      </c>
      <c r="F22" s="55" t="e">
        <f>AVERAGE(E40,E70)</f>
        <v>#DIV/0!</v>
      </c>
      <c r="G22" s="59"/>
      <c r="H22" s="67"/>
      <c r="I22" s="67"/>
      <c r="J22" s="59"/>
      <c r="K22" s="10"/>
      <c r="L22" s="10"/>
    </row>
    <row r="23" spans="1:20" s="1" customFormat="1" ht="11.25" customHeight="1" x14ac:dyDescent="0.25">
      <c r="A23" s="43"/>
      <c r="B23" s="44" t="s">
        <v>31</v>
      </c>
      <c r="C23" s="68"/>
      <c r="D23" s="65"/>
      <c r="E23" s="66">
        <v>20.3</v>
      </c>
      <c r="F23" s="55" t="e">
        <f>AVERAGE(E41,E71)</f>
        <v>#DIV/0!</v>
      </c>
      <c r="G23" s="59"/>
      <c r="H23" s="67"/>
      <c r="I23" s="67"/>
      <c r="J23" s="59"/>
      <c r="K23" s="69"/>
      <c r="L23" s="69"/>
      <c r="M23" s="7"/>
      <c r="N23" s="7"/>
      <c r="O23" s="7"/>
      <c r="P23" s="7"/>
      <c r="Q23" s="7"/>
    </row>
    <row r="24" spans="1:20" s="1" customFormat="1" ht="11.25" customHeight="1" x14ac:dyDescent="0.25">
      <c r="A24" s="43"/>
      <c r="B24" s="44" t="s">
        <v>32</v>
      </c>
      <c r="C24" s="70"/>
      <c r="D24" s="57"/>
      <c r="E24" s="58">
        <v>4.7</v>
      </c>
      <c r="F24" s="55"/>
      <c r="G24" s="59"/>
      <c r="H24" s="67"/>
      <c r="I24" s="67"/>
      <c r="J24" s="59"/>
      <c r="K24" s="69"/>
      <c r="L24" s="69"/>
      <c r="M24" s="7"/>
      <c r="N24" s="7"/>
      <c r="O24" s="7"/>
      <c r="P24" s="7"/>
      <c r="Q24" s="7"/>
    </row>
    <row r="25" spans="1:20" customFormat="1" ht="11.25" customHeight="1" x14ac:dyDescent="0.25">
      <c r="A25" s="34"/>
      <c r="B25" s="71" t="s">
        <v>33</v>
      </c>
      <c r="C25" s="72"/>
      <c r="D25" s="71" t="s">
        <v>34</v>
      </c>
      <c r="E25" s="71"/>
      <c r="F25" s="72"/>
      <c r="G25" s="73"/>
      <c r="H25" s="72"/>
      <c r="I25" s="72"/>
      <c r="J25" s="74"/>
      <c r="K25" s="58"/>
      <c r="L25" s="58"/>
      <c r="O25" s="67"/>
      <c r="P25" s="67"/>
      <c r="Q25" s="67"/>
      <c r="R25" s="67"/>
    </row>
    <row r="26" spans="1:20" customFormat="1" ht="11.25" customHeight="1" x14ac:dyDescent="0.25">
      <c r="A26" s="75" t="s">
        <v>35</v>
      </c>
      <c r="B26" s="58">
        <v>1</v>
      </c>
      <c r="C26" s="76" t="s">
        <v>52</v>
      </c>
      <c r="D26" s="55">
        <f>C14-D14</f>
        <v>-4.3781115571673013</v>
      </c>
      <c r="E26" s="58"/>
      <c r="F26" s="58"/>
      <c r="G26" s="64" t="s">
        <v>235</v>
      </c>
      <c r="H26" s="58">
        <v>6.0444000000000004</v>
      </c>
      <c r="I26" s="58"/>
      <c r="J26" s="77"/>
      <c r="K26" s="58"/>
      <c r="L26" s="58"/>
      <c r="O26" s="67"/>
      <c r="P26" s="67"/>
      <c r="Q26" s="67"/>
      <c r="R26" s="67"/>
    </row>
    <row r="27" spans="1:20" customFormat="1" ht="11.25" customHeight="1" x14ac:dyDescent="0.25">
      <c r="A27" s="75" t="s">
        <v>37</v>
      </c>
      <c r="B27" s="58"/>
      <c r="C27" s="76"/>
      <c r="D27" s="78"/>
      <c r="E27" s="58"/>
      <c r="F27" s="58"/>
      <c r="G27" s="64"/>
      <c r="H27" s="58"/>
      <c r="I27" s="58"/>
      <c r="J27" s="77"/>
      <c r="K27" s="58"/>
      <c r="L27" s="58"/>
      <c r="O27" s="67"/>
      <c r="P27" s="67"/>
      <c r="Q27" s="67"/>
      <c r="R27" s="67"/>
    </row>
    <row r="28" spans="1:20" customFormat="1" ht="11.25" customHeight="1" x14ac:dyDescent="0.25">
      <c r="A28" s="79" t="s">
        <v>38</v>
      </c>
      <c r="B28" s="58">
        <v>6.6823999999999995E-2</v>
      </c>
      <c r="C28" s="76" t="s">
        <v>36</v>
      </c>
      <c r="D28" s="78">
        <v>0</v>
      </c>
      <c r="E28" s="54"/>
      <c r="F28" s="58"/>
      <c r="G28" s="64"/>
      <c r="H28" s="58"/>
      <c r="I28" s="58"/>
      <c r="J28" s="77"/>
      <c r="K28" s="58"/>
      <c r="L28" s="58"/>
      <c r="O28" s="67"/>
      <c r="P28" s="67"/>
      <c r="Q28" s="67"/>
      <c r="R28" s="67"/>
    </row>
    <row r="29" spans="1:20" customFormat="1" ht="11.25" customHeight="1" x14ac:dyDescent="0.25">
      <c r="A29" s="79" t="s">
        <v>39</v>
      </c>
      <c r="B29" s="58"/>
      <c r="C29" s="54"/>
      <c r="D29" s="80"/>
      <c r="E29" s="80"/>
      <c r="F29" s="80"/>
      <c r="G29" s="81"/>
      <c r="H29" s="80"/>
      <c r="I29" s="80"/>
      <c r="J29" s="82"/>
      <c r="K29" s="58"/>
      <c r="L29" s="58"/>
      <c r="O29" s="67"/>
      <c r="P29" s="67"/>
      <c r="Q29" s="83"/>
      <c r="R29" s="67"/>
    </row>
    <row r="30" spans="1:20" s="1" customFormat="1" ht="11.25" customHeight="1" x14ac:dyDescent="0.2">
      <c r="A30" s="84"/>
      <c r="B30" s="85"/>
      <c r="C30" s="54"/>
      <c r="D30" s="54"/>
      <c r="E30" s="54"/>
      <c r="F30" s="54"/>
      <c r="G30" s="86"/>
      <c r="H30" s="54"/>
      <c r="I30" s="61"/>
      <c r="J30" s="44"/>
      <c r="K30" s="69"/>
      <c r="L30" s="69"/>
      <c r="M30" s="7"/>
      <c r="N30" s="7"/>
      <c r="O30" s="7"/>
      <c r="P30" s="7"/>
      <c r="Q30" s="7"/>
    </row>
    <row r="31" spans="1:20" s="1" customFormat="1" ht="12" customHeight="1" x14ac:dyDescent="0.2">
      <c r="A31" s="87"/>
      <c r="B31" s="88"/>
      <c r="C31" s="87"/>
      <c r="D31" s="87"/>
      <c r="E31" s="87"/>
      <c r="F31" s="87"/>
      <c r="G31" s="87"/>
      <c r="H31" s="87"/>
      <c r="I31" s="89"/>
      <c r="J31" s="90"/>
      <c r="K31" s="7"/>
      <c r="L31" s="7"/>
      <c r="M31" s="7"/>
      <c r="N31" s="7"/>
      <c r="O31" s="7"/>
      <c r="P31" s="7"/>
    </row>
    <row r="32" spans="1:20" s="1" customFormat="1" ht="11.25" customHeight="1" x14ac:dyDescent="0.2">
      <c r="A32" s="92"/>
      <c r="B32" s="91" t="s">
        <v>40</v>
      </c>
      <c r="C32" s="92" t="s">
        <v>54</v>
      </c>
      <c r="D32" s="92" t="s">
        <v>234</v>
      </c>
      <c r="E32" s="92" t="s">
        <v>41</v>
      </c>
      <c r="F32" s="92" t="s">
        <v>69</v>
      </c>
      <c r="G32" s="121" t="s">
        <v>42</v>
      </c>
      <c r="H32" s="93" t="s">
        <v>43</v>
      </c>
      <c r="I32" s="94" t="s">
        <v>44</v>
      </c>
      <c r="J32" s="94" t="s">
        <v>45</v>
      </c>
      <c r="K32" s="94" t="s">
        <v>46</v>
      </c>
      <c r="L32" s="94" t="s">
        <v>47</v>
      </c>
      <c r="M32" s="94" t="s">
        <v>38</v>
      </c>
      <c r="N32" s="94" t="s">
        <v>38</v>
      </c>
      <c r="O32" s="94" t="s">
        <v>48</v>
      </c>
      <c r="P32" s="94" t="s">
        <v>49</v>
      </c>
      <c r="Q32" s="94" t="s">
        <v>39</v>
      </c>
      <c r="R32" s="94" t="s">
        <v>39</v>
      </c>
      <c r="S32" s="94" t="s">
        <v>50</v>
      </c>
      <c r="T32" s="94" t="s">
        <v>51</v>
      </c>
    </row>
    <row r="33" spans="1:20" s="109" customFormat="1" ht="11.25" customHeight="1" x14ac:dyDescent="0.2">
      <c r="A33" s="102">
        <v>25</v>
      </c>
      <c r="B33" s="102" t="s">
        <v>55</v>
      </c>
      <c r="C33" s="114">
        <v>0.47399999999999998</v>
      </c>
      <c r="D33" s="137"/>
      <c r="E33" s="1"/>
      <c r="F33" s="103">
        <v>3.1950847499999999</v>
      </c>
      <c r="G33" s="114">
        <v>-21.62635679843822</v>
      </c>
      <c r="H33" s="122">
        <f>$B$26*G33+$D$26</f>
        <v>-26.004468355605521</v>
      </c>
      <c r="I33" s="105">
        <f t="shared" ref="I33:I80" si="0">$B$27*E33+$D$27</f>
        <v>0</v>
      </c>
      <c r="J33" s="106">
        <f t="shared" ref="J33:J80" si="1">(F33)/C33</f>
        <v>6.7406851265822789</v>
      </c>
      <c r="K33" s="106">
        <f>H$14</f>
        <v>44.65</v>
      </c>
      <c r="L33" s="106">
        <f>I$14</f>
        <v>2.83</v>
      </c>
      <c r="M33" s="106">
        <f t="shared" ref="M33:M38" si="2">C33*(K33/100)</f>
        <v>0.211641</v>
      </c>
      <c r="N33" s="169">
        <f t="shared" ref="N33:N80" si="3">F33*$B$28+$D$28</f>
        <v>0.21350834333399998</v>
      </c>
      <c r="O33" s="110">
        <f t="shared" ref="O33:O80" si="4">N33/C33*100</f>
        <v>45.043954289873419</v>
      </c>
      <c r="P33" s="106">
        <f t="shared" ref="P33:P80" si="5">D33/C33</f>
        <v>0</v>
      </c>
      <c r="Q33" s="106">
        <f t="shared" ref="Q33:Q37" si="6">C33*(L33/100)</f>
        <v>1.3414200000000001E-2</v>
      </c>
      <c r="R33" s="107">
        <f t="shared" ref="R33:R80" si="7">D33*$B$29+$D$29</f>
        <v>0</v>
      </c>
      <c r="S33" s="108">
        <f t="shared" ref="S33:S80" si="8">R33/C33*100</f>
        <v>0</v>
      </c>
      <c r="T33" s="105" t="e">
        <f t="shared" ref="T33:T80" si="9">N33/R33</f>
        <v>#DIV/0!</v>
      </c>
    </row>
    <row r="34" spans="1:20" s="109" customFormat="1" ht="11.25" customHeight="1" x14ac:dyDescent="0.2">
      <c r="A34" s="115">
        <v>26</v>
      </c>
      <c r="B34" s="115" t="s">
        <v>56</v>
      </c>
      <c r="C34" s="116">
        <v>0.76500000000000001</v>
      </c>
      <c r="D34" s="138"/>
      <c r="E34" s="1"/>
      <c r="F34" s="116">
        <v>5.1217490000000003</v>
      </c>
      <c r="G34" s="116">
        <v>-21.579290668996734</v>
      </c>
      <c r="H34" s="122">
        <f t="shared" ref="H34:H80" si="10">$B$26*G34+$D$26</f>
        <v>-25.957402226164035</v>
      </c>
      <c r="I34" s="105">
        <f t="shared" si="0"/>
        <v>0</v>
      </c>
      <c r="J34" s="106">
        <f t="shared" si="1"/>
        <v>6.6950967320261441</v>
      </c>
      <c r="K34" s="106">
        <f t="shared" ref="K34:L37" si="11">H$14</f>
        <v>44.65</v>
      </c>
      <c r="L34" s="106">
        <f t="shared" si="11"/>
        <v>2.83</v>
      </c>
      <c r="M34" s="106">
        <f t="shared" si="2"/>
        <v>0.3415725</v>
      </c>
      <c r="N34" s="169">
        <f t="shared" si="3"/>
        <v>0.34225575517599999</v>
      </c>
      <c r="O34" s="110">
        <f t="shared" si="4"/>
        <v>44.739314402091502</v>
      </c>
      <c r="P34" s="106">
        <f t="shared" si="5"/>
        <v>0</v>
      </c>
      <c r="Q34" s="106">
        <f t="shared" si="6"/>
        <v>2.1649500000000002E-2</v>
      </c>
      <c r="R34" s="107">
        <f t="shared" si="7"/>
        <v>0</v>
      </c>
      <c r="S34" s="108">
        <f t="shared" si="8"/>
        <v>0</v>
      </c>
      <c r="T34" s="105" t="e">
        <f t="shared" si="9"/>
        <v>#DIV/0!</v>
      </c>
    </row>
    <row r="35" spans="1:20" s="109" customFormat="1" ht="11.25" customHeight="1" x14ac:dyDescent="0.2">
      <c r="A35" s="102">
        <v>27</v>
      </c>
      <c r="B35" s="102" t="s">
        <v>57</v>
      </c>
      <c r="C35" s="114">
        <v>1.1779999999999999</v>
      </c>
      <c r="D35" s="137"/>
      <c r="E35" s="1"/>
      <c r="F35" s="103">
        <v>7.8886000000000003</v>
      </c>
      <c r="G35" s="114">
        <v>-21.619715876435848</v>
      </c>
      <c r="H35" s="122">
        <f t="shared" si="10"/>
        <v>-25.997827433603149</v>
      </c>
      <c r="I35" s="105">
        <f t="shared" si="0"/>
        <v>0</v>
      </c>
      <c r="J35" s="106">
        <f t="shared" si="1"/>
        <v>6.6966044142614605</v>
      </c>
      <c r="K35" s="106">
        <f t="shared" si="11"/>
        <v>44.65</v>
      </c>
      <c r="L35" s="106">
        <f t="shared" si="11"/>
        <v>2.83</v>
      </c>
      <c r="M35" s="106">
        <f t="shared" si="2"/>
        <v>0.52597700000000003</v>
      </c>
      <c r="N35" s="169">
        <f t="shared" si="3"/>
        <v>0.52714780640000003</v>
      </c>
      <c r="O35" s="110">
        <f t="shared" si="4"/>
        <v>44.749389337860784</v>
      </c>
      <c r="P35" s="106">
        <f t="shared" si="5"/>
        <v>0</v>
      </c>
      <c r="Q35" s="106">
        <f t="shared" si="6"/>
        <v>3.3337400000000003E-2</v>
      </c>
      <c r="R35" s="107">
        <f t="shared" si="7"/>
        <v>0</v>
      </c>
      <c r="S35" s="108">
        <f t="shared" si="8"/>
        <v>0</v>
      </c>
      <c r="T35" s="105" t="e">
        <f t="shared" si="9"/>
        <v>#DIV/0!</v>
      </c>
    </row>
    <row r="36" spans="1:20" s="109" customFormat="1" ht="11.25" customHeight="1" x14ac:dyDescent="0.2">
      <c r="A36" s="115">
        <v>28</v>
      </c>
      <c r="B36" s="115" t="s">
        <v>58</v>
      </c>
      <c r="C36" s="116">
        <v>0.52700000000000002</v>
      </c>
      <c r="D36" s="138"/>
      <c r="E36" s="1"/>
      <c r="F36" s="116">
        <v>3.5121617500000002</v>
      </c>
      <c r="G36" s="116">
        <v>-21.623546892412175</v>
      </c>
      <c r="H36" s="122">
        <f t="shared" si="10"/>
        <v>-26.001658449579477</v>
      </c>
      <c r="I36" s="105">
        <f t="shared" si="0"/>
        <v>0</v>
      </c>
      <c r="J36" s="106">
        <f t="shared" si="1"/>
        <v>6.664443548387097</v>
      </c>
      <c r="K36" s="106">
        <f t="shared" si="11"/>
        <v>44.65</v>
      </c>
      <c r="L36" s="106">
        <f t="shared" si="11"/>
        <v>2.83</v>
      </c>
      <c r="M36" s="106">
        <f t="shared" si="2"/>
        <v>0.23530550000000003</v>
      </c>
      <c r="N36" s="169">
        <f t="shared" si="3"/>
        <v>0.234696696782</v>
      </c>
      <c r="O36" s="110">
        <f t="shared" si="4"/>
        <v>44.534477567741931</v>
      </c>
      <c r="P36" s="106">
        <f t="shared" si="5"/>
        <v>0</v>
      </c>
      <c r="Q36" s="106">
        <f t="shared" si="6"/>
        <v>1.4914100000000001E-2</v>
      </c>
      <c r="R36" s="107">
        <f t="shared" si="7"/>
        <v>0</v>
      </c>
      <c r="S36" s="108">
        <f t="shared" si="8"/>
        <v>0</v>
      </c>
      <c r="T36" s="105" t="e">
        <f t="shared" si="9"/>
        <v>#DIV/0!</v>
      </c>
    </row>
    <row r="37" spans="1:20" s="109" customFormat="1" ht="11.25" customHeight="1" x14ac:dyDescent="0.2">
      <c r="A37" s="102">
        <v>29</v>
      </c>
      <c r="B37" s="102" t="s">
        <v>59</v>
      </c>
      <c r="C37" s="114">
        <v>1.1080000000000001</v>
      </c>
      <c r="D37" s="137"/>
      <c r="E37" s="1"/>
      <c r="F37" s="103">
        <v>7.3743334999999997</v>
      </c>
      <c r="G37" s="114">
        <v>-21.609016140202165</v>
      </c>
      <c r="H37" s="122">
        <f t="shared" si="10"/>
        <v>-25.987127697369466</v>
      </c>
      <c r="I37" s="105">
        <f t="shared" si="0"/>
        <v>0</v>
      </c>
      <c r="J37" s="106">
        <f t="shared" si="1"/>
        <v>6.6555356498194937</v>
      </c>
      <c r="K37" s="106">
        <f t="shared" si="11"/>
        <v>44.65</v>
      </c>
      <c r="L37" s="106">
        <f t="shared" si="11"/>
        <v>2.83</v>
      </c>
      <c r="M37" s="106">
        <f t="shared" si="2"/>
        <v>0.49472200000000005</v>
      </c>
      <c r="N37" s="169">
        <f t="shared" si="3"/>
        <v>0.49278246180399993</v>
      </c>
      <c r="O37" s="110">
        <f t="shared" si="4"/>
        <v>44.474951426353783</v>
      </c>
      <c r="P37" s="106">
        <f t="shared" si="5"/>
        <v>0</v>
      </c>
      <c r="Q37" s="106">
        <f t="shared" si="6"/>
        <v>3.1356400000000006E-2</v>
      </c>
      <c r="R37" s="107">
        <f t="shared" si="7"/>
        <v>0</v>
      </c>
      <c r="S37" s="108">
        <f t="shared" si="8"/>
        <v>0</v>
      </c>
      <c r="T37" s="105" t="e">
        <f t="shared" si="9"/>
        <v>#DIV/0!</v>
      </c>
    </row>
    <row r="38" spans="1:20" s="151" customFormat="1" ht="11.25" customHeight="1" x14ac:dyDescent="0.2">
      <c r="A38" s="115">
        <v>30</v>
      </c>
      <c r="B38" s="115" t="s">
        <v>78</v>
      </c>
      <c r="C38" s="116">
        <v>2.04</v>
      </c>
      <c r="D38" s="138"/>
      <c r="E38" s="1"/>
      <c r="F38" s="116">
        <v>1.0061453124999999</v>
      </c>
      <c r="G38" s="116">
        <v>-15.147932933937696</v>
      </c>
      <c r="H38" s="153">
        <f t="shared" si="10"/>
        <v>-19.526044491104997</v>
      </c>
      <c r="I38" s="154">
        <f t="shared" si="0"/>
        <v>0</v>
      </c>
      <c r="J38" s="155">
        <f t="shared" si="1"/>
        <v>0.4932084865196078</v>
      </c>
      <c r="K38" s="155">
        <f>$H$13</f>
        <v>3.3479999999999999</v>
      </c>
      <c r="L38" s="155"/>
      <c r="M38" s="155">
        <f t="shared" si="2"/>
        <v>6.829919999999999E-2</v>
      </c>
      <c r="N38" s="170">
        <f t="shared" si="3"/>
        <v>6.7234654362499993E-2</v>
      </c>
      <c r="O38" s="157">
        <f t="shared" si="4"/>
        <v>3.2958163903186266</v>
      </c>
      <c r="P38" s="155">
        <f t="shared" si="5"/>
        <v>0</v>
      </c>
      <c r="Q38" s="155"/>
      <c r="R38" s="156">
        <f t="shared" si="7"/>
        <v>0</v>
      </c>
      <c r="S38" s="158">
        <f t="shared" si="8"/>
        <v>0</v>
      </c>
      <c r="T38" s="154" t="e">
        <f t="shared" si="9"/>
        <v>#DIV/0!</v>
      </c>
    </row>
    <row r="39" spans="1:20" s="100" customFormat="1" ht="11.25" customHeight="1" x14ac:dyDescent="0.2">
      <c r="A39" s="102">
        <v>31</v>
      </c>
      <c r="B39" s="102" t="s">
        <v>156</v>
      </c>
      <c r="C39" s="114">
        <v>6.4290000000000003</v>
      </c>
      <c r="D39" s="165">
        <f>C39-$H$26</f>
        <v>0.38459999999999983</v>
      </c>
      <c r="E39" s="1"/>
      <c r="F39" s="103">
        <v>0.74380124999999997</v>
      </c>
      <c r="G39" s="114">
        <v>-19.921961607201641</v>
      </c>
      <c r="H39" s="123">
        <f t="shared" si="10"/>
        <v>-24.300073164368943</v>
      </c>
      <c r="I39" s="95">
        <f t="shared" si="0"/>
        <v>0</v>
      </c>
      <c r="J39" s="96">
        <f t="shared" si="1"/>
        <v>0.1156947036864209</v>
      </c>
      <c r="K39" s="96"/>
      <c r="L39" s="96"/>
      <c r="M39" s="96"/>
      <c r="N39" s="171">
        <f t="shared" si="3"/>
        <v>4.9703774729999997E-2</v>
      </c>
      <c r="O39" s="98">
        <f>N39/D39*100</f>
        <v>12.923498369734796</v>
      </c>
      <c r="P39" s="96">
        <f t="shared" si="5"/>
        <v>5.9822678488100765E-2</v>
      </c>
      <c r="Q39" s="96"/>
      <c r="R39" s="97">
        <f t="shared" si="7"/>
        <v>0</v>
      </c>
      <c r="S39" s="99">
        <f t="shared" si="8"/>
        <v>0</v>
      </c>
      <c r="T39" s="95" t="e">
        <f t="shared" si="9"/>
        <v>#DIV/0!</v>
      </c>
    </row>
    <row r="40" spans="1:20" s="100" customFormat="1" ht="11.25" customHeight="1" x14ac:dyDescent="0.2">
      <c r="A40" s="115">
        <v>32</v>
      </c>
      <c r="B40" s="115" t="s">
        <v>157</v>
      </c>
      <c r="C40" s="116">
        <v>6.4740000000000002</v>
      </c>
      <c r="D40" s="165">
        <f t="shared" ref="D40:D50" si="12">C40-$H$26</f>
        <v>0.42959999999999976</v>
      </c>
      <c r="E40" s="1"/>
      <c r="F40" s="116">
        <v>0.82890724999999998</v>
      </c>
      <c r="G40" s="116">
        <v>-19.987783045901818</v>
      </c>
      <c r="H40" s="123">
        <f t="shared" si="10"/>
        <v>-24.365894603069119</v>
      </c>
      <c r="I40" s="95">
        <f t="shared" si="0"/>
        <v>0</v>
      </c>
      <c r="J40" s="96">
        <f t="shared" si="1"/>
        <v>0.12803633765832562</v>
      </c>
      <c r="K40" s="96"/>
      <c r="L40" s="96"/>
      <c r="M40" s="96"/>
      <c r="N40" s="171">
        <f t="shared" si="3"/>
        <v>5.5390898073999995E-2</v>
      </c>
      <c r="O40" s="98">
        <f t="shared" ref="O40:O50" si="13">N40/D40*100</f>
        <v>12.893598248137808</v>
      </c>
      <c r="P40" s="96">
        <f t="shared" si="5"/>
        <v>6.6357738646895231E-2</v>
      </c>
      <c r="Q40" s="96"/>
      <c r="R40" s="97">
        <f t="shared" si="7"/>
        <v>0</v>
      </c>
      <c r="S40" s="99">
        <f t="shared" si="8"/>
        <v>0</v>
      </c>
      <c r="T40" s="95" t="e">
        <f t="shared" si="9"/>
        <v>#DIV/0!</v>
      </c>
    </row>
    <row r="41" spans="1:20" s="100" customFormat="1" ht="11.25" customHeight="1" x14ac:dyDescent="0.2">
      <c r="A41" s="102">
        <v>33</v>
      </c>
      <c r="B41" s="102" t="s">
        <v>158</v>
      </c>
      <c r="C41" s="114">
        <v>6.3470000000000004</v>
      </c>
      <c r="D41" s="165">
        <f t="shared" si="12"/>
        <v>0.30259999999999998</v>
      </c>
      <c r="E41" s="1"/>
      <c r="F41" s="103">
        <v>1.1889931250000001</v>
      </c>
      <c r="G41" s="114">
        <v>-20.060101094285663</v>
      </c>
      <c r="H41" s="123">
        <f t="shared" si="10"/>
        <v>-24.438212651452965</v>
      </c>
      <c r="I41" s="95">
        <f t="shared" si="0"/>
        <v>0</v>
      </c>
      <c r="J41" s="96">
        <f t="shared" si="1"/>
        <v>0.18733151488892391</v>
      </c>
      <c r="K41" s="96"/>
      <c r="L41" s="96"/>
      <c r="M41" s="96"/>
      <c r="N41" s="171">
        <f t="shared" si="3"/>
        <v>7.9453276584999996E-2</v>
      </c>
      <c r="O41" s="98">
        <f t="shared" si="13"/>
        <v>26.256866022802377</v>
      </c>
      <c r="P41" s="96">
        <f t="shared" si="5"/>
        <v>4.7676067433433111E-2</v>
      </c>
      <c r="Q41" s="96"/>
      <c r="R41" s="97">
        <f t="shared" si="7"/>
        <v>0</v>
      </c>
      <c r="S41" s="99">
        <f t="shared" si="8"/>
        <v>0</v>
      </c>
      <c r="T41" s="95" t="e">
        <f t="shared" si="9"/>
        <v>#DIV/0!</v>
      </c>
    </row>
    <row r="42" spans="1:20" s="7" customFormat="1" ht="11.25" customHeight="1" x14ac:dyDescent="0.2">
      <c r="A42" s="115">
        <v>34</v>
      </c>
      <c r="B42" s="115" t="s">
        <v>159</v>
      </c>
      <c r="C42" s="116">
        <v>6.4610000000000003</v>
      </c>
      <c r="D42" s="165">
        <f t="shared" si="12"/>
        <v>0.41659999999999986</v>
      </c>
      <c r="E42" s="1"/>
      <c r="F42" s="116">
        <v>0.72667356250000004</v>
      </c>
      <c r="G42" s="116">
        <v>-19.250061841213491</v>
      </c>
      <c r="H42" s="123">
        <f t="shared" si="10"/>
        <v>-23.628173398380792</v>
      </c>
      <c r="I42" s="95">
        <f t="shared" si="0"/>
        <v>0</v>
      </c>
      <c r="J42" s="96">
        <f t="shared" si="1"/>
        <v>0.11247075723572203</v>
      </c>
      <c r="K42" s="96"/>
      <c r="L42" s="96"/>
      <c r="M42" s="96"/>
      <c r="N42" s="171">
        <f t="shared" si="3"/>
        <v>4.85592341405E-2</v>
      </c>
      <c r="O42" s="98">
        <f t="shared" si="13"/>
        <v>11.656081166706677</v>
      </c>
      <c r="P42" s="96">
        <f t="shared" si="5"/>
        <v>6.4479182789041925E-2</v>
      </c>
      <c r="Q42" s="96"/>
      <c r="R42" s="97">
        <f t="shared" si="7"/>
        <v>0</v>
      </c>
      <c r="S42" s="99">
        <f t="shared" si="8"/>
        <v>0</v>
      </c>
      <c r="T42" s="95" t="e">
        <f t="shared" si="9"/>
        <v>#DIV/0!</v>
      </c>
    </row>
    <row r="43" spans="1:20" s="100" customFormat="1" ht="11.25" customHeight="1" x14ac:dyDescent="0.2">
      <c r="A43" s="102">
        <v>35</v>
      </c>
      <c r="B43" s="102" t="s">
        <v>160</v>
      </c>
      <c r="C43" s="114">
        <v>6.39</v>
      </c>
      <c r="D43" s="165">
        <f t="shared" si="12"/>
        <v>0.34559999999999924</v>
      </c>
      <c r="E43" s="1"/>
      <c r="F43" s="103">
        <v>0.71597556250000005</v>
      </c>
      <c r="G43" s="114">
        <v>-19.455597165988252</v>
      </c>
      <c r="H43" s="123">
        <f t="shared" si="10"/>
        <v>-23.833708723155553</v>
      </c>
      <c r="I43" s="95">
        <f t="shared" si="0"/>
        <v>0</v>
      </c>
      <c r="J43" s="96">
        <f t="shared" si="1"/>
        <v>0.11204625391236309</v>
      </c>
      <c r="K43" s="96"/>
      <c r="L43" s="96"/>
      <c r="M43" s="96"/>
      <c r="N43" s="171">
        <f t="shared" si="3"/>
        <v>4.7844350988499998E-2</v>
      </c>
      <c r="O43" s="98">
        <f t="shared" si="13"/>
        <v>13.843851559172485</v>
      </c>
      <c r="P43" s="96">
        <f t="shared" si="5"/>
        <v>5.4084507042253406E-2</v>
      </c>
      <c r="Q43" s="96"/>
      <c r="R43" s="97">
        <f t="shared" si="7"/>
        <v>0</v>
      </c>
      <c r="S43" s="99">
        <f t="shared" si="8"/>
        <v>0</v>
      </c>
      <c r="T43" s="95" t="e">
        <f t="shared" si="9"/>
        <v>#DIV/0!</v>
      </c>
    </row>
    <row r="44" spans="1:20" s="100" customFormat="1" ht="11.25" customHeight="1" x14ac:dyDescent="0.2">
      <c r="A44" s="115">
        <v>36</v>
      </c>
      <c r="B44" s="115" t="s">
        <v>161</v>
      </c>
      <c r="C44" s="116">
        <v>6.5229999999999997</v>
      </c>
      <c r="D44" s="165">
        <f t="shared" si="12"/>
        <v>0.47859999999999925</v>
      </c>
      <c r="E44" s="1"/>
      <c r="F44" s="116">
        <v>0.70485493749999995</v>
      </c>
      <c r="G44" s="116">
        <v>-19.368072677623566</v>
      </c>
      <c r="H44" s="123">
        <f t="shared" si="10"/>
        <v>-23.746184234790867</v>
      </c>
      <c r="I44" s="95">
        <f t="shared" si="0"/>
        <v>0</v>
      </c>
      <c r="J44" s="96">
        <f t="shared" si="1"/>
        <v>0.10805686608922274</v>
      </c>
      <c r="K44" s="96"/>
      <c r="L44" s="96"/>
      <c r="M44" s="96"/>
      <c r="N44" s="171">
        <f t="shared" si="3"/>
        <v>4.7101226343499995E-2</v>
      </c>
      <c r="O44" s="98">
        <f t="shared" si="13"/>
        <v>9.8414597458211599</v>
      </c>
      <c r="P44" s="96">
        <f t="shared" si="5"/>
        <v>7.3371148244672585E-2</v>
      </c>
      <c r="Q44" s="96"/>
      <c r="R44" s="97">
        <f t="shared" si="7"/>
        <v>0</v>
      </c>
      <c r="S44" s="99">
        <f t="shared" si="8"/>
        <v>0</v>
      </c>
      <c r="T44" s="95" t="e">
        <f t="shared" si="9"/>
        <v>#DIV/0!</v>
      </c>
    </row>
    <row r="45" spans="1:20" s="100" customFormat="1" ht="11.25" customHeight="1" x14ac:dyDescent="0.2">
      <c r="A45" s="102">
        <v>37</v>
      </c>
      <c r="B45" s="102" t="s">
        <v>162</v>
      </c>
      <c r="C45" s="114">
        <v>6.5149999999999997</v>
      </c>
      <c r="D45" s="165">
        <f t="shared" si="12"/>
        <v>0.47059999999999924</v>
      </c>
      <c r="E45" s="1"/>
      <c r="F45" s="103">
        <v>1.2937514999999999</v>
      </c>
      <c r="G45" s="114">
        <v>-22.886731838598116</v>
      </c>
      <c r="H45" s="123">
        <f t="shared" si="10"/>
        <v>-27.264843395765418</v>
      </c>
      <c r="I45" s="95">
        <f t="shared" si="0"/>
        <v>0</v>
      </c>
      <c r="J45" s="96">
        <f t="shared" si="1"/>
        <v>0.19858042977743667</v>
      </c>
      <c r="K45" s="96"/>
      <c r="L45" s="96"/>
      <c r="M45" s="96"/>
      <c r="N45" s="171">
        <f t="shared" si="3"/>
        <v>8.645365023599999E-2</v>
      </c>
      <c r="O45" s="98">
        <f t="shared" si="13"/>
        <v>18.370941401614989</v>
      </c>
      <c r="P45" s="96">
        <f t="shared" si="5"/>
        <v>7.2233307751342943E-2</v>
      </c>
      <c r="Q45" s="96"/>
      <c r="R45" s="97">
        <f t="shared" si="7"/>
        <v>0</v>
      </c>
      <c r="S45" s="99">
        <f t="shared" si="8"/>
        <v>0</v>
      </c>
      <c r="T45" s="95" t="e">
        <f t="shared" si="9"/>
        <v>#DIV/0!</v>
      </c>
    </row>
    <row r="46" spans="1:20" s="100" customFormat="1" ht="11.25" customHeight="1" x14ac:dyDescent="0.2">
      <c r="A46" s="115">
        <v>38</v>
      </c>
      <c r="B46" s="115" t="s">
        <v>163</v>
      </c>
      <c r="C46" s="116">
        <v>6.6740000000000004</v>
      </c>
      <c r="D46" s="165">
        <f t="shared" si="12"/>
        <v>0.62959999999999994</v>
      </c>
      <c r="E46" s="1"/>
      <c r="F46" s="116">
        <v>1.3284705000000001</v>
      </c>
      <c r="G46" s="116">
        <v>-22.761520258847732</v>
      </c>
      <c r="H46" s="123">
        <f t="shared" si="10"/>
        <v>-27.139631816015033</v>
      </c>
      <c r="I46" s="95">
        <f t="shared" si="0"/>
        <v>0</v>
      </c>
      <c r="J46" s="96">
        <f t="shared" si="1"/>
        <v>0.19905161821995804</v>
      </c>
      <c r="K46" s="96"/>
      <c r="L46" s="96"/>
      <c r="M46" s="96"/>
      <c r="N46" s="171">
        <f t="shared" si="3"/>
        <v>8.8773712692000004E-2</v>
      </c>
      <c r="O46" s="98">
        <f t="shared" si="13"/>
        <v>14.100017898983483</v>
      </c>
      <c r="P46" s="96">
        <f t="shared" si="5"/>
        <v>9.4336230146838465E-2</v>
      </c>
      <c r="Q46" s="96"/>
      <c r="R46" s="97">
        <f t="shared" si="7"/>
        <v>0</v>
      </c>
      <c r="S46" s="99">
        <f t="shared" si="8"/>
        <v>0</v>
      </c>
      <c r="T46" s="95" t="e">
        <f t="shared" si="9"/>
        <v>#DIV/0!</v>
      </c>
    </row>
    <row r="47" spans="1:20" s="100" customFormat="1" ht="11.25" customHeight="1" x14ac:dyDescent="0.2">
      <c r="A47" s="102">
        <v>39</v>
      </c>
      <c r="B47" s="102" t="s">
        <v>164</v>
      </c>
      <c r="C47" s="114">
        <v>6.7530000000000001</v>
      </c>
      <c r="D47" s="165">
        <f t="shared" si="12"/>
        <v>0.70859999999999967</v>
      </c>
      <c r="E47" s="1"/>
      <c r="F47" s="103">
        <v>1.4428441249999999</v>
      </c>
      <c r="G47" s="114">
        <v>-22.58531785659871</v>
      </c>
      <c r="H47" s="123">
        <f t="shared" si="10"/>
        <v>-26.963429413766011</v>
      </c>
      <c r="I47" s="95">
        <f t="shared" si="0"/>
        <v>0</v>
      </c>
      <c r="J47" s="96">
        <f t="shared" si="1"/>
        <v>0.21365972530727081</v>
      </c>
      <c r="K47" s="96"/>
      <c r="L47" s="96"/>
      <c r="M47" s="96"/>
      <c r="N47" s="171">
        <f t="shared" si="3"/>
        <v>9.6416615808999989E-2</v>
      </c>
      <c r="O47" s="98">
        <f t="shared" si="13"/>
        <v>13.60663502808355</v>
      </c>
      <c r="P47" s="96">
        <f t="shared" si="5"/>
        <v>0.10493114171479337</v>
      </c>
      <c r="Q47" s="96"/>
      <c r="R47" s="97">
        <f t="shared" si="7"/>
        <v>0</v>
      </c>
      <c r="S47" s="99">
        <f t="shared" si="8"/>
        <v>0</v>
      </c>
      <c r="T47" s="95" t="e">
        <f t="shared" si="9"/>
        <v>#DIV/0!</v>
      </c>
    </row>
    <row r="48" spans="1:20" s="100" customFormat="1" ht="11.25" customHeight="1" x14ac:dyDescent="0.2">
      <c r="A48" s="115">
        <v>40</v>
      </c>
      <c r="B48" s="115" t="s">
        <v>165</v>
      </c>
      <c r="C48" s="116">
        <v>6.0650000000000004</v>
      </c>
      <c r="D48" s="165">
        <f t="shared" si="12"/>
        <v>2.0599999999999952E-2</v>
      </c>
      <c r="E48" s="1"/>
      <c r="F48" s="116">
        <v>0.55161249999999995</v>
      </c>
      <c r="G48" s="116">
        <v>-14.765671908902881</v>
      </c>
      <c r="H48" s="123">
        <f t="shared" si="10"/>
        <v>-19.143783466070182</v>
      </c>
      <c r="I48" s="95">
        <f t="shared" si="0"/>
        <v>0</v>
      </c>
      <c r="J48" s="96">
        <f t="shared" si="1"/>
        <v>9.095012366034623E-2</v>
      </c>
      <c r="K48" s="96"/>
      <c r="L48" s="96"/>
      <c r="M48" s="96"/>
      <c r="N48" s="171">
        <f t="shared" si="3"/>
        <v>3.686095369999999E-2</v>
      </c>
      <c r="O48" s="98">
        <f t="shared" si="13"/>
        <v>178.93666844660231</v>
      </c>
      <c r="P48" s="96">
        <f t="shared" si="5"/>
        <v>3.3965375103050207E-3</v>
      </c>
      <c r="Q48" s="96"/>
      <c r="R48" s="97">
        <f t="shared" si="7"/>
        <v>0</v>
      </c>
      <c r="S48" s="99">
        <f t="shared" si="8"/>
        <v>0</v>
      </c>
      <c r="T48" s="95" t="e">
        <f t="shared" si="9"/>
        <v>#DIV/0!</v>
      </c>
    </row>
    <row r="49" spans="1:20" s="100" customFormat="1" ht="11.25" customHeight="1" x14ac:dyDescent="0.2">
      <c r="A49" s="102">
        <v>41</v>
      </c>
      <c r="B49" s="102" t="s">
        <v>166</v>
      </c>
      <c r="C49" s="114">
        <v>5.915</v>
      </c>
      <c r="D49" s="165">
        <f t="shared" si="12"/>
        <v>-0.1294000000000004</v>
      </c>
      <c r="E49" s="1"/>
      <c r="F49" s="103">
        <v>0.5295045625</v>
      </c>
      <c r="G49" s="114">
        <v>-14.8966924279742</v>
      </c>
      <c r="H49" s="123">
        <f t="shared" si="10"/>
        <v>-19.274803985141503</v>
      </c>
      <c r="I49" s="95">
        <f t="shared" si="0"/>
        <v>0</v>
      </c>
      <c r="J49" s="96">
        <f t="shared" si="1"/>
        <v>8.9518945477599324E-2</v>
      </c>
      <c r="K49" s="96"/>
      <c r="L49" s="96"/>
      <c r="M49" s="96"/>
      <c r="N49" s="171">
        <f>F49*$B$28+$D$28</f>
        <v>3.5383612884499996E-2</v>
      </c>
      <c r="O49" s="98">
        <f t="shared" si="13"/>
        <v>-27.3443685351622</v>
      </c>
      <c r="P49" s="96">
        <f t="shared" si="5"/>
        <v>-2.18765849535081E-2</v>
      </c>
      <c r="Q49" s="96"/>
      <c r="R49" s="97">
        <f t="shared" si="7"/>
        <v>0</v>
      </c>
      <c r="S49" s="99">
        <f t="shared" si="8"/>
        <v>0</v>
      </c>
      <c r="T49" s="95" t="e">
        <f t="shared" si="9"/>
        <v>#DIV/0!</v>
      </c>
    </row>
    <row r="50" spans="1:20" s="100" customFormat="1" ht="11.25" customHeight="1" x14ac:dyDescent="0.2">
      <c r="A50" s="115">
        <v>42</v>
      </c>
      <c r="B50" s="115" t="s">
        <v>167</v>
      </c>
      <c r="C50" s="116">
        <v>6.2510000000000003</v>
      </c>
      <c r="D50" s="165">
        <f t="shared" si="12"/>
        <v>0.20659999999999989</v>
      </c>
      <c r="E50" s="1"/>
      <c r="F50" s="116">
        <v>0.54746462500000004</v>
      </c>
      <c r="G50" s="116">
        <v>-14.807850856399021</v>
      </c>
      <c r="H50" s="123">
        <f t="shared" si="10"/>
        <v>-19.185962413566322</v>
      </c>
      <c r="I50" s="95">
        <f t="shared" si="0"/>
        <v>0</v>
      </c>
      <c r="J50" s="96">
        <f t="shared" si="1"/>
        <v>8.7580327147656373E-2</v>
      </c>
      <c r="K50" s="96"/>
      <c r="L50" s="96"/>
      <c r="M50" s="96"/>
      <c r="N50" s="171">
        <f t="shared" si="3"/>
        <v>3.6583776100999998E-2</v>
      </c>
      <c r="O50" s="98">
        <f t="shared" si="13"/>
        <v>17.707539255082295</v>
      </c>
      <c r="P50" s="96">
        <f t="shared" si="5"/>
        <v>3.3050711886098205E-2</v>
      </c>
      <c r="Q50" s="96"/>
      <c r="R50" s="97">
        <f t="shared" si="7"/>
        <v>0</v>
      </c>
      <c r="S50" s="99">
        <f t="shared" si="8"/>
        <v>0</v>
      </c>
      <c r="T50" s="95" t="e">
        <f t="shared" si="9"/>
        <v>#DIV/0!</v>
      </c>
    </row>
    <row r="51" spans="1:20" s="109" customFormat="1" ht="11.25" customHeight="1" x14ac:dyDescent="0.2">
      <c r="A51" s="102">
        <v>43</v>
      </c>
      <c r="B51" s="102" t="s">
        <v>70</v>
      </c>
      <c r="C51" s="114">
        <v>0.72399999999999998</v>
      </c>
      <c r="E51" s="1"/>
      <c r="F51" s="103">
        <v>4.8784859999999997</v>
      </c>
      <c r="G51" s="114">
        <v>-21.588188714971274</v>
      </c>
      <c r="H51" s="122">
        <f t="shared" si="10"/>
        <v>-25.966300272138575</v>
      </c>
      <c r="I51" s="105">
        <f t="shared" si="0"/>
        <v>0</v>
      </c>
      <c r="J51" s="106">
        <f t="shared" si="1"/>
        <v>6.7382403314917125</v>
      </c>
      <c r="K51" s="106">
        <f t="shared" ref="K51:L51" si="14">H$14</f>
        <v>44.65</v>
      </c>
      <c r="L51" s="106">
        <f t="shared" si="14"/>
        <v>2.83</v>
      </c>
      <c r="M51" s="106">
        <f t="shared" ref="M51:M52" si="15">C51*(K51/100)</f>
        <v>0.323266</v>
      </c>
      <c r="N51" s="169">
        <f t="shared" si="3"/>
        <v>0.32599994846399993</v>
      </c>
      <c r="O51" s="110">
        <f t="shared" ref="O51" si="16">N51/C51*100</f>
        <v>45.027617191160211</v>
      </c>
      <c r="P51" s="106">
        <f t="shared" si="5"/>
        <v>0</v>
      </c>
      <c r="Q51" s="106">
        <f t="shared" ref="Q51" si="17">C51*(L51/100)</f>
        <v>2.0489200000000003E-2</v>
      </c>
      <c r="R51" s="107">
        <f t="shared" si="7"/>
        <v>0</v>
      </c>
      <c r="S51" s="108">
        <f t="shared" si="8"/>
        <v>0</v>
      </c>
      <c r="T51" s="105" t="e">
        <f t="shared" si="9"/>
        <v>#DIV/0!</v>
      </c>
    </row>
    <row r="52" spans="1:20" s="151" customFormat="1" ht="11.25" customHeight="1" x14ac:dyDescent="0.2">
      <c r="A52" s="115">
        <v>44</v>
      </c>
      <c r="B52" s="115" t="s">
        <v>91</v>
      </c>
      <c r="C52" s="116">
        <v>2.0059999999999998</v>
      </c>
      <c r="E52" s="1"/>
      <c r="F52" s="116">
        <v>0.97650106250000002</v>
      </c>
      <c r="G52" s="116">
        <v>-14.945770475152747</v>
      </c>
      <c r="H52" s="153">
        <f>$B$26*G52+$D$26</f>
        <v>-19.32388203232005</v>
      </c>
      <c r="I52" s="154">
        <f>$B$27*E52+$D$27</f>
        <v>0</v>
      </c>
      <c r="J52" s="155">
        <f>(F52)/C52</f>
        <v>0.48679016076769699</v>
      </c>
      <c r="K52" s="155">
        <f>$H$13</f>
        <v>3.3479999999999999</v>
      </c>
      <c r="L52" s="155"/>
      <c r="M52" s="155">
        <f t="shared" si="15"/>
        <v>6.7160879999999978E-2</v>
      </c>
      <c r="N52" s="170">
        <f t="shared" si="3"/>
        <v>6.5253707000499997E-2</v>
      </c>
      <c r="O52" s="157">
        <f>N52/C52*100</f>
        <v>3.2529265703140582</v>
      </c>
      <c r="P52" s="155">
        <f>D52/C52</f>
        <v>0</v>
      </c>
      <c r="Q52" s="155"/>
      <c r="R52" s="156">
        <f>D52*$B$29+$D$29</f>
        <v>0</v>
      </c>
      <c r="S52" s="158">
        <f>R52/C52*100</f>
        <v>0</v>
      </c>
      <c r="T52" s="154" t="e">
        <f>N52/R52</f>
        <v>#DIV/0!</v>
      </c>
    </row>
    <row r="53" spans="1:20" s="100" customFormat="1" ht="11.25" customHeight="1" x14ac:dyDescent="0.2">
      <c r="A53" s="102">
        <v>45</v>
      </c>
      <c r="B53" s="102" t="s">
        <v>168</v>
      </c>
      <c r="C53" s="114">
        <v>6.68</v>
      </c>
      <c r="D53" s="165">
        <f t="shared" ref="D53:D64" si="18">C53-$H$26</f>
        <v>0.63559999999999928</v>
      </c>
      <c r="E53" s="1"/>
      <c r="F53" s="103">
        <v>0.62050806250000001</v>
      </c>
      <c r="G53" s="114">
        <v>-23.563069025842026</v>
      </c>
      <c r="H53" s="123">
        <f t="shared" si="10"/>
        <v>-27.941180583009327</v>
      </c>
      <c r="I53" s="95">
        <f t="shared" si="0"/>
        <v>0</v>
      </c>
      <c r="J53" s="96">
        <f t="shared" si="1"/>
        <v>9.2890428517964072E-2</v>
      </c>
      <c r="K53" s="96"/>
      <c r="L53" s="96"/>
      <c r="M53" s="96"/>
      <c r="N53" s="171">
        <f t="shared" si="3"/>
        <v>4.1464830768500001E-2</v>
      </c>
      <c r="O53" s="98">
        <f t="shared" ref="O53:O64" si="19">N53/D53*100</f>
        <v>6.5237304544524939</v>
      </c>
      <c r="P53" s="96">
        <f t="shared" ref="P53:P54" si="20">D53/C53</f>
        <v>9.5149700598802289E-2</v>
      </c>
      <c r="Q53" s="96"/>
      <c r="R53" s="97">
        <f t="shared" si="7"/>
        <v>0</v>
      </c>
      <c r="S53" s="99">
        <f t="shared" si="8"/>
        <v>0</v>
      </c>
      <c r="T53" s="95" t="e">
        <f t="shared" si="9"/>
        <v>#DIV/0!</v>
      </c>
    </row>
    <row r="54" spans="1:20" s="100" customFormat="1" ht="11.25" customHeight="1" x14ac:dyDescent="0.2">
      <c r="A54" s="115">
        <v>46</v>
      </c>
      <c r="B54" s="115" t="s">
        <v>169</v>
      </c>
      <c r="C54" s="116">
        <v>6.42</v>
      </c>
      <c r="D54" s="165">
        <f t="shared" si="18"/>
        <v>0.37559999999999949</v>
      </c>
      <c r="E54" s="1"/>
      <c r="F54" s="116">
        <v>0.66097681249999996</v>
      </c>
      <c r="G54" s="116">
        <v>-23.429162403800689</v>
      </c>
      <c r="H54" s="123">
        <f t="shared" si="10"/>
        <v>-27.80727396096799</v>
      </c>
      <c r="I54" s="95">
        <f t="shared" si="0"/>
        <v>0</v>
      </c>
      <c r="J54" s="96">
        <f t="shared" si="1"/>
        <v>0.10295588979750778</v>
      </c>
      <c r="K54" s="96"/>
      <c r="L54" s="96"/>
      <c r="M54" s="96"/>
      <c r="N54" s="171">
        <f t="shared" si="3"/>
        <v>4.4169114518499995E-2</v>
      </c>
      <c r="O54" s="98">
        <f t="shared" si="19"/>
        <v>11.759615154020249</v>
      </c>
      <c r="P54" s="96">
        <f t="shared" si="20"/>
        <v>5.8504672897196186E-2</v>
      </c>
      <c r="Q54" s="96"/>
      <c r="R54" s="97">
        <f t="shared" si="7"/>
        <v>0</v>
      </c>
      <c r="S54" s="99">
        <f t="shared" si="8"/>
        <v>0</v>
      </c>
      <c r="T54" s="95" t="e">
        <f t="shared" si="9"/>
        <v>#DIV/0!</v>
      </c>
    </row>
    <row r="55" spans="1:20" s="100" customFormat="1" ht="11.25" customHeight="1" x14ac:dyDescent="0.2">
      <c r="A55" s="102">
        <v>47</v>
      </c>
      <c r="B55" s="102" t="s">
        <v>170</v>
      </c>
      <c r="C55" s="114">
        <v>6.39</v>
      </c>
      <c r="D55" s="165">
        <f t="shared" si="18"/>
        <v>0.34559999999999924</v>
      </c>
      <c r="E55" s="1"/>
      <c r="F55" s="103">
        <v>0.71718006249999999</v>
      </c>
      <c r="G55" s="114">
        <v>-22.988209461289895</v>
      </c>
      <c r="H55" s="123">
        <f t="shared" si="10"/>
        <v>-27.366321018457196</v>
      </c>
      <c r="I55" s="95">
        <f t="shared" si="0"/>
        <v>0</v>
      </c>
      <c r="J55" s="96">
        <f t="shared" si="1"/>
        <v>0.11223475156494524</v>
      </c>
      <c r="K55" s="96"/>
      <c r="L55" s="96"/>
      <c r="M55" s="96"/>
      <c r="N55" s="171">
        <f t="shared" si="3"/>
        <v>4.7924840496499997E-2</v>
      </c>
      <c r="O55" s="98">
        <f t="shared" si="19"/>
        <v>13.867141347366928</v>
      </c>
      <c r="P55" s="96">
        <f t="shared" si="5"/>
        <v>5.4084507042253406E-2</v>
      </c>
      <c r="Q55" s="96"/>
      <c r="R55" s="97">
        <f t="shared" si="7"/>
        <v>0</v>
      </c>
      <c r="S55" s="99">
        <f t="shared" si="8"/>
        <v>0</v>
      </c>
      <c r="T55" s="95" t="e">
        <f t="shared" si="9"/>
        <v>#DIV/0!</v>
      </c>
    </row>
    <row r="56" spans="1:20" s="100" customFormat="1" ht="11.25" customHeight="1" x14ac:dyDescent="0.2">
      <c r="A56" s="115">
        <v>48</v>
      </c>
      <c r="B56" s="115" t="s">
        <v>171</v>
      </c>
      <c r="C56" s="116">
        <v>6.524</v>
      </c>
      <c r="D56" s="165">
        <f t="shared" si="18"/>
        <v>0.47959999999999958</v>
      </c>
      <c r="E56" s="1"/>
      <c r="F56" s="116">
        <v>0.75061</v>
      </c>
      <c r="G56" s="116">
        <v>-22.710725599434639</v>
      </c>
      <c r="H56" s="123">
        <f t="shared" si="10"/>
        <v>-27.08883715660194</v>
      </c>
      <c r="I56" s="95">
        <f t="shared" si="0"/>
        <v>0</v>
      </c>
      <c r="J56" s="96">
        <f t="shared" si="1"/>
        <v>0.11505364806866952</v>
      </c>
      <c r="K56" s="96"/>
      <c r="L56" s="96"/>
      <c r="M56" s="96"/>
      <c r="N56" s="171">
        <f t="shared" si="3"/>
        <v>5.0158762639999993E-2</v>
      </c>
      <c r="O56" s="98">
        <f t="shared" si="19"/>
        <v>10.45845759799834</v>
      </c>
      <c r="P56" s="96">
        <f t="shared" si="5"/>
        <v>7.351318209687302E-2</v>
      </c>
      <c r="Q56" s="96"/>
      <c r="R56" s="97">
        <f t="shared" si="7"/>
        <v>0</v>
      </c>
      <c r="S56" s="99">
        <f t="shared" si="8"/>
        <v>0</v>
      </c>
      <c r="T56" s="95" t="e">
        <f t="shared" si="9"/>
        <v>#DIV/0!</v>
      </c>
    </row>
    <row r="57" spans="1:20" s="100" customFormat="1" ht="11.25" customHeight="1" x14ac:dyDescent="0.2">
      <c r="A57" s="102">
        <v>49</v>
      </c>
      <c r="B57" s="102" t="s">
        <v>172</v>
      </c>
      <c r="C57" s="114">
        <v>4.8079999999999998</v>
      </c>
      <c r="D57" s="165">
        <f t="shared" si="18"/>
        <v>-1.2364000000000006</v>
      </c>
      <c r="E57" s="1"/>
      <c r="F57" s="103">
        <v>0.93970181249999996</v>
      </c>
      <c r="G57" s="114">
        <v>-22.012129605390498</v>
      </c>
      <c r="H57" s="123">
        <f t="shared" si="10"/>
        <v>-26.3902411625578</v>
      </c>
      <c r="I57" s="95">
        <f t="shared" si="0"/>
        <v>0</v>
      </c>
      <c r="J57" s="96">
        <f t="shared" si="1"/>
        <v>0.19544546849001665</v>
      </c>
      <c r="K57" s="96"/>
      <c r="L57" s="96"/>
      <c r="M57" s="96"/>
      <c r="N57" s="171">
        <f t="shared" si="3"/>
        <v>6.2794633918499987E-2</v>
      </c>
      <c r="O57" s="98">
        <f t="shared" si="19"/>
        <v>-5.078828366103199</v>
      </c>
      <c r="P57" s="96">
        <f t="shared" si="5"/>
        <v>-0.25715474209650596</v>
      </c>
      <c r="Q57" s="96"/>
      <c r="R57" s="97">
        <f t="shared" si="7"/>
        <v>0</v>
      </c>
      <c r="S57" s="99">
        <f t="shared" si="8"/>
        <v>0</v>
      </c>
      <c r="T57" s="95" t="e">
        <f t="shared" si="9"/>
        <v>#DIV/0!</v>
      </c>
    </row>
    <row r="58" spans="1:20" s="100" customFormat="1" ht="11.25" customHeight="1" x14ac:dyDescent="0.2">
      <c r="A58" s="115">
        <v>50</v>
      </c>
      <c r="B58" s="115" t="s">
        <v>173</v>
      </c>
      <c r="C58" s="116">
        <v>6.8380000000000001</v>
      </c>
      <c r="D58" s="165">
        <f t="shared" si="18"/>
        <v>0.79359999999999964</v>
      </c>
      <c r="E58" s="1"/>
      <c r="F58" s="116">
        <v>0.69997774999999995</v>
      </c>
      <c r="G58" s="116">
        <v>-22.869967618683411</v>
      </c>
      <c r="H58" s="123">
        <f t="shared" si="10"/>
        <v>-27.248079175850712</v>
      </c>
      <c r="I58" s="95">
        <f t="shared" si="0"/>
        <v>0</v>
      </c>
      <c r="J58" s="96">
        <f t="shared" si="1"/>
        <v>0.10236585990055572</v>
      </c>
      <c r="K58" s="96"/>
      <c r="L58" s="96"/>
      <c r="M58" s="96"/>
      <c r="N58" s="171">
        <f t="shared" si="3"/>
        <v>4.677531316599999E-2</v>
      </c>
      <c r="O58" s="98">
        <f t="shared" si="19"/>
        <v>5.894066679183469</v>
      </c>
      <c r="P58" s="96">
        <f t="shared" si="5"/>
        <v>0.11605732670371448</v>
      </c>
      <c r="Q58" s="96"/>
      <c r="R58" s="97">
        <f t="shared" si="7"/>
        <v>0</v>
      </c>
      <c r="S58" s="99">
        <f t="shared" si="8"/>
        <v>0</v>
      </c>
      <c r="T58" s="95" t="e">
        <f t="shared" si="9"/>
        <v>#DIV/0!</v>
      </c>
    </row>
    <row r="59" spans="1:20" s="100" customFormat="1" ht="11.25" customHeight="1" x14ac:dyDescent="0.2">
      <c r="A59" s="102">
        <v>51</v>
      </c>
      <c r="B59" s="102" t="s">
        <v>174</v>
      </c>
      <c r="C59" s="114">
        <v>6.5279999999999996</v>
      </c>
      <c r="D59" s="165">
        <f t="shared" si="18"/>
        <v>0.48359999999999914</v>
      </c>
      <c r="E59" s="1"/>
      <c r="F59" s="103">
        <v>0.41434525</v>
      </c>
      <c r="G59" s="114">
        <v>-22.200886751407904</v>
      </c>
      <c r="H59" s="123">
        <f t="shared" si="10"/>
        <v>-26.578998308575205</v>
      </c>
      <c r="I59" s="95">
        <f t="shared" si="0"/>
        <v>0</v>
      </c>
      <c r="J59" s="96">
        <f t="shared" si="1"/>
        <v>6.3472005208333335E-2</v>
      </c>
      <c r="K59" s="96"/>
      <c r="L59" s="96"/>
      <c r="M59" s="96"/>
      <c r="N59" s="171">
        <f t="shared" si="3"/>
        <v>2.7688206985999997E-2</v>
      </c>
      <c r="O59" s="98">
        <f t="shared" si="19"/>
        <v>5.7254356877584875</v>
      </c>
      <c r="P59" s="96">
        <f t="shared" si="5"/>
        <v>7.4080882352941052E-2</v>
      </c>
      <c r="Q59" s="96"/>
      <c r="R59" s="97">
        <f t="shared" si="7"/>
        <v>0</v>
      </c>
      <c r="S59" s="99">
        <f t="shared" si="8"/>
        <v>0</v>
      </c>
      <c r="T59" s="95" t="e">
        <f t="shared" si="9"/>
        <v>#DIV/0!</v>
      </c>
    </row>
    <row r="60" spans="1:20" s="100" customFormat="1" ht="11.25" customHeight="1" x14ac:dyDescent="0.2">
      <c r="A60" s="115">
        <v>52</v>
      </c>
      <c r="B60" s="115" t="s">
        <v>175</v>
      </c>
      <c r="C60" s="116">
        <v>6.7140000000000004</v>
      </c>
      <c r="D60" s="165">
        <f t="shared" si="18"/>
        <v>0.66959999999999997</v>
      </c>
      <c r="E60" s="1"/>
      <c r="F60" s="116">
        <v>0.61324006249999996</v>
      </c>
      <c r="G60" s="116">
        <v>-22.118836247855079</v>
      </c>
      <c r="H60" s="123">
        <f t="shared" si="10"/>
        <v>-26.49694780502238</v>
      </c>
      <c r="I60" s="95">
        <f t="shared" si="0"/>
        <v>0</v>
      </c>
      <c r="J60" s="96">
        <f t="shared" si="1"/>
        <v>9.1337513032469453E-2</v>
      </c>
      <c r="K60" s="96"/>
      <c r="L60" s="96"/>
      <c r="M60" s="96"/>
      <c r="N60" s="171">
        <f t="shared" si="3"/>
        <v>4.0979153936499993E-2</v>
      </c>
      <c r="O60" s="98">
        <f t="shared" si="19"/>
        <v>6.1199453310185179</v>
      </c>
      <c r="P60" s="96">
        <f t="shared" si="5"/>
        <v>9.973190348525468E-2</v>
      </c>
      <c r="Q60" s="96"/>
      <c r="R60" s="97">
        <f t="shared" si="7"/>
        <v>0</v>
      </c>
      <c r="S60" s="99">
        <f t="shared" si="8"/>
        <v>0</v>
      </c>
      <c r="T60" s="95" t="e">
        <f t="shared" si="9"/>
        <v>#DIV/0!</v>
      </c>
    </row>
    <row r="61" spans="1:20" s="100" customFormat="1" ht="11.25" customHeight="1" x14ac:dyDescent="0.2">
      <c r="A61" s="102">
        <v>53</v>
      </c>
      <c r="B61" s="102" t="s">
        <v>176</v>
      </c>
      <c r="C61" s="114">
        <v>6.4409999999999998</v>
      </c>
      <c r="D61" s="165">
        <f t="shared" si="18"/>
        <v>0.3965999999999994</v>
      </c>
      <c r="E61" s="1"/>
      <c r="F61" s="103">
        <v>0.50944837499999995</v>
      </c>
      <c r="G61" s="114">
        <v>-21.578883384816162</v>
      </c>
      <c r="H61" s="123">
        <f t="shared" si="10"/>
        <v>-25.956994941983464</v>
      </c>
      <c r="I61" s="95">
        <f t="shared" si="0"/>
        <v>0</v>
      </c>
      <c r="J61" s="96">
        <f t="shared" si="1"/>
        <v>7.9094608756404283E-2</v>
      </c>
      <c r="K61" s="96"/>
      <c r="L61" s="96"/>
      <c r="M61" s="96"/>
      <c r="N61" s="171">
        <f t="shared" si="3"/>
        <v>3.4043378210999994E-2</v>
      </c>
      <c r="O61" s="98">
        <f t="shared" si="19"/>
        <v>8.5838069114977422</v>
      </c>
      <c r="P61" s="96">
        <f t="shared" si="5"/>
        <v>6.1574289706567212E-2</v>
      </c>
      <c r="Q61" s="96"/>
      <c r="R61" s="97">
        <f t="shared" si="7"/>
        <v>0</v>
      </c>
      <c r="S61" s="99">
        <f t="shared" si="8"/>
        <v>0</v>
      </c>
      <c r="T61" s="95" t="e">
        <f t="shared" si="9"/>
        <v>#DIV/0!</v>
      </c>
    </row>
    <row r="62" spans="1:20" s="100" customFormat="1" ht="11.25" customHeight="1" x14ac:dyDescent="0.2">
      <c r="A62" s="115">
        <v>54</v>
      </c>
      <c r="B62" s="115" t="s">
        <v>177</v>
      </c>
      <c r="C62" s="116">
        <v>6.9660000000000002</v>
      </c>
      <c r="D62" s="165">
        <f t="shared" si="18"/>
        <v>0.92159999999999975</v>
      </c>
      <c r="E62" s="1"/>
      <c r="F62" s="116">
        <v>1.7693916249999999</v>
      </c>
      <c r="G62" s="116">
        <v>-20.913150815269017</v>
      </c>
      <c r="H62" s="123">
        <f t="shared" si="10"/>
        <v>-25.291262372436318</v>
      </c>
      <c r="I62" s="95">
        <f t="shared" si="0"/>
        <v>0</v>
      </c>
      <c r="J62" s="96">
        <f t="shared" si="1"/>
        <v>0.25400396569049666</v>
      </c>
      <c r="K62" s="96"/>
      <c r="L62" s="96"/>
      <c r="M62" s="96"/>
      <c r="N62" s="171">
        <f t="shared" si="3"/>
        <v>0.11823782594899998</v>
      </c>
      <c r="O62" s="98">
        <f t="shared" si="19"/>
        <v>12.829625211480037</v>
      </c>
      <c r="P62" s="96">
        <f t="shared" si="5"/>
        <v>0.13229974160206714</v>
      </c>
      <c r="Q62" s="96"/>
      <c r="R62" s="97">
        <f t="shared" si="7"/>
        <v>0</v>
      </c>
      <c r="S62" s="99">
        <f t="shared" si="8"/>
        <v>0</v>
      </c>
      <c r="T62" s="95" t="e">
        <f t="shared" si="9"/>
        <v>#DIV/0!</v>
      </c>
    </row>
    <row r="63" spans="1:20" s="100" customFormat="1" ht="11.25" customHeight="1" x14ac:dyDescent="0.2">
      <c r="A63" s="102">
        <v>55</v>
      </c>
      <c r="B63" s="102" t="s">
        <v>178</v>
      </c>
      <c r="C63" s="114">
        <v>6.6929999999999996</v>
      </c>
      <c r="D63" s="165">
        <f t="shared" si="18"/>
        <v>0.64859999999999918</v>
      </c>
      <c r="E63" s="1"/>
      <c r="F63" s="103">
        <v>1.229128</v>
      </c>
      <c r="G63" s="114">
        <v>-21.660004579231821</v>
      </c>
      <c r="H63" s="123">
        <f>$B$26*G63+$D$26</f>
        <v>-26.038116136399122</v>
      </c>
      <c r="I63" s="95">
        <f>$B$27*E63+$D$27</f>
        <v>0</v>
      </c>
      <c r="J63" s="96">
        <f>(F63)/C63</f>
        <v>0.18364380696249813</v>
      </c>
      <c r="K63" s="96"/>
      <c r="L63" s="96"/>
      <c r="M63" s="96"/>
      <c r="N63" s="171">
        <f>F63*$B$28+$D$28</f>
        <v>8.2135249471999988E-2</v>
      </c>
      <c r="O63" s="98">
        <f t="shared" si="19"/>
        <v>12.663467386987371</v>
      </c>
      <c r="P63" s="96">
        <f>D63/C63</f>
        <v>9.6907216494845239E-2</v>
      </c>
      <c r="Q63" s="96"/>
      <c r="R63" s="97">
        <f>D63*$B$29+$D$29</f>
        <v>0</v>
      </c>
      <c r="S63" s="99">
        <f>R63/C63*100</f>
        <v>0</v>
      </c>
      <c r="T63" s="95" t="e">
        <f>N63/R63</f>
        <v>#DIV/0!</v>
      </c>
    </row>
    <row r="64" spans="1:20" s="100" customFormat="1" ht="11.25" customHeight="1" x14ac:dyDescent="0.2">
      <c r="A64" s="115">
        <v>56</v>
      </c>
      <c r="B64" s="115" t="s">
        <v>179</v>
      </c>
      <c r="C64" s="116">
        <v>6.87</v>
      </c>
      <c r="D64" s="165">
        <f t="shared" si="18"/>
        <v>0.82559999999999967</v>
      </c>
      <c r="E64" s="1"/>
      <c r="F64" s="116">
        <v>2.1421822499999998</v>
      </c>
      <c r="G64" s="116">
        <v>-21.171957975679899</v>
      </c>
      <c r="H64" s="123">
        <f t="shared" si="10"/>
        <v>-25.5500695328472</v>
      </c>
      <c r="I64" s="95">
        <f t="shared" si="0"/>
        <v>0</v>
      </c>
      <c r="J64" s="96">
        <f t="shared" si="1"/>
        <v>0.31181692139737988</v>
      </c>
      <c r="K64" s="96"/>
      <c r="L64" s="96"/>
      <c r="M64" s="96"/>
      <c r="N64" s="171">
        <f t="shared" si="3"/>
        <v>0.14314918667399998</v>
      </c>
      <c r="O64" s="98">
        <f t="shared" si="19"/>
        <v>17.338806525436052</v>
      </c>
      <c r="P64" s="96">
        <f t="shared" si="5"/>
        <v>0.12017467248908292</v>
      </c>
      <c r="Q64" s="96"/>
      <c r="R64" s="97">
        <f t="shared" si="7"/>
        <v>0</v>
      </c>
      <c r="S64" s="99">
        <f t="shared" si="8"/>
        <v>0</v>
      </c>
      <c r="T64" s="95" t="e">
        <f t="shared" si="9"/>
        <v>#DIV/0!</v>
      </c>
    </row>
    <row r="65" spans="1:20" s="109" customFormat="1" ht="11.25" customHeight="1" x14ac:dyDescent="0.2">
      <c r="A65" s="102">
        <v>57</v>
      </c>
      <c r="B65" s="102" t="s">
        <v>60</v>
      </c>
      <c r="C65" s="114">
        <v>0.59699999999999998</v>
      </c>
      <c r="E65" s="1"/>
      <c r="F65" s="103">
        <v>3.97514675</v>
      </c>
      <c r="G65" s="114">
        <v>-21.576475411949719</v>
      </c>
      <c r="H65" s="122">
        <f t="shared" si="10"/>
        <v>-25.95458696911702</v>
      </c>
      <c r="I65" s="105">
        <f t="shared" si="0"/>
        <v>0</v>
      </c>
      <c r="J65" s="106">
        <f t="shared" si="1"/>
        <v>6.6585372696817426</v>
      </c>
      <c r="K65" s="106">
        <f t="shared" ref="K65:L65" si="21">H$14</f>
        <v>44.65</v>
      </c>
      <c r="L65" s="106">
        <f t="shared" si="21"/>
        <v>2.83</v>
      </c>
      <c r="M65" s="106">
        <f t="shared" ref="M65:M66" si="22">C65*(K65/100)</f>
        <v>0.26656049999999998</v>
      </c>
      <c r="N65" s="169">
        <f t="shared" si="3"/>
        <v>0.26563520642199995</v>
      </c>
      <c r="O65" s="110">
        <f t="shared" ref="O65:O66" si="23">N65/C65*100</f>
        <v>44.495009450921266</v>
      </c>
      <c r="P65" s="106">
        <f t="shared" si="5"/>
        <v>0</v>
      </c>
      <c r="Q65" s="106">
        <f t="shared" ref="Q65" si="24">C65*(L65/100)</f>
        <v>1.68951E-2</v>
      </c>
      <c r="R65" s="107">
        <f t="shared" si="7"/>
        <v>0</v>
      </c>
      <c r="S65" s="108">
        <f t="shared" si="8"/>
        <v>0</v>
      </c>
      <c r="T65" s="105" t="e">
        <f t="shared" si="9"/>
        <v>#DIV/0!</v>
      </c>
    </row>
    <row r="66" spans="1:20" s="151" customFormat="1" ht="11.25" customHeight="1" x14ac:dyDescent="0.2">
      <c r="A66" s="115">
        <v>58</v>
      </c>
      <c r="B66" s="115" t="s">
        <v>104</v>
      </c>
      <c r="C66" s="116">
        <v>3.2269999999999999</v>
      </c>
      <c r="E66" s="1"/>
      <c r="F66" s="116">
        <v>1.5668932499999999</v>
      </c>
      <c r="G66" s="116">
        <v>-15.429883556616939</v>
      </c>
      <c r="H66" s="153">
        <f t="shared" si="10"/>
        <v>-19.807995113784241</v>
      </c>
      <c r="I66" s="154">
        <f t="shared" si="0"/>
        <v>0</v>
      </c>
      <c r="J66" s="155">
        <f t="shared" si="1"/>
        <v>0.48555725131701272</v>
      </c>
      <c r="K66" s="155">
        <f>$H$13</f>
        <v>3.3479999999999999</v>
      </c>
      <c r="L66" s="155"/>
      <c r="M66" s="155">
        <f t="shared" si="22"/>
        <v>0.10803995999999998</v>
      </c>
      <c r="N66" s="170">
        <f t="shared" si="3"/>
        <v>0.10470607453799999</v>
      </c>
      <c r="O66" s="157">
        <f t="shared" si="23"/>
        <v>3.2446877762008053</v>
      </c>
      <c r="P66" s="155">
        <f t="shared" si="5"/>
        <v>0</v>
      </c>
      <c r="Q66" s="155"/>
      <c r="R66" s="156">
        <f t="shared" si="7"/>
        <v>0</v>
      </c>
      <c r="S66" s="158">
        <f t="shared" si="8"/>
        <v>0</v>
      </c>
      <c r="T66" s="154" t="e">
        <f t="shared" si="9"/>
        <v>#DIV/0!</v>
      </c>
    </row>
    <row r="67" spans="1:20" s="100" customFormat="1" ht="11.25" customHeight="1" x14ac:dyDescent="0.2">
      <c r="A67" s="102">
        <v>59</v>
      </c>
      <c r="B67" s="102" t="s">
        <v>180</v>
      </c>
      <c r="C67" s="114">
        <v>7.1420000000000003</v>
      </c>
      <c r="D67" s="165">
        <f t="shared" ref="D67:D78" si="25">C67-$H$26</f>
        <v>1.0975999999999999</v>
      </c>
      <c r="E67" s="1"/>
      <c r="F67" s="103">
        <v>1.7016825</v>
      </c>
      <c r="G67" s="114">
        <v>-21.502454757730369</v>
      </c>
      <c r="H67" s="123">
        <f t="shared" si="10"/>
        <v>-25.880566314897671</v>
      </c>
      <c r="I67" s="95">
        <f t="shared" si="0"/>
        <v>0</v>
      </c>
      <c r="J67" s="96">
        <f t="shared" si="1"/>
        <v>0.23826414169700363</v>
      </c>
      <c r="K67" s="96"/>
      <c r="L67" s="96"/>
      <c r="M67" s="96"/>
      <c r="N67" s="171">
        <f t="shared" si="3"/>
        <v>0.11371323137999999</v>
      </c>
      <c r="O67" s="98">
        <f t="shared" ref="O67:O78" si="26">N67/D67*100</f>
        <v>10.36017049744898</v>
      </c>
      <c r="P67" s="96">
        <f t="shared" si="5"/>
        <v>0.15368244189302716</v>
      </c>
      <c r="Q67" s="96"/>
      <c r="R67" s="97">
        <f t="shared" si="7"/>
        <v>0</v>
      </c>
      <c r="S67" s="99">
        <f t="shared" si="8"/>
        <v>0</v>
      </c>
      <c r="T67" s="95" t="e">
        <f t="shared" si="9"/>
        <v>#DIV/0!</v>
      </c>
    </row>
    <row r="68" spans="1:20" s="100" customFormat="1" ht="11.25" customHeight="1" x14ac:dyDescent="0.2">
      <c r="A68" s="115">
        <v>60</v>
      </c>
      <c r="B68" s="115" t="s">
        <v>181</v>
      </c>
      <c r="C68" s="116">
        <v>8.1720000000000006</v>
      </c>
      <c r="D68" s="165">
        <f t="shared" si="25"/>
        <v>2.1276000000000002</v>
      </c>
      <c r="E68" s="1"/>
      <c r="F68" s="116">
        <v>2.4794049999999999</v>
      </c>
      <c r="G68" s="116">
        <v>-21.020577255419095</v>
      </c>
      <c r="H68" s="123">
        <f t="shared" si="10"/>
        <v>-25.398688812586396</v>
      </c>
      <c r="I68" s="95">
        <f t="shared" si="0"/>
        <v>0</v>
      </c>
      <c r="J68" s="96">
        <f t="shared" si="1"/>
        <v>0.30340247185511499</v>
      </c>
      <c r="K68" s="96"/>
      <c r="L68" s="96"/>
      <c r="M68" s="96"/>
      <c r="N68" s="171">
        <f t="shared" si="3"/>
        <v>0.16568375971999999</v>
      </c>
      <c r="O68" s="98">
        <f t="shared" si="26"/>
        <v>7.7873547527730764</v>
      </c>
      <c r="P68" s="96">
        <f t="shared" si="5"/>
        <v>0.260352422907489</v>
      </c>
      <c r="Q68" s="96"/>
      <c r="R68" s="97">
        <f t="shared" si="7"/>
        <v>0</v>
      </c>
      <c r="S68" s="99">
        <f t="shared" si="8"/>
        <v>0</v>
      </c>
      <c r="T68" s="95" t="e">
        <f t="shared" si="9"/>
        <v>#DIV/0!</v>
      </c>
    </row>
    <row r="69" spans="1:20" s="100" customFormat="1" ht="11.25" customHeight="1" x14ac:dyDescent="0.2">
      <c r="A69" s="102">
        <v>61</v>
      </c>
      <c r="B69" s="102" t="s">
        <v>182</v>
      </c>
      <c r="C69" s="114">
        <v>7.0419999999999998</v>
      </c>
      <c r="D69" s="165">
        <f t="shared" si="25"/>
        <v>0.99759999999999938</v>
      </c>
      <c r="E69" s="1"/>
      <c r="F69" s="103">
        <v>1.535255875</v>
      </c>
      <c r="G69" s="114">
        <v>-21.453755116035587</v>
      </c>
      <c r="H69" s="123">
        <f t="shared" si="10"/>
        <v>-25.831866673202889</v>
      </c>
      <c r="I69" s="95">
        <f t="shared" si="0"/>
        <v>0</v>
      </c>
      <c r="J69" s="96">
        <f t="shared" si="1"/>
        <v>0.21801418276057941</v>
      </c>
      <c r="K69" s="96"/>
      <c r="L69" s="96"/>
      <c r="M69" s="96"/>
      <c r="N69" s="171">
        <f t="shared" si="3"/>
        <v>0.10259193859099999</v>
      </c>
      <c r="O69" s="98">
        <f t="shared" si="26"/>
        <v>10.283875159482763</v>
      </c>
      <c r="P69" s="96">
        <f t="shared" si="5"/>
        <v>0.14166429991479684</v>
      </c>
      <c r="Q69" s="96"/>
      <c r="R69" s="97">
        <f t="shared" si="7"/>
        <v>0</v>
      </c>
      <c r="S69" s="99">
        <f t="shared" si="8"/>
        <v>0</v>
      </c>
      <c r="T69" s="95" t="e">
        <f t="shared" si="9"/>
        <v>#DIV/0!</v>
      </c>
    </row>
    <row r="70" spans="1:20" s="100" customFormat="1" ht="11.25" customHeight="1" x14ac:dyDescent="0.2">
      <c r="A70" s="115">
        <v>62</v>
      </c>
      <c r="B70" s="115" t="s">
        <v>183</v>
      </c>
      <c r="C70" s="116">
        <v>6.5049999999999999</v>
      </c>
      <c r="D70" s="165">
        <f t="shared" si="25"/>
        <v>0.46059999999999945</v>
      </c>
      <c r="E70" s="1"/>
      <c r="F70" s="116">
        <v>0.612641875</v>
      </c>
      <c r="G70" s="116">
        <v>-22.251125280514724</v>
      </c>
      <c r="H70" s="123">
        <f t="shared" si="10"/>
        <v>-26.629236837682026</v>
      </c>
      <c r="I70" s="95">
        <f t="shared" si="0"/>
        <v>0</v>
      </c>
      <c r="J70" s="96">
        <f t="shared" si="1"/>
        <v>9.4180149884704079E-2</v>
      </c>
      <c r="K70" s="96"/>
      <c r="L70" s="96"/>
      <c r="M70" s="96"/>
      <c r="N70" s="171">
        <f t="shared" si="3"/>
        <v>4.0939180654999997E-2</v>
      </c>
      <c r="O70" s="98">
        <f t="shared" si="26"/>
        <v>8.8882285399479031</v>
      </c>
      <c r="P70" s="96">
        <f t="shared" si="5"/>
        <v>7.0807071483474163E-2</v>
      </c>
      <c r="Q70" s="96"/>
      <c r="R70" s="97">
        <f t="shared" si="7"/>
        <v>0</v>
      </c>
      <c r="S70" s="99">
        <f t="shared" si="8"/>
        <v>0</v>
      </c>
      <c r="T70" s="95" t="e">
        <f t="shared" si="9"/>
        <v>#DIV/0!</v>
      </c>
    </row>
    <row r="71" spans="1:20" s="100" customFormat="1" ht="11.25" customHeight="1" x14ac:dyDescent="0.2">
      <c r="A71" s="102">
        <v>63</v>
      </c>
      <c r="B71" s="102" t="s">
        <v>184</v>
      </c>
      <c r="C71" s="114">
        <v>6.819</v>
      </c>
      <c r="D71" s="165">
        <f t="shared" si="25"/>
        <v>0.77459999999999951</v>
      </c>
      <c r="E71" s="1"/>
      <c r="F71" s="103">
        <v>0.56266581250000003</v>
      </c>
      <c r="G71" s="114">
        <v>-22.429489828122371</v>
      </c>
      <c r="H71" s="123">
        <f t="shared" si="10"/>
        <v>-26.807601385289672</v>
      </c>
      <c r="I71" s="95">
        <f t="shared" si="0"/>
        <v>0</v>
      </c>
      <c r="J71" s="96">
        <f t="shared" si="1"/>
        <v>8.2514417436574283E-2</v>
      </c>
      <c r="K71" s="96"/>
      <c r="L71" s="96"/>
      <c r="M71" s="96"/>
      <c r="N71" s="171">
        <f t="shared" si="3"/>
        <v>3.7599580254499998E-2</v>
      </c>
      <c r="O71" s="98">
        <f t="shared" si="26"/>
        <v>4.8540640659049856</v>
      </c>
      <c r="P71" s="96">
        <f t="shared" si="5"/>
        <v>0.11359436867575884</v>
      </c>
      <c r="Q71" s="96"/>
      <c r="R71" s="97">
        <f t="shared" si="7"/>
        <v>0</v>
      </c>
      <c r="S71" s="99">
        <f t="shared" si="8"/>
        <v>0</v>
      </c>
      <c r="T71" s="95" t="e">
        <f t="shared" si="9"/>
        <v>#DIV/0!</v>
      </c>
    </row>
    <row r="72" spans="1:20" s="100" customFormat="1" ht="11.25" customHeight="1" x14ac:dyDescent="0.2">
      <c r="A72" s="115">
        <v>64</v>
      </c>
      <c r="B72" s="115" t="s">
        <v>185</v>
      </c>
      <c r="C72" s="116">
        <v>6.992</v>
      </c>
      <c r="D72" s="165">
        <f t="shared" si="25"/>
        <v>0.94759999999999955</v>
      </c>
      <c r="E72" s="1"/>
      <c r="F72" s="116">
        <v>0.91811693750000001</v>
      </c>
      <c r="G72" s="116">
        <v>-22.078039857489824</v>
      </c>
      <c r="H72" s="123">
        <f t="shared" si="10"/>
        <v>-26.456151414657125</v>
      </c>
      <c r="I72" s="95">
        <f t="shared" si="0"/>
        <v>0</v>
      </c>
      <c r="J72" s="96">
        <f t="shared" si="1"/>
        <v>0.1313096306493135</v>
      </c>
      <c r="K72" s="96"/>
      <c r="L72" s="96"/>
      <c r="M72" s="96"/>
      <c r="N72" s="171">
        <f t="shared" si="3"/>
        <v>6.1352246231499999E-2</v>
      </c>
      <c r="O72" s="98">
        <f t="shared" si="26"/>
        <v>6.4744877829780529</v>
      </c>
      <c r="P72" s="96">
        <f t="shared" si="5"/>
        <v>0.13552631578947363</v>
      </c>
      <c r="Q72" s="96"/>
      <c r="R72" s="97">
        <f t="shared" si="7"/>
        <v>0</v>
      </c>
      <c r="S72" s="99">
        <f t="shared" si="8"/>
        <v>0</v>
      </c>
      <c r="T72" s="95" t="e">
        <f t="shared" si="9"/>
        <v>#DIV/0!</v>
      </c>
    </row>
    <row r="73" spans="1:20" s="100" customFormat="1" ht="11.25" customHeight="1" x14ac:dyDescent="0.2">
      <c r="A73" s="102">
        <v>65</v>
      </c>
      <c r="B73" s="102" t="s">
        <v>186</v>
      </c>
      <c r="C73" s="114">
        <v>15.933</v>
      </c>
      <c r="D73" s="165">
        <f t="shared" si="25"/>
        <v>9.8886000000000003</v>
      </c>
      <c r="E73" s="1"/>
      <c r="F73" s="103">
        <v>1.86097475</v>
      </c>
      <c r="G73" s="114">
        <v>-20.407919389931973</v>
      </c>
      <c r="H73" s="123">
        <f t="shared" si="10"/>
        <v>-24.786030947099274</v>
      </c>
      <c r="I73" s="95">
        <f t="shared" si="0"/>
        <v>0</v>
      </c>
      <c r="J73" s="96">
        <f t="shared" si="1"/>
        <v>0.11680002196698676</v>
      </c>
      <c r="K73" s="96"/>
      <c r="L73" s="96"/>
      <c r="M73" s="96"/>
      <c r="N73" s="171">
        <f t="shared" si="3"/>
        <v>0.12435777669399999</v>
      </c>
      <c r="O73" s="98">
        <f t="shared" si="26"/>
        <v>1.257587289343284</v>
      </c>
      <c r="P73" s="96">
        <f t="shared" si="5"/>
        <v>0.62063641498776123</v>
      </c>
      <c r="Q73" s="96"/>
      <c r="R73" s="97">
        <f t="shared" si="7"/>
        <v>0</v>
      </c>
      <c r="S73" s="99">
        <f t="shared" si="8"/>
        <v>0</v>
      </c>
      <c r="T73" s="95" t="e">
        <f t="shared" si="9"/>
        <v>#DIV/0!</v>
      </c>
    </row>
    <row r="74" spans="1:20" s="100" customFormat="1" ht="11.25" customHeight="1" x14ac:dyDescent="0.2">
      <c r="A74" s="115">
        <v>66</v>
      </c>
      <c r="B74" s="115" t="s">
        <v>187</v>
      </c>
      <c r="C74" s="116">
        <v>16.084</v>
      </c>
      <c r="D74" s="165">
        <f t="shared" si="25"/>
        <v>10.0396</v>
      </c>
      <c r="E74" s="1"/>
      <c r="F74" s="116">
        <v>1.854881875</v>
      </c>
      <c r="G74" s="116">
        <v>-21.01522981117602</v>
      </c>
      <c r="H74" s="123">
        <f t="shared" si="10"/>
        <v>-25.393341368343322</v>
      </c>
      <c r="I74" s="95">
        <f t="shared" si="0"/>
        <v>0</v>
      </c>
      <c r="J74" s="96">
        <f t="shared" si="1"/>
        <v>0.11532466270828153</v>
      </c>
      <c r="K74" s="96"/>
      <c r="L74" s="96"/>
      <c r="M74" s="96"/>
      <c r="N74" s="171">
        <f t="shared" si="3"/>
        <v>0.12395062641499999</v>
      </c>
      <c r="O74" s="98">
        <f t="shared" si="26"/>
        <v>1.2346171801167376</v>
      </c>
      <c r="P74" s="96">
        <f t="shared" si="5"/>
        <v>0.62419796070629197</v>
      </c>
      <c r="Q74" s="96"/>
      <c r="R74" s="97">
        <f t="shared" si="7"/>
        <v>0</v>
      </c>
      <c r="S74" s="99">
        <f t="shared" si="8"/>
        <v>0</v>
      </c>
      <c r="T74" s="95" t="e">
        <f t="shared" si="9"/>
        <v>#DIV/0!</v>
      </c>
    </row>
    <row r="75" spans="1:20" s="100" customFormat="1" ht="11.25" customHeight="1" x14ac:dyDescent="0.2">
      <c r="A75" s="102">
        <v>67</v>
      </c>
      <c r="B75" s="102" t="s">
        <v>188</v>
      </c>
      <c r="C75" s="114">
        <v>15.897</v>
      </c>
      <c r="D75" s="165">
        <f t="shared" si="25"/>
        <v>9.8525999999999989</v>
      </c>
      <c r="E75" s="1"/>
      <c r="F75" s="103">
        <v>0.50033696875</v>
      </c>
      <c r="G75" s="114">
        <v>-13.423009929364515</v>
      </c>
      <c r="H75" s="123">
        <f t="shared" si="10"/>
        <v>-17.801121486531816</v>
      </c>
      <c r="I75" s="95">
        <f t="shared" si="0"/>
        <v>0</v>
      </c>
      <c r="J75" s="96">
        <f t="shared" si="1"/>
        <v>3.1473672312385986E-2</v>
      </c>
      <c r="K75" s="96"/>
      <c r="L75" s="96"/>
      <c r="M75" s="96"/>
      <c r="N75" s="171">
        <f t="shared" si="3"/>
        <v>3.3434517599749997E-2</v>
      </c>
      <c r="O75" s="98">
        <f t="shared" si="26"/>
        <v>0.3393471530332095</v>
      </c>
      <c r="P75" s="96">
        <f t="shared" si="5"/>
        <v>0.61977731647480649</v>
      </c>
      <c r="Q75" s="96"/>
      <c r="R75" s="97">
        <f t="shared" si="7"/>
        <v>0</v>
      </c>
      <c r="S75" s="99">
        <f t="shared" si="8"/>
        <v>0</v>
      </c>
      <c r="T75" s="95" t="e">
        <f t="shared" si="9"/>
        <v>#DIV/0!</v>
      </c>
    </row>
    <row r="76" spans="1:20" s="100" customFormat="1" ht="11.25" customHeight="1" x14ac:dyDescent="0.2">
      <c r="A76" s="115">
        <v>68</v>
      </c>
      <c r="B76" s="115" t="s">
        <v>189</v>
      </c>
      <c r="C76" s="116">
        <v>7.5170000000000003</v>
      </c>
      <c r="D76" s="165">
        <f t="shared" si="25"/>
        <v>1.4725999999999999</v>
      </c>
      <c r="E76" s="1"/>
      <c r="F76" s="116">
        <v>0.46231384375000001</v>
      </c>
      <c r="G76" s="116">
        <v>-22.679856517742795</v>
      </c>
      <c r="H76" s="123">
        <f t="shared" si="10"/>
        <v>-27.057968074910097</v>
      </c>
      <c r="I76" s="95">
        <f t="shared" si="0"/>
        <v>0</v>
      </c>
      <c r="J76" s="96">
        <f t="shared" si="1"/>
        <v>6.1502440301982174E-2</v>
      </c>
      <c r="K76" s="96"/>
      <c r="L76" s="96"/>
      <c r="M76" s="96"/>
      <c r="N76" s="171">
        <f t="shared" si="3"/>
        <v>3.0893660294749999E-2</v>
      </c>
      <c r="O76" s="98">
        <f t="shared" si="26"/>
        <v>2.0978989742462311</v>
      </c>
      <c r="P76" s="96">
        <f t="shared" si="5"/>
        <v>0.19590262072635359</v>
      </c>
      <c r="Q76" s="96"/>
      <c r="R76" s="97">
        <f t="shared" si="7"/>
        <v>0</v>
      </c>
      <c r="S76" s="99">
        <f t="shared" si="8"/>
        <v>0</v>
      </c>
      <c r="T76" s="95" t="e">
        <f t="shared" si="9"/>
        <v>#DIV/0!</v>
      </c>
    </row>
    <row r="77" spans="1:20" s="100" customFormat="1" ht="11.25" customHeight="1" x14ac:dyDescent="0.2">
      <c r="A77" s="102">
        <v>69</v>
      </c>
      <c r="B77" s="102" t="s">
        <v>190</v>
      </c>
      <c r="C77" s="114">
        <v>9.0519999999999996</v>
      </c>
      <c r="D77" s="165">
        <f t="shared" si="25"/>
        <v>3.0075999999999992</v>
      </c>
      <c r="E77" s="1"/>
      <c r="F77" s="103">
        <v>0.76134293750000004</v>
      </c>
      <c r="G77" s="114">
        <v>-21.513844118608223</v>
      </c>
      <c r="H77" s="123">
        <f t="shared" si="10"/>
        <v>-25.891955675775524</v>
      </c>
      <c r="I77" s="95">
        <f t="shared" si="0"/>
        <v>0</v>
      </c>
      <c r="J77" s="96">
        <f t="shared" si="1"/>
        <v>8.4107704098541763E-2</v>
      </c>
      <c r="K77" s="96"/>
      <c r="L77" s="96"/>
      <c r="M77" s="96"/>
      <c r="N77" s="171">
        <f t="shared" si="3"/>
        <v>5.08759804555E-2</v>
      </c>
      <c r="O77" s="98">
        <f t="shared" si="26"/>
        <v>1.6915806774670841</v>
      </c>
      <c r="P77" s="96">
        <f t="shared" si="5"/>
        <v>0.33225806451612894</v>
      </c>
      <c r="Q77" s="96"/>
      <c r="R77" s="97">
        <f t="shared" si="7"/>
        <v>0</v>
      </c>
      <c r="S77" s="99">
        <f t="shared" si="8"/>
        <v>0</v>
      </c>
      <c r="T77" s="95" t="e">
        <f t="shared" si="9"/>
        <v>#DIV/0!</v>
      </c>
    </row>
    <row r="78" spans="1:20" s="100" customFormat="1" ht="11.25" customHeight="1" x14ac:dyDescent="0.2">
      <c r="A78" s="115">
        <v>70</v>
      </c>
      <c r="B78" s="115" t="s">
        <v>191</v>
      </c>
      <c r="C78" s="116">
        <v>9.5329999999999995</v>
      </c>
      <c r="D78" s="165">
        <f t="shared" si="25"/>
        <v>3.488599999999999</v>
      </c>
      <c r="E78" s="1"/>
      <c r="F78" s="116">
        <v>0.87663800000000003</v>
      </c>
      <c r="G78" s="116">
        <v>-21.506847714715558</v>
      </c>
      <c r="H78" s="123">
        <f t="shared" si="10"/>
        <v>-25.88495927188286</v>
      </c>
      <c r="I78" s="95">
        <f t="shared" si="0"/>
        <v>0</v>
      </c>
      <c r="J78" s="96">
        <f t="shared" si="1"/>
        <v>9.1958250288471627E-2</v>
      </c>
      <c r="K78" s="96"/>
      <c r="L78" s="96"/>
      <c r="M78" s="96"/>
      <c r="N78" s="171">
        <f t="shared" si="3"/>
        <v>5.8580457711999996E-2</v>
      </c>
      <c r="O78" s="98">
        <f t="shared" si="26"/>
        <v>1.6791967468898703</v>
      </c>
      <c r="P78" s="96">
        <f t="shared" si="5"/>
        <v>0.36594985838665678</v>
      </c>
      <c r="Q78" s="96"/>
      <c r="R78" s="97">
        <f t="shared" si="7"/>
        <v>0</v>
      </c>
      <c r="S78" s="99">
        <f t="shared" si="8"/>
        <v>0</v>
      </c>
      <c r="T78" s="95" t="e">
        <f t="shared" si="9"/>
        <v>#DIV/0!</v>
      </c>
    </row>
    <row r="79" spans="1:20" s="109" customFormat="1" ht="11.25" customHeight="1" x14ac:dyDescent="0.2">
      <c r="A79" s="102">
        <v>71</v>
      </c>
      <c r="B79" s="102" t="s">
        <v>72</v>
      </c>
      <c r="C79" s="114">
        <v>0.29299999999999998</v>
      </c>
      <c r="D79" s="137"/>
      <c r="E79" s="1"/>
      <c r="F79" s="103">
        <v>1.938166625</v>
      </c>
      <c r="G79" s="114">
        <v>-21.352517039255453</v>
      </c>
      <c r="H79" s="122">
        <f t="shared" si="10"/>
        <v>-25.730628596422754</v>
      </c>
      <c r="I79" s="105">
        <f t="shared" si="0"/>
        <v>0</v>
      </c>
      <c r="J79" s="106">
        <f t="shared" si="1"/>
        <v>6.6149031569965873</v>
      </c>
      <c r="K79" s="106">
        <f t="shared" ref="K79:L79" si="27">H$14</f>
        <v>44.65</v>
      </c>
      <c r="L79" s="106">
        <f t="shared" si="27"/>
        <v>2.83</v>
      </c>
      <c r="M79" s="106">
        <f t="shared" ref="M79:M80" si="28">C79*(K79/100)</f>
        <v>0.13082449999999998</v>
      </c>
      <c r="N79" s="169">
        <f t="shared" si="3"/>
        <v>0.12951604654899998</v>
      </c>
      <c r="O79" s="110">
        <f t="shared" si="4"/>
        <v>44.203428856313984</v>
      </c>
      <c r="P79" s="106">
        <f t="shared" si="5"/>
        <v>0</v>
      </c>
      <c r="Q79" s="106">
        <f t="shared" ref="Q79" si="29">C79*(L79/100)</f>
        <v>8.2918999999999996E-3</v>
      </c>
      <c r="R79" s="107">
        <f t="shared" si="7"/>
        <v>0</v>
      </c>
      <c r="S79" s="108">
        <f t="shared" si="8"/>
        <v>0</v>
      </c>
      <c r="T79" s="105" t="e">
        <f t="shared" si="9"/>
        <v>#DIV/0!</v>
      </c>
    </row>
    <row r="80" spans="1:20" s="151" customFormat="1" ht="11.25" customHeight="1" x14ac:dyDescent="0.2">
      <c r="A80" s="140">
        <v>72</v>
      </c>
      <c r="B80" s="140" t="s">
        <v>117</v>
      </c>
      <c r="C80" s="132">
        <v>2.3530000000000002</v>
      </c>
      <c r="D80" s="141"/>
      <c r="E80" s="1"/>
      <c r="F80" s="132">
        <v>1.164066375</v>
      </c>
      <c r="G80" s="132">
        <v>-15.278574413024508</v>
      </c>
      <c r="H80" s="153">
        <f t="shared" si="10"/>
        <v>-19.656685970191809</v>
      </c>
      <c r="I80" s="154">
        <f t="shared" si="0"/>
        <v>0</v>
      </c>
      <c r="J80" s="155">
        <f t="shared" si="1"/>
        <v>0.49471584147896297</v>
      </c>
      <c r="K80" s="155">
        <f>$H$13</f>
        <v>3.3479999999999999</v>
      </c>
      <c r="L80" s="155"/>
      <c r="M80" s="155">
        <f t="shared" si="28"/>
        <v>7.8778439999999991E-2</v>
      </c>
      <c r="N80" s="170">
        <f t="shared" si="3"/>
        <v>7.7787571442999998E-2</v>
      </c>
      <c r="O80" s="157">
        <f t="shared" si="4"/>
        <v>3.3058891390990217</v>
      </c>
      <c r="P80" s="155">
        <f t="shared" si="5"/>
        <v>0</v>
      </c>
      <c r="Q80" s="155"/>
      <c r="R80" s="156">
        <f t="shared" si="7"/>
        <v>0</v>
      </c>
      <c r="S80" s="158">
        <f t="shared" si="8"/>
        <v>0</v>
      </c>
      <c r="T80" s="154" t="e">
        <f t="shared" si="9"/>
        <v>#DIV/0!</v>
      </c>
    </row>
    <row r="81" spans="1:28" s="100" customFormat="1" ht="11.25" customHeight="1" x14ac:dyDescent="0.2">
      <c r="A81" s="129"/>
      <c r="B81" s="129"/>
      <c r="C81" s="120"/>
      <c r="D81" s="139"/>
      <c r="E81" s="1"/>
      <c r="F81" s="104"/>
      <c r="G81" s="120"/>
      <c r="H81" s="123"/>
      <c r="I81" s="95"/>
      <c r="J81" s="96"/>
      <c r="K81" s="96"/>
      <c r="L81" s="96"/>
      <c r="M81" s="96"/>
      <c r="N81" s="97"/>
      <c r="O81" s="98"/>
      <c r="P81" s="96"/>
      <c r="Q81" s="96"/>
      <c r="R81" s="97"/>
      <c r="S81" s="99"/>
      <c r="T81" s="95"/>
    </row>
    <row r="82" spans="1:28" s="100" customFormat="1" ht="11.25" customHeight="1" x14ac:dyDescent="0.2">
      <c r="A82" s="102"/>
      <c r="B82" s="102"/>
      <c r="C82" s="103"/>
      <c r="D82" s="103"/>
      <c r="E82" s="103"/>
      <c r="H82" s="123"/>
      <c r="I82" s="95"/>
      <c r="J82" s="96"/>
      <c r="M82" s="96"/>
      <c r="N82" s="97"/>
      <c r="O82" s="98"/>
      <c r="P82" s="96"/>
      <c r="Q82" s="96"/>
      <c r="R82" s="97"/>
      <c r="S82" s="99"/>
      <c r="T82" s="95"/>
    </row>
    <row r="83" spans="1:28" ht="11.25" customHeight="1" x14ac:dyDescent="0.2">
      <c r="A83" s="129"/>
      <c r="B83" s="129"/>
      <c r="C83" s="120"/>
      <c r="D83" s="104"/>
      <c r="E83" s="120"/>
      <c r="F83" s="114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71</v>
      </c>
      <c r="H84" s="123">
        <f>STDEV(H86:H90,H92,H94,H96)</f>
        <v>9.0842620039473965E-2</v>
      </c>
      <c r="I84" s="123">
        <f>STDEV(I86:I95)</f>
        <v>0</v>
      </c>
      <c r="J84" s="96"/>
      <c r="K84" s="1"/>
      <c r="L84" s="1"/>
      <c r="M84" s="96"/>
      <c r="N84" s="97"/>
      <c r="O84" s="123">
        <f>STDEV(O86:O90,O92,O94,O96)</f>
        <v>0.28847007649208856</v>
      </c>
      <c r="P84" s="96"/>
      <c r="Q84" s="96"/>
      <c r="R84" s="97"/>
      <c r="S84" s="123">
        <f>STDEV(S86:S95)</f>
        <v>0</v>
      </c>
      <c r="T84" s="123" t="e">
        <f>STDEV(T86:T95)</f>
        <v>#DIV/0!</v>
      </c>
    </row>
    <row r="85" spans="1:28" ht="11.25" customHeight="1" x14ac:dyDescent="0.25">
      <c r="H85" s="124"/>
      <c r="I85" s="124"/>
      <c r="J85"/>
      <c r="K85" s="1"/>
      <c r="L85" s="1"/>
      <c r="M85" s="1"/>
      <c r="N85" s="1"/>
      <c r="O85" s="124"/>
      <c r="P85" s="1"/>
      <c r="Q85" s="1"/>
      <c r="S85" s="124"/>
      <c r="T85" s="124"/>
      <c r="V85" s="1"/>
      <c r="W85" s="1"/>
      <c r="X85" s="1"/>
      <c r="Y85" s="1"/>
      <c r="Z85" s="1"/>
      <c r="AA85" s="1"/>
      <c r="AB85" s="1"/>
    </row>
    <row r="86" spans="1:28" s="109" customFormat="1" ht="11.25" customHeight="1" x14ac:dyDescent="0.2">
      <c r="A86" s="102">
        <v>25</v>
      </c>
      <c r="B86" s="102" t="s">
        <v>55</v>
      </c>
      <c r="C86" s="114">
        <v>0.47399999999999998</v>
      </c>
      <c r="D86" s="137"/>
      <c r="E86" s="1"/>
      <c r="F86" s="103">
        <v>3.1950847499999999</v>
      </c>
      <c r="G86" s="114">
        <v>-21.62635679843822</v>
      </c>
      <c r="H86" s="122">
        <f>$B$26*G86+$D$26</f>
        <v>-26.004468355605521</v>
      </c>
      <c r="I86" s="105">
        <f t="shared" ref="I86:I92" si="30">$B$27*E86+$D$27</f>
        <v>0</v>
      </c>
      <c r="J86" s="106">
        <f t="shared" ref="J86:J92" si="31">(F86)/C86</f>
        <v>6.7406851265822789</v>
      </c>
      <c r="K86" s="106">
        <f>H$14</f>
        <v>44.65</v>
      </c>
      <c r="L86" s="106">
        <f>I$14</f>
        <v>2.83</v>
      </c>
      <c r="M86" s="106">
        <f t="shared" ref="M86:M97" si="32">C86*(K86/100)</f>
        <v>0.211641</v>
      </c>
      <c r="N86" s="107">
        <f t="shared" ref="N86:N97" si="33">F86*$B$28+$D$28</f>
        <v>0.21350834333399998</v>
      </c>
      <c r="O86" s="110">
        <f t="shared" ref="O86:O92" si="34">N86/C86*100</f>
        <v>45.043954289873419</v>
      </c>
      <c r="P86" s="106">
        <f t="shared" ref="P86:P92" si="35">D86/C86</f>
        <v>0</v>
      </c>
      <c r="Q86" s="106">
        <f t="shared" ref="Q86:Q90" si="36">C86*(L86/100)</f>
        <v>1.3414200000000001E-2</v>
      </c>
      <c r="R86" s="107">
        <f t="shared" ref="R86:R92" si="37">D86*$B$29+$D$29</f>
        <v>0</v>
      </c>
      <c r="S86" s="108">
        <f t="shared" ref="S86:S92" si="38">R86/C86*100</f>
        <v>0</v>
      </c>
      <c r="T86" s="105" t="e">
        <f t="shared" ref="T86:T92" si="39">N86/R86</f>
        <v>#DIV/0!</v>
      </c>
    </row>
    <row r="87" spans="1:28" s="109" customFormat="1" ht="11.25" customHeight="1" x14ac:dyDescent="0.2">
      <c r="A87" s="115">
        <v>26</v>
      </c>
      <c r="B87" s="115" t="s">
        <v>56</v>
      </c>
      <c r="C87" s="116">
        <v>0.76500000000000001</v>
      </c>
      <c r="D87" s="138"/>
      <c r="E87" s="1"/>
      <c r="F87" s="116">
        <v>5.1217490000000003</v>
      </c>
      <c r="G87" s="116">
        <v>-21.579290668996734</v>
      </c>
      <c r="H87" s="122">
        <f t="shared" ref="H87:H92" si="40">$B$26*G87+$D$26</f>
        <v>-25.957402226164035</v>
      </c>
      <c r="I87" s="105">
        <f t="shared" si="30"/>
        <v>0</v>
      </c>
      <c r="J87" s="106">
        <f t="shared" si="31"/>
        <v>6.6950967320261441</v>
      </c>
      <c r="K87" s="106">
        <f t="shared" ref="K87:K90" si="41">H$14</f>
        <v>44.65</v>
      </c>
      <c r="L87" s="106">
        <f t="shared" ref="L87:L90" si="42">I$14</f>
        <v>2.83</v>
      </c>
      <c r="M87" s="106">
        <f t="shared" si="32"/>
        <v>0.3415725</v>
      </c>
      <c r="N87" s="107">
        <f t="shared" si="33"/>
        <v>0.34225575517599999</v>
      </c>
      <c r="O87" s="110">
        <f t="shared" si="34"/>
        <v>44.739314402091502</v>
      </c>
      <c r="P87" s="106">
        <f t="shared" si="35"/>
        <v>0</v>
      </c>
      <c r="Q87" s="106">
        <f t="shared" si="36"/>
        <v>2.1649500000000002E-2</v>
      </c>
      <c r="R87" s="107">
        <f t="shared" si="37"/>
        <v>0</v>
      </c>
      <c r="S87" s="108">
        <f t="shared" si="38"/>
        <v>0</v>
      </c>
      <c r="T87" s="105" t="e">
        <f t="shared" si="39"/>
        <v>#DIV/0!</v>
      </c>
    </row>
    <row r="88" spans="1:28" s="109" customFormat="1" ht="11.25" customHeight="1" x14ac:dyDescent="0.2">
      <c r="A88" s="102">
        <v>27</v>
      </c>
      <c r="B88" s="102" t="s">
        <v>57</v>
      </c>
      <c r="C88" s="114">
        <v>1.1779999999999999</v>
      </c>
      <c r="D88" s="137"/>
      <c r="E88" s="1"/>
      <c r="F88" s="103">
        <v>7.8886000000000003</v>
      </c>
      <c r="G88" s="114">
        <v>-21.619715876435848</v>
      </c>
      <c r="H88" s="122">
        <f t="shared" si="40"/>
        <v>-25.997827433603149</v>
      </c>
      <c r="I88" s="105">
        <f t="shared" si="30"/>
        <v>0</v>
      </c>
      <c r="J88" s="106">
        <f t="shared" si="31"/>
        <v>6.6966044142614605</v>
      </c>
      <c r="K88" s="106">
        <f t="shared" si="41"/>
        <v>44.65</v>
      </c>
      <c r="L88" s="106">
        <f t="shared" si="42"/>
        <v>2.83</v>
      </c>
      <c r="M88" s="106">
        <f t="shared" si="32"/>
        <v>0.52597700000000003</v>
      </c>
      <c r="N88" s="107">
        <f t="shared" si="33"/>
        <v>0.52714780640000003</v>
      </c>
      <c r="O88" s="110">
        <f t="shared" si="34"/>
        <v>44.749389337860784</v>
      </c>
      <c r="P88" s="106">
        <f t="shared" si="35"/>
        <v>0</v>
      </c>
      <c r="Q88" s="106">
        <f t="shared" si="36"/>
        <v>3.3337400000000003E-2</v>
      </c>
      <c r="R88" s="107">
        <f t="shared" si="37"/>
        <v>0</v>
      </c>
      <c r="S88" s="108">
        <f t="shared" si="38"/>
        <v>0</v>
      </c>
      <c r="T88" s="105" t="e">
        <f t="shared" si="39"/>
        <v>#DIV/0!</v>
      </c>
    </row>
    <row r="89" spans="1:28" s="109" customFormat="1" ht="11.25" customHeight="1" x14ac:dyDescent="0.2">
      <c r="A89" s="115">
        <v>28</v>
      </c>
      <c r="B89" s="115" t="s">
        <v>58</v>
      </c>
      <c r="C89" s="116">
        <v>0.52700000000000002</v>
      </c>
      <c r="D89" s="138"/>
      <c r="E89" s="1"/>
      <c r="F89" s="116">
        <v>3.5121617500000002</v>
      </c>
      <c r="G89" s="116">
        <v>-21.623546892412175</v>
      </c>
      <c r="H89" s="122">
        <f t="shared" si="40"/>
        <v>-26.001658449579477</v>
      </c>
      <c r="I89" s="105">
        <f t="shared" si="30"/>
        <v>0</v>
      </c>
      <c r="J89" s="106">
        <f t="shared" si="31"/>
        <v>6.664443548387097</v>
      </c>
      <c r="K89" s="106">
        <f t="shared" si="41"/>
        <v>44.65</v>
      </c>
      <c r="L89" s="106">
        <f t="shared" si="42"/>
        <v>2.83</v>
      </c>
      <c r="M89" s="106">
        <f t="shared" si="32"/>
        <v>0.23530550000000003</v>
      </c>
      <c r="N89" s="107">
        <f t="shared" si="33"/>
        <v>0.234696696782</v>
      </c>
      <c r="O89" s="110">
        <f t="shared" si="34"/>
        <v>44.534477567741931</v>
      </c>
      <c r="P89" s="106">
        <f t="shared" si="35"/>
        <v>0</v>
      </c>
      <c r="Q89" s="106">
        <f t="shared" si="36"/>
        <v>1.4914100000000001E-2</v>
      </c>
      <c r="R89" s="107">
        <f t="shared" si="37"/>
        <v>0</v>
      </c>
      <c r="S89" s="108">
        <f t="shared" si="38"/>
        <v>0</v>
      </c>
      <c r="T89" s="105" t="e">
        <f t="shared" si="39"/>
        <v>#DIV/0!</v>
      </c>
    </row>
    <row r="90" spans="1:28" s="109" customFormat="1" ht="11.25" customHeight="1" x14ac:dyDescent="0.2">
      <c r="A90" s="102">
        <v>29</v>
      </c>
      <c r="B90" s="102" t="s">
        <v>59</v>
      </c>
      <c r="C90" s="114">
        <v>1.1080000000000001</v>
      </c>
      <c r="D90" s="137"/>
      <c r="E90" s="1"/>
      <c r="F90" s="103">
        <v>7.3743334999999997</v>
      </c>
      <c r="G90" s="114">
        <v>-21.609016140202165</v>
      </c>
      <c r="H90" s="122">
        <f t="shared" si="40"/>
        <v>-25.987127697369466</v>
      </c>
      <c r="I90" s="105">
        <f t="shared" si="30"/>
        <v>0</v>
      </c>
      <c r="J90" s="106">
        <f t="shared" si="31"/>
        <v>6.6555356498194937</v>
      </c>
      <c r="K90" s="106">
        <f t="shared" si="41"/>
        <v>44.65</v>
      </c>
      <c r="L90" s="106">
        <f t="shared" si="42"/>
        <v>2.83</v>
      </c>
      <c r="M90" s="106">
        <f t="shared" si="32"/>
        <v>0.49472200000000005</v>
      </c>
      <c r="N90" s="107">
        <f t="shared" si="33"/>
        <v>0.49278246180399993</v>
      </c>
      <c r="O90" s="110">
        <f t="shared" si="34"/>
        <v>44.474951426353783</v>
      </c>
      <c r="P90" s="106">
        <f t="shared" si="35"/>
        <v>0</v>
      </c>
      <c r="Q90" s="106">
        <f t="shared" si="36"/>
        <v>3.1356400000000006E-2</v>
      </c>
      <c r="R90" s="107">
        <f t="shared" si="37"/>
        <v>0</v>
      </c>
      <c r="S90" s="108">
        <f t="shared" si="38"/>
        <v>0</v>
      </c>
      <c r="T90" s="105" t="e">
        <f t="shared" si="39"/>
        <v>#DIV/0!</v>
      </c>
    </row>
    <row r="91" spans="1:28" s="151" customFormat="1" ht="11.25" customHeight="1" x14ac:dyDescent="0.2">
      <c r="A91" s="115">
        <v>30</v>
      </c>
      <c r="B91" s="115" t="s">
        <v>78</v>
      </c>
      <c r="C91" s="116">
        <v>2.04</v>
      </c>
      <c r="D91" s="138"/>
      <c r="E91" s="1"/>
      <c r="F91" s="116">
        <v>1.0061453124999999</v>
      </c>
      <c r="G91" s="116">
        <v>-15.147932933937696</v>
      </c>
      <c r="H91" s="153">
        <f t="shared" si="40"/>
        <v>-19.526044491104997</v>
      </c>
      <c r="I91" s="154">
        <f t="shared" si="30"/>
        <v>0</v>
      </c>
      <c r="J91" s="155">
        <f t="shared" si="31"/>
        <v>0.4932084865196078</v>
      </c>
      <c r="K91" s="155">
        <f>$H$13</f>
        <v>3.3479999999999999</v>
      </c>
      <c r="L91" s="155"/>
      <c r="M91" s="155">
        <f t="shared" si="32"/>
        <v>6.829919999999999E-2</v>
      </c>
      <c r="N91" s="156">
        <f t="shared" si="33"/>
        <v>6.7234654362499993E-2</v>
      </c>
      <c r="O91" s="157">
        <f t="shared" si="34"/>
        <v>3.2958163903186266</v>
      </c>
      <c r="P91" s="155">
        <f t="shared" si="35"/>
        <v>0</v>
      </c>
      <c r="Q91" s="155"/>
      <c r="R91" s="156">
        <f t="shared" si="37"/>
        <v>0</v>
      </c>
      <c r="S91" s="158">
        <f t="shared" si="38"/>
        <v>0</v>
      </c>
      <c r="T91" s="154" t="e">
        <f t="shared" si="39"/>
        <v>#DIV/0!</v>
      </c>
    </row>
    <row r="92" spans="1:28" s="109" customFormat="1" ht="11.25" customHeight="1" x14ac:dyDescent="0.2">
      <c r="A92" s="102">
        <v>43</v>
      </c>
      <c r="B92" s="102" t="s">
        <v>70</v>
      </c>
      <c r="C92" s="114">
        <v>0.72399999999999998</v>
      </c>
      <c r="D92" s="137"/>
      <c r="E92" s="1"/>
      <c r="F92" s="103">
        <v>4.8784859999999997</v>
      </c>
      <c r="G92" s="114">
        <v>-21.588188714971274</v>
      </c>
      <c r="H92" s="122">
        <f t="shared" si="40"/>
        <v>-25.966300272138575</v>
      </c>
      <c r="I92" s="105">
        <f t="shared" si="30"/>
        <v>0</v>
      </c>
      <c r="J92" s="106">
        <f t="shared" si="31"/>
        <v>6.7382403314917125</v>
      </c>
      <c r="K92" s="106">
        <f t="shared" ref="K92" si="43">H$14</f>
        <v>44.65</v>
      </c>
      <c r="L92" s="106">
        <f t="shared" ref="L92" si="44">I$14</f>
        <v>2.83</v>
      </c>
      <c r="M92" s="106">
        <f t="shared" si="32"/>
        <v>0.323266</v>
      </c>
      <c r="N92" s="107">
        <f t="shared" si="33"/>
        <v>0.32599994846399993</v>
      </c>
      <c r="O92" s="110">
        <f t="shared" si="34"/>
        <v>45.027617191160211</v>
      </c>
      <c r="P92" s="106">
        <f t="shared" si="35"/>
        <v>0</v>
      </c>
      <c r="Q92" s="106">
        <f t="shared" ref="Q92" si="45">C92*(L92/100)</f>
        <v>2.0489200000000003E-2</v>
      </c>
      <c r="R92" s="107">
        <f t="shared" si="37"/>
        <v>0</v>
      </c>
      <c r="S92" s="108">
        <f t="shared" si="38"/>
        <v>0</v>
      </c>
      <c r="T92" s="105" t="e">
        <f t="shared" si="39"/>
        <v>#DIV/0!</v>
      </c>
    </row>
    <row r="93" spans="1:28" s="151" customFormat="1" ht="11.25" customHeight="1" x14ac:dyDescent="0.2">
      <c r="A93" s="115">
        <v>44</v>
      </c>
      <c r="B93" s="115" t="s">
        <v>91</v>
      </c>
      <c r="C93" s="116">
        <v>2.0059999999999998</v>
      </c>
      <c r="D93" s="138"/>
      <c r="E93" s="1"/>
      <c r="F93" s="116">
        <v>0.97650106250000002</v>
      </c>
      <c r="G93" s="116">
        <v>-14.945770475152747</v>
      </c>
      <c r="H93" s="153">
        <f>$B$26*G93+$D$26</f>
        <v>-19.32388203232005</v>
      </c>
      <c r="I93" s="154">
        <f>$B$27*E93+$D$27</f>
        <v>0</v>
      </c>
      <c r="J93" s="155">
        <f>(F93)/C93</f>
        <v>0.48679016076769699</v>
      </c>
      <c r="K93" s="155">
        <f>$H$13</f>
        <v>3.3479999999999999</v>
      </c>
      <c r="L93" s="155"/>
      <c r="M93" s="155">
        <f t="shared" si="32"/>
        <v>6.7160879999999978E-2</v>
      </c>
      <c r="N93" s="156">
        <f t="shared" si="33"/>
        <v>6.5253707000499997E-2</v>
      </c>
      <c r="O93" s="157">
        <f>N93/C93*100</f>
        <v>3.2529265703140582</v>
      </c>
      <c r="P93" s="155">
        <f>D93/C93</f>
        <v>0</v>
      </c>
      <c r="Q93" s="155"/>
      <c r="R93" s="156">
        <f>D93*$B$29+$D$29</f>
        <v>0</v>
      </c>
      <c r="S93" s="158">
        <f>R93/C93*100</f>
        <v>0</v>
      </c>
      <c r="T93" s="154" t="e">
        <f>N93/R93</f>
        <v>#DIV/0!</v>
      </c>
    </row>
    <row r="94" spans="1:28" s="109" customFormat="1" ht="11.25" customHeight="1" x14ac:dyDescent="0.2">
      <c r="A94" s="102">
        <v>57</v>
      </c>
      <c r="B94" s="102" t="s">
        <v>60</v>
      </c>
      <c r="C94" s="114">
        <v>0.59699999999999998</v>
      </c>
      <c r="D94" s="137"/>
      <c r="E94" s="1"/>
      <c r="F94" s="103">
        <v>3.97514675</v>
      </c>
      <c r="G94" s="114">
        <v>-21.576475411949719</v>
      </c>
      <c r="H94" s="122">
        <f t="shared" ref="H94:H97" si="46">$B$26*G94+$D$26</f>
        <v>-25.95458696911702</v>
      </c>
      <c r="I94" s="105">
        <f t="shared" ref="I94:I97" si="47">$B$27*E94+$D$27</f>
        <v>0</v>
      </c>
      <c r="J94" s="106">
        <f t="shared" ref="J94:J97" si="48">(F94)/C94</f>
        <v>6.6585372696817426</v>
      </c>
      <c r="K94" s="106">
        <f t="shared" ref="K94" si="49">H$14</f>
        <v>44.65</v>
      </c>
      <c r="L94" s="106">
        <f t="shared" ref="L94" si="50">I$14</f>
        <v>2.83</v>
      </c>
      <c r="M94" s="106">
        <f t="shared" si="32"/>
        <v>0.26656049999999998</v>
      </c>
      <c r="N94" s="107">
        <f t="shared" si="33"/>
        <v>0.26563520642199995</v>
      </c>
      <c r="O94" s="110">
        <f t="shared" ref="O94:O97" si="51">N94/C94*100</f>
        <v>44.495009450921266</v>
      </c>
      <c r="P94" s="106">
        <f t="shared" ref="P94:P97" si="52">D94/C94</f>
        <v>0</v>
      </c>
      <c r="Q94" s="106">
        <f t="shared" ref="Q94" si="53">C94*(L94/100)</f>
        <v>1.68951E-2</v>
      </c>
      <c r="R94" s="107">
        <f t="shared" ref="R94:R97" si="54">D94*$B$29+$D$29</f>
        <v>0</v>
      </c>
      <c r="S94" s="108">
        <f t="shared" ref="S94:S97" si="55">R94/C94*100</f>
        <v>0</v>
      </c>
      <c r="T94" s="105" t="e">
        <f t="shared" ref="T94:T97" si="56">N94/R94</f>
        <v>#DIV/0!</v>
      </c>
    </row>
    <row r="95" spans="1:28" s="151" customFormat="1" ht="11.25" customHeight="1" x14ac:dyDescent="0.2">
      <c r="A95" s="115">
        <v>58</v>
      </c>
      <c r="B95" s="115" t="s">
        <v>104</v>
      </c>
      <c r="C95" s="116">
        <v>3.2269999999999999</v>
      </c>
      <c r="D95" s="138"/>
      <c r="E95" s="1"/>
      <c r="F95" s="116">
        <v>1.5668932499999999</v>
      </c>
      <c r="G95" s="116">
        <v>-15.429883556616939</v>
      </c>
      <c r="H95" s="153">
        <f t="shared" si="46"/>
        <v>-19.807995113784241</v>
      </c>
      <c r="I95" s="154">
        <f t="shared" si="47"/>
        <v>0</v>
      </c>
      <c r="J95" s="155">
        <f t="shared" si="48"/>
        <v>0.48555725131701272</v>
      </c>
      <c r="K95" s="155">
        <f>$H$13</f>
        <v>3.3479999999999999</v>
      </c>
      <c r="L95" s="155"/>
      <c r="M95" s="155">
        <f t="shared" si="32"/>
        <v>0.10803995999999998</v>
      </c>
      <c r="N95" s="156">
        <f t="shared" si="33"/>
        <v>0.10470607453799999</v>
      </c>
      <c r="O95" s="157">
        <f t="shared" si="51"/>
        <v>3.2446877762008053</v>
      </c>
      <c r="P95" s="155">
        <f t="shared" si="52"/>
        <v>0</v>
      </c>
      <c r="Q95" s="155"/>
      <c r="R95" s="156">
        <f t="shared" si="54"/>
        <v>0</v>
      </c>
      <c r="S95" s="158">
        <f t="shared" si="55"/>
        <v>0</v>
      </c>
      <c r="T95" s="154" t="e">
        <f t="shared" si="56"/>
        <v>#DIV/0!</v>
      </c>
    </row>
    <row r="96" spans="1:28" s="109" customFormat="1" ht="11.25" customHeight="1" x14ac:dyDescent="0.2">
      <c r="A96" s="102">
        <v>71</v>
      </c>
      <c r="B96" s="102" t="s">
        <v>72</v>
      </c>
      <c r="C96" s="114">
        <v>0.29299999999999998</v>
      </c>
      <c r="D96" s="137"/>
      <c r="E96" s="1"/>
      <c r="F96" s="103">
        <v>1.938166625</v>
      </c>
      <c r="G96" s="114">
        <v>-21.352517039255453</v>
      </c>
      <c r="H96" s="122">
        <f t="shared" si="46"/>
        <v>-25.730628596422754</v>
      </c>
      <c r="I96" s="105">
        <f t="shared" si="47"/>
        <v>0</v>
      </c>
      <c r="J96" s="106">
        <f t="shared" si="48"/>
        <v>6.6149031569965873</v>
      </c>
      <c r="K96" s="106">
        <f t="shared" ref="K96" si="57">H$14</f>
        <v>44.65</v>
      </c>
      <c r="L96" s="106">
        <f t="shared" ref="L96" si="58">I$14</f>
        <v>2.83</v>
      </c>
      <c r="M96" s="106">
        <f t="shared" si="32"/>
        <v>0.13082449999999998</v>
      </c>
      <c r="N96" s="107">
        <f t="shared" si="33"/>
        <v>0.12951604654899998</v>
      </c>
      <c r="O96" s="110">
        <f t="shared" si="51"/>
        <v>44.203428856313984</v>
      </c>
      <c r="P96" s="106">
        <f t="shared" si="52"/>
        <v>0</v>
      </c>
      <c r="Q96" s="106">
        <f t="shared" ref="Q96" si="59">C96*(L96/100)</f>
        <v>8.2918999999999996E-3</v>
      </c>
      <c r="R96" s="107">
        <f t="shared" si="54"/>
        <v>0</v>
      </c>
      <c r="S96" s="108">
        <f t="shared" si="55"/>
        <v>0</v>
      </c>
      <c r="T96" s="105" t="e">
        <f t="shared" si="56"/>
        <v>#DIV/0!</v>
      </c>
    </row>
    <row r="97" spans="1:28" s="151" customFormat="1" ht="11.25" customHeight="1" x14ac:dyDescent="0.2">
      <c r="A97" s="140">
        <v>72</v>
      </c>
      <c r="B97" s="140" t="s">
        <v>117</v>
      </c>
      <c r="C97" s="132">
        <v>2.3530000000000002</v>
      </c>
      <c r="D97" s="141"/>
      <c r="E97" s="1"/>
      <c r="F97" s="132">
        <v>1.164066375</v>
      </c>
      <c r="G97" s="132">
        <v>-15.278574413024508</v>
      </c>
      <c r="H97" s="153">
        <f t="shared" si="46"/>
        <v>-19.656685970191809</v>
      </c>
      <c r="I97" s="154">
        <f t="shared" si="47"/>
        <v>0</v>
      </c>
      <c r="J97" s="155">
        <f t="shared" si="48"/>
        <v>0.49471584147896297</v>
      </c>
      <c r="K97" s="155">
        <f>$H$13</f>
        <v>3.3479999999999999</v>
      </c>
      <c r="L97" s="155"/>
      <c r="M97" s="155">
        <f t="shared" si="32"/>
        <v>7.8778439999999991E-2</v>
      </c>
      <c r="N97" s="156">
        <f t="shared" si="33"/>
        <v>7.7787571442999998E-2</v>
      </c>
      <c r="O97" s="157">
        <f t="shared" si="51"/>
        <v>3.3058891390990217</v>
      </c>
      <c r="P97" s="155">
        <f t="shared" si="52"/>
        <v>0</v>
      </c>
      <c r="Q97" s="155"/>
      <c r="R97" s="156">
        <f t="shared" si="54"/>
        <v>0</v>
      </c>
      <c r="S97" s="158">
        <f t="shared" si="55"/>
        <v>0</v>
      </c>
      <c r="T97" s="154" t="e">
        <f t="shared" si="56"/>
        <v>#DIV/0!</v>
      </c>
    </row>
    <row r="98" spans="1:28" s="100" customFormat="1" ht="11.25" customHeight="1" x14ac:dyDescent="0.2">
      <c r="A98" s="102"/>
      <c r="B98" s="162"/>
      <c r="C98" s="103"/>
      <c r="E98" s="148"/>
      <c r="F98" s="103"/>
      <c r="G98" s="103"/>
      <c r="H98" s="124"/>
      <c r="I98" s="124"/>
      <c r="J98" s="130"/>
      <c r="K98" s="130"/>
      <c r="L98" s="130"/>
      <c r="M98" s="130"/>
      <c r="N98" s="131"/>
      <c r="O98" s="125"/>
      <c r="P98" s="130"/>
      <c r="Q98" s="130"/>
      <c r="R98" s="131"/>
      <c r="S98" s="126"/>
      <c r="T98" s="124"/>
    </row>
    <row r="99" spans="1:28" s="100" customFormat="1" ht="11.25" customHeight="1" x14ac:dyDescent="0.2">
      <c r="A99" s="102"/>
      <c r="B99" s="162"/>
      <c r="C99" s="103"/>
      <c r="E99" s="148"/>
      <c r="F99" s="103"/>
      <c r="G99" s="103"/>
      <c r="H99" s="124"/>
      <c r="I99" s="124"/>
      <c r="J99" s="130"/>
      <c r="K99" s="130"/>
      <c r="L99" s="130"/>
      <c r="M99" s="130"/>
      <c r="N99" s="131"/>
      <c r="O99" s="125"/>
      <c r="P99" s="130"/>
      <c r="Q99" s="130"/>
      <c r="R99" s="131"/>
      <c r="S99" s="126"/>
      <c r="T99" s="124"/>
    </row>
    <row r="100" spans="1:28" s="100" customFormat="1" ht="11.25" customHeight="1" x14ac:dyDescent="0.2">
      <c r="A100" s="102"/>
      <c r="B100" s="162"/>
      <c r="C100" s="103"/>
      <c r="E100" s="148"/>
      <c r="F100" s="103"/>
      <c r="G100" s="103"/>
      <c r="H100" s="124"/>
      <c r="I100" s="124"/>
      <c r="J100" s="130"/>
      <c r="K100" s="130"/>
      <c r="L100" s="130"/>
      <c r="M100" s="130"/>
      <c r="N100" s="131"/>
      <c r="O100" s="125"/>
      <c r="P100" s="130"/>
      <c r="Q100" s="130"/>
      <c r="R100" s="131"/>
      <c r="S100" s="126"/>
      <c r="T100" s="124"/>
    </row>
    <row r="101" spans="1:28" s="100" customFormat="1" ht="11.25" customHeight="1" x14ac:dyDescent="0.2">
      <c r="A101" s="102"/>
      <c r="B101" s="162"/>
      <c r="C101" s="103"/>
      <c r="E101" s="148"/>
      <c r="F101" s="103"/>
      <c r="G101" s="103"/>
      <c r="H101" s="124"/>
      <c r="I101" s="124"/>
      <c r="J101" s="130"/>
      <c r="K101" s="130"/>
      <c r="L101" s="130"/>
      <c r="M101" s="130"/>
      <c r="N101" s="131"/>
      <c r="O101" s="125"/>
      <c r="P101" s="130"/>
      <c r="Q101" s="130"/>
      <c r="R101" s="131"/>
      <c r="S101" s="126"/>
      <c r="T101" s="124"/>
    </row>
    <row r="102" spans="1:28" ht="11.25" customHeight="1" x14ac:dyDescent="0.2">
      <c r="A102" s="111" t="s">
        <v>61</v>
      </c>
      <c r="B102" s="112" t="s">
        <v>40</v>
      </c>
      <c r="C102" s="111" t="s">
        <v>54</v>
      </c>
      <c r="D102" s="135" t="s">
        <v>74</v>
      </c>
      <c r="F102" s="111" t="s">
        <v>62</v>
      </c>
      <c r="G102" s="113" t="s">
        <v>63</v>
      </c>
      <c r="J102" s="1"/>
      <c r="K102" s="1"/>
      <c r="L102" s="1"/>
      <c r="M102" s="1"/>
      <c r="N102" s="1"/>
      <c r="O102" s="1"/>
      <c r="P102" s="1"/>
      <c r="Q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">
      <c r="A103" s="117" t="s">
        <v>64</v>
      </c>
      <c r="B103" s="117" t="s">
        <v>65</v>
      </c>
      <c r="C103" s="119" t="s">
        <v>67</v>
      </c>
      <c r="D103" s="136" t="s">
        <v>76</v>
      </c>
      <c r="F103" s="118" t="s">
        <v>66</v>
      </c>
      <c r="G103" s="119" t="s">
        <v>68</v>
      </c>
      <c r="J103" s="1"/>
      <c r="K103" s="1"/>
      <c r="L103" s="1"/>
      <c r="M103" s="1"/>
      <c r="N103" s="1"/>
      <c r="O103" s="1"/>
      <c r="P103" s="1"/>
      <c r="Q103" s="1"/>
      <c r="V103" s="1"/>
      <c r="W103" s="1"/>
      <c r="X103" s="1"/>
      <c r="Y103" s="1"/>
      <c r="Z103" s="1"/>
      <c r="AA103" s="1"/>
      <c r="AB103" s="1"/>
    </row>
    <row r="104" spans="1:28" ht="11.25" customHeight="1" x14ac:dyDescent="0.2">
      <c r="A104" s="102">
        <v>25</v>
      </c>
      <c r="B104" s="102" t="s">
        <v>55</v>
      </c>
      <c r="C104" s="114">
        <v>0.47399999999999998</v>
      </c>
      <c r="D104" s="137"/>
      <c r="F104" s="103">
        <v>3.1950847499999999</v>
      </c>
      <c r="G104" s="114">
        <v>-21.62635679843822</v>
      </c>
      <c r="J104" s="1"/>
      <c r="K104" s="1"/>
      <c r="L104" s="1"/>
      <c r="M104" s="1"/>
      <c r="N104" s="1"/>
      <c r="O104" s="1"/>
      <c r="P104" s="1"/>
      <c r="Q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115">
        <v>26</v>
      </c>
      <c r="B105" s="115" t="s">
        <v>56</v>
      </c>
      <c r="C105" s="116">
        <v>0.76500000000000001</v>
      </c>
      <c r="D105" s="138"/>
      <c r="F105" s="116">
        <v>5.1217490000000003</v>
      </c>
      <c r="G105" s="116">
        <v>-21.579290668996734</v>
      </c>
      <c r="J105" s="1"/>
      <c r="K105" s="1"/>
      <c r="L105" s="1"/>
      <c r="M105" s="1"/>
      <c r="N105" s="1"/>
      <c r="O105" s="1"/>
      <c r="P105" s="1"/>
      <c r="Q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102">
        <v>27</v>
      </c>
      <c r="B106" s="102" t="s">
        <v>57</v>
      </c>
      <c r="C106" s="114">
        <v>1.1779999999999999</v>
      </c>
      <c r="D106" s="137"/>
      <c r="F106" s="103">
        <v>7.8886000000000003</v>
      </c>
      <c r="G106" s="114">
        <v>-21.619715876435848</v>
      </c>
      <c r="J106" s="1"/>
      <c r="K106" s="1"/>
      <c r="L106" s="1"/>
      <c r="M106" s="1"/>
      <c r="N106" s="1"/>
      <c r="O106" s="1"/>
      <c r="P106" s="1"/>
      <c r="Q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115">
        <v>28</v>
      </c>
      <c r="B107" s="115" t="s">
        <v>58</v>
      </c>
      <c r="C107" s="116">
        <v>0.52700000000000002</v>
      </c>
      <c r="D107" s="138"/>
      <c r="F107" s="116">
        <v>3.5121617500000002</v>
      </c>
      <c r="G107" s="116">
        <v>-21.623546892412175</v>
      </c>
      <c r="J107" s="1"/>
      <c r="K107" s="1"/>
      <c r="L107" s="1"/>
      <c r="M107" s="1"/>
      <c r="N107" s="1"/>
      <c r="O107" s="1"/>
      <c r="P107" s="1"/>
      <c r="Q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102">
        <v>29</v>
      </c>
      <c r="B108" s="102" t="s">
        <v>59</v>
      </c>
      <c r="C108" s="114">
        <v>1.1080000000000001</v>
      </c>
      <c r="D108" s="137"/>
      <c r="F108" s="103">
        <v>7.3743334999999997</v>
      </c>
      <c r="G108" s="114">
        <v>-21.609016140202165</v>
      </c>
      <c r="J108" s="1"/>
      <c r="K108" s="1"/>
      <c r="L108" s="1"/>
      <c r="M108" s="1"/>
      <c r="N108" s="1"/>
      <c r="O108" s="1"/>
      <c r="P108" s="1"/>
      <c r="Q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115">
        <v>30</v>
      </c>
      <c r="B109" s="115" t="s">
        <v>78</v>
      </c>
      <c r="C109" s="116">
        <v>2.04</v>
      </c>
      <c r="D109" s="138"/>
      <c r="F109" s="116">
        <v>1.0061453124999999</v>
      </c>
      <c r="G109" s="116">
        <v>-15.147932933937696</v>
      </c>
      <c r="J109" s="1"/>
      <c r="K109" s="1"/>
      <c r="L109" s="1"/>
      <c r="M109" s="1"/>
      <c r="N109" s="1"/>
      <c r="O109" s="1"/>
      <c r="P109" s="1"/>
      <c r="Q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102">
        <v>31</v>
      </c>
      <c r="B110" s="102" t="s">
        <v>156</v>
      </c>
      <c r="C110" s="114">
        <v>6.4290000000000003</v>
      </c>
      <c r="D110" s="137"/>
      <c r="F110" s="103">
        <v>0.74380124999999997</v>
      </c>
      <c r="G110" s="114">
        <v>-19.921961607201641</v>
      </c>
      <c r="J110" s="1"/>
      <c r="K110" s="1"/>
      <c r="L110" s="1"/>
      <c r="M110" s="1"/>
      <c r="N110" s="1"/>
      <c r="O110" s="1"/>
      <c r="P110" s="1"/>
      <c r="Q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115">
        <v>32</v>
      </c>
      <c r="B111" s="115" t="s">
        <v>157</v>
      </c>
      <c r="C111" s="116">
        <v>6.4740000000000002</v>
      </c>
      <c r="D111" s="138"/>
      <c r="F111" s="116">
        <v>0.82890724999999998</v>
      </c>
      <c r="G111" s="116">
        <v>-19.987783045901818</v>
      </c>
      <c r="J111" s="1"/>
      <c r="K111" s="1"/>
      <c r="L111" s="1"/>
      <c r="M111" s="1"/>
      <c r="N111" s="1"/>
      <c r="O111" s="1"/>
      <c r="P111" s="1"/>
      <c r="Q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102">
        <v>33</v>
      </c>
      <c r="B112" s="102" t="s">
        <v>158</v>
      </c>
      <c r="C112" s="114">
        <v>6.3470000000000004</v>
      </c>
      <c r="D112" s="137"/>
      <c r="F112" s="103">
        <v>1.1889931250000001</v>
      </c>
      <c r="G112" s="114">
        <v>-20.060101094285663</v>
      </c>
      <c r="J112" s="1"/>
      <c r="K112" s="1"/>
      <c r="L112" s="1"/>
      <c r="M112" s="1"/>
      <c r="N112" s="1"/>
      <c r="O112" s="1"/>
      <c r="P112" s="1"/>
      <c r="Q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115">
        <v>34</v>
      </c>
      <c r="B113" s="115" t="s">
        <v>159</v>
      </c>
      <c r="C113" s="116">
        <v>6.4610000000000003</v>
      </c>
      <c r="D113" s="138"/>
      <c r="F113" s="116">
        <v>0.72667356250000004</v>
      </c>
      <c r="G113" s="116">
        <v>-19.250061841213491</v>
      </c>
      <c r="J113" s="1"/>
      <c r="K113" s="1"/>
      <c r="L113" s="1"/>
      <c r="M113" s="1"/>
      <c r="N113" s="1"/>
      <c r="O113" s="1"/>
      <c r="P113" s="1"/>
      <c r="Q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102">
        <v>35</v>
      </c>
      <c r="B114" s="102" t="s">
        <v>160</v>
      </c>
      <c r="C114" s="114">
        <v>6.39</v>
      </c>
      <c r="D114" s="137"/>
      <c r="F114" s="103">
        <v>0.71597556250000005</v>
      </c>
      <c r="G114" s="114">
        <v>-19.455597165988252</v>
      </c>
      <c r="J114" s="1"/>
      <c r="K114" s="1"/>
      <c r="L114" s="1"/>
      <c r="M114" s="1"/>
      <c r="N114" s="1"/>
      <c r="O114" s="1"/>
      <c r="P114" s="1"/>
      <c r="Q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115">
        <v>36</v>
      </c>
      <c r="B115" s="115" t="s">
        <v>161</v>
      </c>
      <c r="C115" s="116">
        <v>6.5229999999999997</v>
      </c>
      <c r="D115" s="138"/>
      <c r="F115" s="116">
        <v>0.70485493749999995</v>
      </c>
      <c r="G115" s="116">
        <v>-19.368072677623566</v>
      </c>
      <c r="J115" s="1"/>
      <c r="K115" s="1"/>
      <c r="L115" s="1"/>
      <c r="M115" s="1"/>
      <c r="N115" s="1"/>
      <c r="O115" s="1"/>
      <c r="P115" s="1"/>
      <c r="Q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102">
        <v>37</v>
      </c>
      <c r="B116" s="102" t="s">
        <v>162</v>
      </c>
      <c r="C116" s="114">
        <v>6.5149999999999997</v>
      </c>
      <c r="D116" s="137"/>
      <c r="F116" s="103">
        <v>1.2937514999999999</v>
      </c>
      <c r="G116" s="114">
        <v>-22.886731838598116</v>
      </c>
      <c r="J116" s="1"/>
      <c r="K116" s="1"/>
      <c r="L116" s="1"/>
      <c r="M116" s="1"/>
      <c r="N116" s="1"/>
      <c r="O116" s="1"/>
      <c r="P116" s="1"/>
      <c r="Q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115">
        <v>38</v>
      </c>
      <c r="B117" s="115" t="s">
        <v>163</v>
      </c>
      <c r="C117" s="116">
        <v>6.6740000000000004</v>
      </c>
      <c r="D117" s="138"/>
      <c r="F117" s="116">
        <v>1.3284705000000001</v>
      </c>
      <c r="G117" s="116">
        <v>-22.761520258847732</v>
      </c>
      <c r="J117" s="1"/>
      <c r="K117" s="1"/>
      <c r="L117" s="1"/>
      <c r="M117" s="1"/>
      <c r="N117" s="1"/>
      <c r="O117" s="1"/>
      <c r="P117" s="1"/>
      <c r="Q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102">
        <v>39</v>
      </c>
      <c r="B118" s="102" t="s">
        <v>164</v>
      </c>
      <c r="C118" s="114">
        <v>6.7530000000000001</v>
      </c>
      <c r="D118" s="137"/>
      <c r="F118" s="103">
        <v>1.4428441249999999</v>
      </c>
      <c r="G118" s="114">
        <v>-22.58531785659871</v>
      </c>
      <c r="J118" s="1"/>
      <c r="K118" s="1"/>
      <c r="L118" s="1"/>
      <c r="M118" s="1"/>
      <c r="N118" s="1"/>
      <c r="O118" s="1"/>
      <c r="P118" s="1"/>
      <c r="Q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115">
        <v>40</v>
      </c>
      <c r="B119" s="115" t="s">
        <v>165</v>
      </c>
      <c r="C119" s="116">
        <v>6.0650000000000004</v>
      </c>
      <c r="D119" s="138"/>
      <c r="F119" s="116">
        <v>0.55161249999999995</v>
      </c>
      <c r="G119" s="116">
        <v>-14.765671908902881</v>
      </c>
      <c r="J119" s="1"/>
      <c r="K119" s="1"/>
      <c r="L119" s="1"/>
      <c r="M119" s="1"/>
      <c r="N119" s="1"/>
      <c r="O119" s="1"/>
      <c r="P119" s="1"/>
      <c r="Q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102">
        <v>41</v>
      </c>
      <c r="B120" s="102" t="s">
        <v>166</v>
      </c>
      <c r="C120" s="114">
        <v>5.915</v>
      </c>
      <c r="D120" s="137"/>
      <c r="F120" s="103">
        <v>0.5295045625</v>
      </c>
      <c r="G120" s="114">
        <v>-14.8966924279742</v>
      </c>
      <c r="J120" s="1"/>
      <c r="K120" s="1"/>
      <c r="L120" s="1"/>
      <c r="M120" s="1"/>
      <c r="N120" s="1"/>
      <c r="O120" s="1"/>
      <c r="P120" s="1"/>
      <c r="Q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115">
        <v>42</v>
      </c>
      <c r="B121" s="115" t="s">
        <v>167</v>
      </c>
      <c r="C121" s="116">
        <v>6.2510000000000003</v>
      </c>
      <c r="D121" s="138"/>
      <c r="F121" s="116">
        <v>0.54746462500000004</v>
      </c>
      <c r="G121" s="116">
        <v>-14.807850856399021</v>
      </c>
      <c r="J121" s="1"/>
      <c r="K121" s="1"/>
      <c r="L121" s="1"/>
      <c r="M121" s="1"/>
      <c r="N121" s="1"/>
      <c r="O121" s="1"/>
      <c r="P121" s="1"/>
      <c r="Q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102">
        <v>43</v>
      </c>
      <c r="B122" s="102" t="s">
        <v>70</v>
      </c>
      <c r="C122" s="114">
        <v>0.72399999999999998</v>
      </c>
      <c r="D122" s="137"/>
      <c r="F122" s="103">
        <v>4.8784859999999997</v>
      </c>
      <c r="G122" s="114">
        <v>-21.588188714971274</v>
      </c>
      <c r="J122" s="1"/>
      <c r="K122" s="1"/>
      <c r="L122" s="1"/>
      <c r="M122" s="1"/>
      <c r="N122" s="1"/>
      <c r="O122" s="1"/>
      <c r="P122" s="1"/>
      <c r="Q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115">
        <v>44</v>
      </c>
      <c r="B123" s="115" t="s">
        <v>91</v>
      </c>
      <c r="C123" s="116">
        <v>2.0059999999999998</v>
      </c>
      <c r="D123" s="138"/>
      <c r="F123" s="116">
        <v>0.97650106250000002</v>
      </c>
      <c r="G123" s="116">
        <v>-14.945770475152747</v>
      </c>
      <c r="J123" s="1"/>
      <c r="K123" s="1"/>
      <c r="L123" s="1"/>
      <c r="M123" s="1"/>
      <c r="N123" s="1"/>
      <c r="O123" s="1"/>
      <c r="P123" s="1"/>
      <c r="Q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102">
        <v>45</v>
      </c>
      <c r="B124" s="102" t="s">
        <v>168</v>
      </c>
      <c r="C124" s="114">
        <v>6.68</v>
      </c>
      <c r="D124" s="137"/>
      <c r="F124" s="103">
        <v>0.62050806250000001</v>
      </c>
      <c r="G124" s="114">
        <v>-23.563069025842026</v>
      </c>
      <c r="J124" s="1"/>
      <c r="K124" s="1"/>
      <c r="L124" s="1"/>
      <c r="M124" s="1"/>
      <c r="N124" s="1"/>
      <c r="O124" s="1"/>
      <c r="P124" s="1"/>
      <c r="Q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115">
        <v>46</v>
      </c>
      <c r="B125" s="115" t="s">
        <v>169</v>
      </c>
      <c r="C125" s="116">
        <v>6.42</v>
      </c>
      <c r="D125" s="138"/>
      <c r="F125" s="116">
        <v>0.66097681249999996</v>
      </c>
      <c r="G125" s="116">
        <v>-23.429162403800689</v>
      </c>
      <c r="J125" s="1"/>
      <c r="K125" s="1"/>
      <c r="L125" s="1"/>
      <c r="M125" s="1"/>
      <c r="N125" s="1"/>
      <c r="O125" s="1"/>
      <c r="P125" s="1"/>
      <c r="Q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102">
        <v>47</v>
      </c>
      <c r="B126" s="102" t="s">
        <v>170</v>
      </c>
      <c r="C126" s="114">
        <v>6.39</v>
      </c>
      <c r="D126" s="137"/>
      <c r="F126" s="103">
        <v>0.71718006249999999</v>
      </c>
      <c r="G126" s="114">
        <v>-22.988209461289895</v>
      </c>
      <c r="J126" s="1"/>
      <c r="K126" s="1"/>
      <c r="L126" s="1"/>
      <c r="M126" s="1"/>
      <c r="N126" s="1"/>
      <c r="O126" s="1"/>
      <c r="P126" s="1"/>
      <c r="Q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115">
        <v>48</v>
      </c>
      <c r="B127" s="115" t="s">
        <v>171</v>
      </c>
      <c r="C127" s="116">
        <v>6.524</v>
      </c>
      <c r="D127" s="138"/>
      <c r="F127" s="116">
        <v>0.75061</v>
      </c>
      <c r="G127" s="116">
        <v>-22.710725599434639</v>
      </c>
      <c r="J127" s="1"/>
      <c r="K127" s="1"/>
      <c r="L127" s="1"/>
      <c r="M127" s="1"/>
      <c r="N127" s="1"/>
      <c r="O127" s="1"/>
      <c r="P127" s="1"/>
      <c r="Q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102">
        <v>49</v>
      </c>
      <c r="B128" s="102" t="s">
        <v>172</v>
      </c>
      <c r="C128" s="114">
        <v>4.8079999999999998</v>
      </c>
      <c r="D128" s="137"/>
      <c r="F128" s="103">
        <v>0.93970181249999996</v>
      </c>
      <c r="G128" s="114">
        <v>-22.012129605390498</v>
      </c>
      <c r="J128" s="1"/>
      <c r="K128" s="1"/>
      <c r="L128" s="1"/>
      <c r="M128" s="1"/>
      <c r="N128" s="1"/>
      <c r="O128" s="1"/>
      <c r="P128" s="1"/>
      <c r="Q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115">
        <v>50</v>
      </c>
      <c r="B129" s="115" t="s">
        <v>173</v>
      </c>
      <c r="C129" s="116">
        <v>6.8380000000000001</v>
      </c>
      <c r="D129" s="138"/>
      <c r="F129" s="116">
        <v>0.69997774999999995</v>
      </c>
      <c r="G129" s="116">
        <v>-22.869967618683411</v>
      </c>
      <c r="J129" s="1"/>
      <c r="K129" s="1"/>
      <c r="L129" s="1"/>
      <c r="M129" s="1"/>
      <c r="N129" s="1"/>
      <c r="O129" s="1"/>
      <c r="P129" s="1"/>
      <c r="Q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102">
        <v>51</v>
      </c>
      <c r="B130" s="102" t="s">
        <v>174</v>
      </c>
      <c r="C130" s="114">
        <v>6.5279999999999996</v>
      </c>
      <c r="D130" s="137"/>
      <c r="F130" s="103">
        <v>0.41434525</v>
      </c>
      <c r="G130" s="114">
        <v>-22.200886751407904</v>
      </c>
      <c r="J130" s="1"/>
      <c r="K130" s="1"/>
      <c r="L130" s="1"/>
      <c r="M130" s="1"/>
      <c r="N130" s="1"/>
      <c r="O130" s="1"/>
      <c r="P130" s="1"/>
      <c r="Q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115">
        <v>52</v>
      </c>
      <c r="B131" s="115" t="s">
        <v>175</v>
      </c>
      <c r="C131" s="116">
        <v>6.7140000000000004</v>
      </c>
      <c r="D131" s="138"/>
      <c r="F131" s="116">
        <v>0.61324006249999996</v>
      </c>
      <c r="G131" s="116">
        <v>-22.118836247855079</v>
      </c>
      <c r="J131" s="1"/>
      <c r="K131" s="1"/>
      <c r="L131" s="1"/>
      <c r="M131" s="1"/>
      <c r="N131" s="1"/>
      <c r="O131" s="1"/>
      <c r="P131" s="1"/>
      <c r="Q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102">
        <v>53</v>
      </c>
      <c r="B132" s="102" t="s">
        <v>176</v>
      </c>
      <c r="C132" s="114">
        <v>6.4409999999999998</v>
      </c>
      <c r="D132" s="137"/>
      <c r="F132" s="103">
        <v>0.50944837499999995</v>
      </c>
      <c r="G132" s="114">
        <v>-21.578883384816162</v>
      </c>
      <c r="J132" s="1"/>
      <c r="K132" s="1"/>
      <c r="L132" s="1"/>
      <c r="M132" s="1"/>
      <c r="N132" s="1"/>
      <c r="O132" s="1"/>
      <c r="P132" s="1"/>
      <c r="Q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115">
        <v>54</v>
      </c>
      <c r="B133" s="115" t="s">
        <v>177</v>
      </c>
      <c r="C133" s="116">
        <v>6.9660000000000002</v>
      </c>
      <c r="D133" s="138"/>
      <c r="F133" s="116">
        <v>1.7693916249999999</v>
      </c>
      <c r="G133" s="116">
        <v>-20.913150815269017</v>
      </c>
      <c r="J133" s="1"/>
      <c r="K133" s="1"/>
      <c r="L133" s="1"/>
      <c r="M133" s="1"/>
      <c r="N133" s="1"/>
      <c r="O133" s="1"/>
      <c r="P133" s="1"/>
      <c r="Q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102">
        <v>55</v>
      </c>
      <c r="B134" s="102" t="s">
        <v>178</v>
      </c>
      <c r="C134" s="114">
        <v>6.6929999999999996</v>
      </c>
      <c r="D134" s="137"/>
      <c r="F134" s="103">
        <v>1.229128</v>
      </c>
      <c r="G134" s="114">
        <v>-21.660004579231821</v>
      </c>
      <c r="J134" s="1"/>
      <c r="K134" s="1"/>
      <c r="L134" s="1"/>
      <c r="M134" s="1"/>
      <c r="N134" s="1"/>
      <c r="O134" s="1"/>
      <c r="P134" s="1"/>
      <c r="Q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115">
        <v>56</v>
      </c>
      <c r="B135" s="115" t="s">
        <v>179</v>
      </c>
      <c r="C135" s="116">
        <v>6.87</v>
      </c>
      <c r="D135" s="138"/>
      <c r="F135" s="116">
        <v>2.1421822499999998</v>
      </c>
      <c r="G135" s="116">
        <v>-21.171957975679899</v>
      </c>
      <c r="J135" s="1"/>
      <c r="K135" s="1"/>
      <c r="L135" s="1"/>
      <c r="M135" s="1"/>
      <c r="N135" s="1"/>
      <c r="O135" s="1"/>
      <c r="P135" s="1"/>
      <c r="Q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102">
        <v>57</v>
      </c>
      <c r="B136" s="102" t="s">
        <v>60</v>
      </c>
      <c r="C136" s="114">
        <v>0.59699999999999998</v>
      </c>
      <c r="D136" s="137"/>
      <c r="F136" s="103">
        <v>3.97514675</v>
      </c>
      <c r="G136" s="114">
        <v>-21.576475411949719</v>
      </c>
      <c r="J136" s="1"/>
      <c r="K136" s="1"/>
      <c r="L136" s="1"/>
      <c r="M136" s="1"/>
      <c r="N136" s="1"/>
      <c r="O136" s="1"/>
      <c r="P136" s="1"/>
      <c r="Q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115">
        <v>58</v>
      </c>
      <c r="B137" s="115" t="s">
        <v>104</v>
      </c>
      <c r="C137" s="116">
        <v>3.2269999999999999</v>
      </c>
      <c r="D137" s="138"/>
      <c r="F137" s="116">
        <v>1.5668932499999999</v>
      </c>
      <c r="G137" s="116">
        <v>-15.429883556616939</v>
      </c>
      <c r="J137" s="1"/>
      <c r="K137" s="1"/>
      <c r="L137" s="1"/>
      <c r="M137" s="1"/>
      <c r="N137" s="1"/>
      <c r="O137" s="1"/>
      <c r="P137" s="1"/>
      <c r="Q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102">
        <v>59</v>
      </c>
      <c r="B138" s="102" t="s">
        <v>180</v>
      </c>
      <c r="C138" s="114">
        <v>7.1420000000000003</v>
      </c>
      <c r="D138" s="137"/>
      <c r="F138" s="103">
        <v>1.7016825</v>
      </c>
      <c r="G138" s="114">
        <v>-21.502454757730369</v>
      </c>
      <c r="J138" s="1"/>
      <c r="K138" s="1"/>
      <c r="L138" s="1"/>
      <c r="M138" s="1"/>
      <c r="N138" s="1"/>
      <c r="O138" s="1"/>
      <c r="P138" s="1"/>
      <c r="Q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115">
        <v>60</v>
      </c>
      <c r="B139" s="115" t="s">
        <v>181</v>
      </c>
      <c r="C139" s="116">
        <v>8.1720000000000006</v>
      </c>
      <c r="D139" s="138"/>
      <c r="F139" s="116">
        <v>2.4794049999999999</v>
      </c>
      <c r="G139" s="116">
        <v>-21.020577255419095</v>
      </c>
      <c r="J139" s="1"/>
      <c r="K139" s="1"/>
      <c r="L139" s="1"/>
      <c r="M139" s="1"/>
      <c r="N139" s="1"/>
      <c r="O139" s="1"/>
      <c r="P139" s="1"/>
      <c r="Q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102">
        <v>61</v>
      </c>
      <c r="B140" s="102" t="s">
        <v>182</v>
      </c>
      <c r="C140" s="114">
        <v>7.0419999999999998</v>
      </c>
      <c r="D140" s="137"/>
      <c r="F140" s="103">
        <v>1.535255875</v>
      </c>
      <c r="G140" s="114">
        <v>-21.453755116035587</v>
      </c>
      <c r="J140" s="1"/>
      <c r="K140" s="1"/>
      <c r="L140" s="1"/>
      <c r="M140" s="1"/>
      <c r="N140" s="1"/>
      <c r="O140" s="1"/>
      <c r="P140" s="1"/>
      <c r="Q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115">
        <v>62</v>
      </c>
      <c r="B141" s="115" t="s">
        <v>183</v>
      </c>
      <c r="C141" s="116">
        <v>6.5049999999999999</v>
      </c>
      <c r="D141" s="138"/>
      <c r="F141" s="116">
        <v>0.612641875</v>
      </c>
      <c r="G141" s="116">
        <v>-22.251125280514724</v>
      </c>
      <c r="J141" s="1"/>
      <c r="K141" s="1"/>
      <c r="L141" s="1"/>
      <c r="M141" s="1"/>
      <c r="N141" s="1"/>
      <c r="O141" s="1"/>
      <c r="P141" s="1"/>
      <c r="Q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102">
        <v>63</v>
      </c>
      <c r="B142" s="102" t="s">
        <v>184</v>
      </c>
      <c r="C142" s="114">
        <v>6.819</v>
      </c>
      <c r="D142" s="137"/>
      <c r="F142" s="103">
        <v>0.56266581250000003</v>
      </c>
      <c r="G142" s="114">
        <v>-22.429489828122371</v>
      </c>
      <c r="J142" s="1"/>
      <c r="K142" s="1"/>
      <c r="L142" s="1"/>
      <c r="M142" s="1"/>
      <c r="N142" s="1"/>
      <c r="O142" s="1"/>
      <c r="P142" s="1"/>
      <c r="Q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115">
        <v>64</v>
      </c>
      <c r="B143" s="115" t="s">
        <v>185</v>
      </c>
      <c r="C143" s="116">
        <v>6.992</v>
      </c>
      <c r="D143" s="138"/>
      <c r="F143" s="116">
        <v>0.91811693750000001</v>
      </c>
      <c r="G143" s="116">
        <v>-22.078039857489824</v>
      </c>
      <c r="J143" s="1"/>
      <c r="K143" s="1"/>
      <c r="L143" s="1"/>
      <c r="M143" s="1"/>
      <c r="N143" s="1"/>
      <c r="O143" s="1"/>
      <c r="P143" s="1"/>
      <c r="Q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102">
        <v>65</v>
      </c>
      <c r="B144" s="102" t="s">
        <v>186</v>
      </c>
      <c r="C144" s="114">
        <v>15.933</v>
      </c>
      <c r="D144" s="137"/>
      <c r="F144" s="103">
        <v>1.86097475</v>
      </c>
      <c r="G144" s="114">
        <v>-20.407919389931973</v>
      </c>
      <c r="J144" s="1"/>
      <c r="K144" s="1"/>
      <c r="L144" s="1"/>
      <c r="M144" s="1"/>
      <c r="N144" s="1"/>
      <c r="O144" s="1"/>
      <c r="P144" s="1"/>
      <c r="Q144" s="1"/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115">
        <v>66</v>
      </c>
      <c r="B145" s="115" t="s">
        <v>187</v>
      </c>
      <c r="C145" s="116">
        <v>16.084</v>
      </c>
      <c r="D145" s="138"/>
      <c r="F145" s="116">
        <v>1.854881875</v>
      </c>
      <c r="G145" s="116">
        <v>-21.01522981117602</v>
      </c>
      <c r="J145" s="1"/>
      <c r="K145" s="1"/>
      <c r="L145" s="1"/>
      <c r="M145" s="1"/>
      <c r="N145" s="1"/>
      <c r="O145" s="1"/>
      <c r="P145" s="1"/>
      <c r="Q145" s="1"/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102">
        <v>67</v>
      </c>
      <c r="B146" s="102" t="s">
        <v>188</v>
      </c>
      <c r="C146" s="114">
        <v>15.897</v>
      </c>
      <c r="D146" s="137"/>
      <c r="F146" s="103">
        <v>0.50033696875</v>
      </c>
      <c r="G146" s="114">
        <v>-13.423009929364515</v>
      </c>
      <c r="J146" s="1"/>
      <c r="K146" s="1"/>
      <c r="L146" s="1"/>
      <c r="M146" s="1"/>
      <c r="N146" s="1"/>
      <c r="O146" s="1"/>
      <c r="P146" s="1"/>
      <c r="Q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115">
        <v>68</v>
      </c>
      <c r="B147" s="115" t="s">
        <v>189</v>
      </c>
      <c r="C147" s="116">
        <v>7.5170000000000003</v>
      </c>
      <c r="D147" s="138"/>
      <c r="F147" s="116">
        <v>0.46231384375000001</v>
      </c>
      <c r="G147" s="116">
        <v>-22.679856517742795</v>
      </c>
      <c r="J147" s="1"/>
      <c r="K147" s="1"/>
      <c r="L147" s="1"/>
      <c r="M147" s="1"/>
      <c r="N147" s="1"/>
      <c r="O147" s="1"/>
      <c r="P147" s="1"/>
      <c r="Q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102">
        <v>69</v>
      </c>
      <c r="B148" s="102" t="s">
        <v>190</v>
      </c>
      <c r="C148" s="114">
        <v>9.0519999999999996</v>
      </c>
      <c r="D148" s="137"/>
      <c r="F148" s="103">
        <v>0.76134293750000004</v>
      </c>
      <c r="G148" s="114">
        <v>-21.513844118608223</v>
      </c>
      <c r="J148" s="1"/>
      <c r="K148" s="1"/>
      <c r="L148" s="1"/>
      <c r="M148" s="1"/>
      <c r="N148" s="1"/>
      <c r="O148" s="1"/>
      <c r="P148" s="1"/>
      <c r="Q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115">
        <v>70</v>
      </c>
      <c r="B149" s="115" t="s">
        <v>191</v>
      </c>
      <c r="C149" s="116">
        <v>9.5329999999999995</v>
      </c>
      <c r="D149" s="138"/>
      <c r="F149" s="116">
        <v>0.87663800000000003</v>
      </c>
      <c r="G149" s="116">
        <v>-21.506847714715558</v>
      </c>
      <c r="J149" s="1"/>
      <c r="K149" s="1"/>
      <c r="L149" s="1"/>
      <c r="M149" s="1"/>
      <c r="N149" s="1"/>
      <c r="O149" s="1"/>
      <c r="P149" s="1"/>
      <c r="Q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102">
        <v>71</v>
      </c>
      <c r="B150" s="102" t="s">
        <v>72</v>
      </c>
      <c r="C150" s="114">
        <v>0.29299999999999998</v>
      </c>
      <c r="D150" s="137"/>
      <c r="F150" s="103">
        <v>1.938166625</v>
      </c>
      <c r="G150" s="114">
        <v>-21.352517039255453</v>
      </c>
      <c r="J150" s="1"/>
      <c r="K150" s="1"/>
      <c r="L150" s="1"/>
      <c r="M150" s="1"/>
      <c r="N150" s="1"/>
      <c r="O150" s="1"/>
      <c r="P150" s="1"/>
      <c r="Q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140">
        <v>72</v>
      </c>
      <c r="B151" s="140" t="s">
        <v>117</v>
      </c>
      <c r="C151" s="132">
        <v>2.3530000000000002</v>
      </c>
      <c r="D151" s="141"/>
      <c r="F151" s="132">
        <v>1.164066375</v>
      </c>
      <c r="G151" s="132">
        <v>-15.278574413024508</v>
      </c>
      <c r="J151" s="1"/>
      <c r="K151" s="1"/>
      <c r="L151" s="1"/>
      <c r="M151" s="1"/>
      <c r="N151" s="1"/>
      <c r="O151" s="1"/>
      <c r="P151" s="1"/>
      <c r="Q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5">
      <c r="I152" s="7"/>
      <c r="J152" s="7"/>
      <c r="K152" s="7"/>
      <c r="L152" s="1"/>
      <c r="M152" s="1"/>
      <c r="N152" s="1"/>
      <c r="O152" s="1"/>
      <c r="Q152" s="1"/>
      <c r="U152"/>
      <c r="AB152" s="1"/>
    </row>
    <row r="153" spans="1:28" ht="11.25" customHeight="1" x14ac:dyDescent="0.25">
      <c r="I153" s="7"/>
      <c r="J153" s="7"/>
      <c r="K153" s="7"/>
      <c r="L153" s="1"/>
      <c r="M153" s="1"/>
      <c r="N153" s="1"/>
      <c r="O153" s="1"/>
      <c r="Q153" s="1"/>
      <c r="U153"/>
      <c r="AB153" s="1"/>
    </row>
    <row r="154" spans="1:28" ht="11.25" customHeight="1" x14ac:dyDescent="0.25">
      <c r="I154" s="10"/>
      <c r="L154" s="7"/>
      <c r="Q154" s="1"/>
      <c r="U154"/>
      <c r="AB154" s="1"/>
    </row>
    <row r="155" spans="1:28" ht="11.25" customHeight="1" x14ac:dyDescent="0.25">
      <c r="I155" s="10"/>
      <c r="L155" s="7"/>
      <c r="Q155" s="1"/>
      <c r="U155"/>
      <c r="AB155" s="1"/>
    </row>
    <row r="156" spans="1:28" ht="11.25" customHeight="1" x14ac:dyDescent="0.25">
      <c r="I156" s="10"/>
      <c r="L156" s="7"/>
      <c r="Q156" s="1"/>
      <c r="U156"/>
      <c r="AB156" s="1"/>
    </row>
    <row r="157" spans="1:28" ht="11.25" customHeight="1" x14ac:dyDescent="0.25">
      <c r="I157" s="10"/>
      <c r="L157" s="7"/>
      <c r="Q157" s="1"/>
      <c r="U157"/>
      <c r="AB157" s="1"/>
    </row>
    <row r="158" spans="1:28" ht="11.25" customHeight="1" x14ac:dyDescent="0.25">
      <c r="I158" s="10"/>
      <c r="L158" s="7"/>
      <c r="Q158" s="1"/>
      <c r="U158"/>
      <c r="AB158" s="1"/>
    </row>
    <row r="159" spans="1:28" ht="11.25" customHeight="1" x14ac:dyDescent="0.25">
      <c r="I159" s="10"/>
      <c r="L159" s="7"/>
      <c r="Q159" s="1"/>
      <c r="U159"/>
      <c r="AB159" s="1"/>
    </row>
    <row r="160" spans="1:28" ht="11.25" customHeight="1" x14ac:dyDescent="0.25">
      <c r="I160" s="10"/>
      <c r="L160" s="7"/>
      <c r="Q160" s="1"/>
      <c r="U160"/>
      <c r="AB160" s="1"/>
    </row>
    <row r="161" spans="9:28" ht="11.25" customHeight="1" x14ac:dyDescent="0.25">
      <c r="I161" s="10"/>
      <c r="L161" s="7"/>
      <c r="Q161" s="1"/>
      <c r="U161"/>
      <c r="AB161" s="1"/>
    </row>
    <row r="162" spans="9:28" ht="11.25" customHeight="1" x14ac:dyDescent="0.25">
      <c r="I162" s="10"/>
      <c r="L162" s="7"/>
      <c r="Q162" s="1"/>
      <c r="U162"/>
      <c r="AB162" s="1"/>
    </row>
    <row r="163" spans="9:28" ht="11.25" customHeight="1" x14ac:dyDescent="0.25">
      <c r="I163" s="10"/>
      <c r="L163" s="7"/>
      <c r="Q163" s="1"/>
      <c r="U163"/>
      <c r="AB163" s="1"/>
    </row>
    <row r="164" spans="9:28" ht="11.25" customHeight="1" x14ac:dyDescent="0.25">
      <c r="I164" s="10"/>
      <c r="L164" s="7"/>
      <c r="Q164" s="1"/>
      <c r="U164"/>
      <c r="AB164" s="1"/>
    </row>
    <row r="165" spans="9:28" ht="11.25" customHeight="1" x14ac:dyDescent="0.25">
      <c r="I165" s="10"/>
      <c r="L165" s="7"/>
      <c r="Q165" s="1"/>
      <c r="U165"/>
      <c r="AB165" s="1"/>
    </row>
    <row r="166" spans="9:28" ht="11.25" customHeight="1" x14ac:dyDescent="0.25">
      <c r="I166" s="10"/>
      <c r="L166" s="7"/>
      <c r="Q166" s="1"/>
      <c r="U166"/>
      <c r="AB166" s="1"/>
    </row>
    <row r="167" spans="9:28" ht="11.25" customHeight="1" x14ac:dyDescent="0.25">
      <c r="I167" s="10"/>
      <c r="L167" s="7"/>
      <c r="Q167" s="1"/>
      <c r="U167"/>
      <c r="AB167" s="1"/>
    </row>
    <row r="168" spans="9:28" ht="11.25" customHeight="1" x14ac:dyDescent="0.25">
      <c r="I168" s="10"/>
      <c r="L168" s="7"/>
      <c r="Q168" s="1"/>
      <c r="U168"/>
      <c r="AB168" s="1"/>
    </row>
    <row r="169" spans="9:28" ht="11.25" customHeight="1" x14ac:dyDescent="0.25">
      <c r="I169" s="10"/>
      <c r="L169" s="7"/>
      <c r="Q169" s="1"/>
      <c r="U169"/>
      <c r="AB169" s="1"/>
    </row>
    <row r="170" spans="9:28" ht="11.25" customHeight="1" x14ac:dyDescent="0.25">
      <c r="I170" s="10"/>
      <c r="L170" s="7"/>
      <c r="Q170" s="1"/>
      <c r="U170"/>
      <c r="AB170" s="1"/>
    </row>
    <row r="171" spans="9:28" ht="11.25" customHeight="1" x14ac:dyDescent="0.25">
      <c r="I171" s="10"/>
      <c r="L171" s="7"/>
      <c r="Q171" s="1"/>
      <c r="U171"/>
      <c r="AB171" s="1"/>
    </row>
    <row r="172" spans="9:28" ht="11.25" customHeight="1" x14ac:dyDescent="0.25">
      <c r="I172" s="10"/>
      <c r="L172" s="7"/>
      <c r="Q172" s="1"/>
      <c r="U172"/>
      <c r="AB172" s="1"/>
    </row>
    <row r="173" spans="9:28" ht="11.25" customHeight="1" x14ac:dyDescent="0.25">
      <c r="I173" s="10"/>
      <c r="L173" s="7"/>
      <c r="Q173" s="1"/>
      <c r="U173"/>
      <c r="AB173" s="1"/>
    </row>
    <row r="174" spans="9:28" ht="11.25" customHeight="1" x14ac:dyDescent="0.25">
      <c r="I174" s="10"/>
      <c r="L174" s="7"/>
      <c r="Q174" s="1"/>
      <c r="U174"/>
      <c r="AB174" s="1"/>
    </row>
    <row r="175" spans="9:28" ht="11.25" customHeight="1" x14ac:dyDescent="0.25">
      <c r="I175" s="10"/>
      <c r="L175" s="7"/>
      <c r="Q175" s="1"/>
      <c r="U175"/>
      <c r="AB175" s="1"/>
    </row>
    <row r="176" spans="9:28" ht="11.25" customHeight="1" x14ac:dyDescent="0.25">
      <c r="I176" s="10"/>
      <c r="L176" s="7"/>
      <c r="Q176" s="1"/>
      <c r="U176"/>
      <c r="AB176" s="1"/>
    </row>
    <row r="177" spans="9:28" ht="11.25" customHeight="1" x14ac:dyDescent="0.25">
      <c r="I177" s="10"/>
      <c r="L177" s="7"/>
      <c r="Q177" s="1"/>
      <c r="U177"/>
      <c r="AB177" s="1"/>
    </row>
    <row r="178" spans="9:28" ht="11.25" customHeight="1" x14ac:dyDescent="0.25">
      <c r="I178" s="10"/>
      <c r="L178" s="7"/>
      <c r="Q178" s="1"/>
      <c r="U178"/>
      <c r="AB178" s="1"/>
    </row>
    <row r="179" spans="9:28" ht="11.25" customHeight="1" x14ac:dyDescent="0.25">
      <c r="I179" s="10"/>
      <c r="L179" s="7"/>
      <c r="Q179" s="1"/>
      <c r="U179"/>
      <c r="AB179" s="1"/>
    </row>
    <row r="180" spans="9:28" ht="11.25" customHeight="1" x14ac:dyDescent="0.25">
      <c r="I180" s="10"/>
      <c r="L180" s="7"/>
      <c r="Q180" s="1"/>
      <c r="U180"/>
      <c r="AB180" s="1"/>
    </row>
    <row r="181" spans="9:28" ht="11.25" customHeight="1" x14ac:dyDescent="0.25">
      <c r="I181" s="10"/>
      <c r="L181" s="7"/>
      <c r="Q181" s="1"/>
      <c r="U181"/>
      <c r="AB181" s="1"/>
    </row>
    <row r="182" spans="9:28" ht="11.25" customHeight="1" x14ac:dyDescent="0.25">
      <c r="I182" s="10"/>
      <c r="L182" s="7"/>
      <c r="Q182" s="1"/>
      <c r="U182"/>
      <c r="AB182" s="1"/>
    </row>
    <row r="183" spans="9:28" ht="11.25" customHeight="1" x14ac:dyDescent="0.25">
      <c r="I183" s="10"/>
      <c r="L183" s="7"/>
      <c r="Q183" s="1"/>
      <c r="U183"/>
      <c r="AB183" s="1"/>
    </row>
    <row r="184" spans="9:28" ht="11.25" customHeight="1" x14ac:dyDescent="0.25">
      <c r="I184" s="10"/>
      <c r="L184" s="7"/>
      <c r="Q184" s="1"/>
      <c r="U184"/>
      <c r="AB184" s="1"/>
    </row>
    <row r="185" spans="9:28" ht="11.25" customHeight="1" x14ac:dyDescent="0.25">
      <c r="I185" s="10"/>
      <c r="L185" s="7"/>
      <c r="Q185" s="1"/>
      <c r="U185"/>
      <c r="AB185" s="1"/>
    </row>
    <row r="186" spans="9:28" ht="11.25" customHeight="1" x14ac:dyDescent="0.25">
      <c r="I186" s="10"/>
      <c r="L186" s="7"/>
      <c r="Q186" s="1"/>
      <c r="U186"/>
      <c r="AB186" s="1"/>
    </row>
    <row r="187" spans="9:28" ht="11.25" customHeight="1" x14ac:dyDescent="0.25">
      <c r="I187" s="10"/>
      <c r="L187" s="7"/>
      <c r="Q187" s="1"/>
      <c r="U187"/>
      <c r="AB187" s="1"/>
    </row>
    <row r="188" spans="9:28" ht="11.25" customHeight="1" x14ac:dyDescent="0.25">
      <c r="I188" s="10"/>
      <c r="L188" s="7"/>
      <c r="Q188" s="1"/>
      <c r="U188"/>
      <c r="AB188" s="1"/>
    </row>
    <row r="189" spans="9:28" ht="11.25" customHeight="1" x14ac:dyDescent="0.25">
      <c r="I189" s="10"/>
      <c r="L189" s="7"/>
      <c r="Q189" s="1"/>
      <c r="U189"/>
      <c r="AB189" s="1"/>
    </row>
    <row r="190" spans="9:28" ht="11.25" customHeight="1" x14ac:dyDescent="0.25">
      <c r="I190" s="10"/>
      <c r="L190" s="7"/>
      <c r="Q190" s="1"/>
      <c r="U190"/>
      <c r="AB190" s="1"/>
    </row>
    <row r="191" spans="9:28" ht="11.25" customHeight="1" x14ac:dyDescent="0.25">
      <c r="I191" s="10"/>
      <c r="L191" s="7"/>
      <c r="Q191" s="1"/>
      <c r="U191"/>
      <c r="AB191" s="1"/>
    </row>
    <row r="192" spans="9:28" ht="11.25" customHeight="1" x14ac:dyDescent="0.25">
      <c r="I192" s="10"/>
      <c r="L192" s="7"/>
      <c r="Q192" s="1"/>
      <c r="U192"/>
      <c r="AB192" s="1"/>
    </row>
    <row r="193" spans="9:28" ht="11.25" customHeight="1" x14ac:dyDescent="0.25">
      <c r="I193" s="10"/>
      <c r="L193" s="7"/>
      <c r="Q193" s="1"/>
      <c r="U193"/>
      <c r="AB193" s="1"/>
    </row>
    <row r="194" spans="9:28" ht="11.25" customHeight="1" x14ac:dyDescent="0.25">
      <c r="I194" s="10"/>
      <c r="L194" s="7"/>
      <c r="Q194" s="1"/>
      <c r="U194"/>
      <c r="AB194" s="1"/>
    </row>
    <row r="195" spans="9:28" ht="11.25" customHeight="1" x14ac:dyDescent="0.25">
      <c r="I195" s="10"/>
      <c r="L195" s="7"/>
      <c r="Q195" s="1"/>
      <c r="U195"/>
      <c r="AB195" s="1"/>
    </row>
    <row r="196" spans="9:28" ht="11.25" customHeight="1" x14ac:dyDescent="0.25">
      <c r="I196" s="10"/>
      <c r="L196" s="7"/>
      <c r="Q196" s="1"/>
      <c r="U196"/>
      <c r="AB196" s="1"/>
    </row>
    <row r="197" spans="9:28" ht="11.25" customHeight="1" x14ac:dyDescent="0.25">
      <c r="I197" s="10"/>
      <c r="L197" s="7"/>
      <c r="Q197" s="1"/>
      <c r="U197"/>
      <c r="AB197" s="1"/>
    </row>
    <row r="198" spans="9:28" ht="11.25" customHeight="1" x14ac:dyDescent="0.25">
      <c r="I198" s="10"/>
      <c r="L198" s="7"/>
      <c r="Q198" s="1"/>
      <c r="U198"/>
      <c r="AB198" s="1"/>
    </row>
    <row r="199" spans="9:28" ht="11.25" customHeight="1" x14ac:dyDescent="0.25">
      <c r="I199" s="10"/>
      <c r="L199" s="7"/>
      <c r="Q199" s="1"/>
      <c r="U199"/>
      <c r="AB199" s="1"/>
    </row>
    <row r="200" spans="9:28" ht="11.25" customHeight="1" x14ac:dyDescent="0.25">
      <c r="I200" s="10"/>
      <c r="L200" s="7"/>
      <c r="Q200" s="1"/>
      <c r="U200"/>
      <c r="AB200" s="1"/>
    </row>
    <row r="201" spans="9:28" ht="11.25" customHeight="1" x14ac:dyDescent="0.25">
      <c r="I201" s="10"/>
      <c r="L201" s="7"/>
      <c r="Q201" s="1"/>
      <c r="U201"/>
      <c r="AB201" s="1"/>
    </row>
    <row r="202" spans="9:28" ht="11.25" customHeight="1" x14ac:dyDescent="0.25">
      <c r="I202" s="10"/>
      <c r="L202" s="7"/>
    </row>
    <row r="203" spans="9:28" ht="11.25" customHeight="1" x14ac:dyDescent="0.25">
      <c r="I203" s="10"/>
      <c r="L203" s="7"/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203"/>
  <sheetViews>
    <sheetView zoomScale="85" zoomScaleNormal="85" workbookViewId="0">
      <selection activeCell="A39" sqref="A39:XFD78"/>
    </sheetView>
  </sheetViews>
  <sheetFormatPr defaultColWidth="9.140625" defaultRowHeight="11.25" customHeight="1" x14ac:dyDescent="0.25"/>
  <cols>
    <col min="1" max="1" width="12" style="1" customWidth="1"/>
    <col min="2" max="2" width="25.28515625" style="101" customWidth="1"/>
    <col min="3" max="3" width="10.85546875" style="1" customWidth="1"/>
    <col min="4" max="4" width="8.28515625" style="1" customWidth="1"/>
    <col min="5" max="5" width="14" style="1" bestFit="1" customWidth="1"/>
    <col min="6" max="6" width="10.7109375" style="1" customWidth="1"/>
    <col min="7" max="7" width="11.42578125" style="1" bestFit="1" customWidth="1"/>
    <col min="8" max="8" width="9" style="1" customWidth="1"/>
    <col min="9" max="9" width="9.5703125" style="1" customWidth="1"/>
    <col min="10" max="10" width="11.42578125" style="10" customWidth="1"/>
    <col min="11" max="12" width="9.42578125" style="10" customWidth="1"/>
    <col min="13" max="14" width="10" style="7" customWidth="1"/>
    <col min="15" max="15" width="13" style="7" customWidth="1"/>
    <col min="16" max="16" width="9.140625" style="7"/>
    <col min="17" max="17" width="9.5703125" style="7" bestFit="1" customWidth="1"/>
    <col min="18" max="18" width="9.140625" style="1"/>
    <col min="19" max="19" width="9.5703125" style="1" bestFit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3"/>
      <c r="D2" s="3"/>
      <c r="E2" s="3"/>
      <c r="F2" s="3"/>
      <c r="G2" s="4"/>
      <c r="H2" s="4"/>
      <c r="I2" s="4"/>
      <c r="J2" s="5"/>
      <c r="K2" s="5"/>
      <c r="L2" s="6"/>
      <c r="M2" s="7"/>
      <c r="N2" s="7"/>
      <c r="O2" s="7"/>
      <c r="P2" s="7"/>
      <c r="Q2" s="7"/>
    </row>
    <row r="3" spans="1:19" s="1" customFormat="1" ht="11.25" customHeight="1" x14ac:dyDescent="0.2">
      <c r="B3" s="8" t="s">
        <v>1</v>
      </c>
      <c r="C3" s="9"/>
      <c r="D3" s="9"/>
      <c r="E3" s="9"/>
      <c r="F3" s="9"/>
      <c r="G3" s="133">
        <v>44635</v>
      </c>
      <c r="J3" s="10"/>
      <c r="K3" s="10"/>
      <c r="L3" s="10"/>
      <c r="M3" s="7"/>
      <c r="N3" s="7"/>
      <c r="O3" s="7"/>
      <c r="P3" s="7"/>
      <c r="Q3" s="7"/>
    </row>
    <row r="4" spans="1:19" s="1" customFormat="1" ht="11.25" customHeight="1" x14ac:dyDescent="0.2">
      <c r="B4" s="8" t="s">
        <v>2</v>
      </c>
      <c r="C4" s="9"/>
      <c r="D4" s="9"/>
      <c r="E4" s="9"/>
      <c r="F4" s="9"/>
      <c r="G4" s="1" t="s">
        <v>3</v>
      </c>
      <c r="J4" s="10"/>
      <c r="K4" s="10"/>
      <c r="L4" s="10"/>
      <c r="M4" s="7"/>
      <c r="N4" s="7"/>
      <c r="O4" s="7"/>
      <c r="P4" s="7"/>
      <c r="Q4" s="7"/>
    </row>
    <row r="5" spans="1:19" s="1" customFormat="1" ht="11.25" customHeight="1" x14ac:dyDescent="0.25">
      <c r="B5" s="8" t="s">
        <v>4</v>
      </c>
      <c r="C5" s="9"/>
      <c r="D5" s="9"/>
      <c r="E5" s="9"/>
      <c r="F5" s="9"/>
      <c r="G5" s="134" t="s">
        <v>154</v>
      </c>
      <c r="J5" s="10"/>
      <c r="K5" s="10"/>
      <c r="L5" s="10"/>
      <c r="M5" s="11"/>
      <c r="N5" s="11"/>
      <c r="O5" s="7"/>
      <c r="P5" s="7"/>
      <c r="Q5" s="7"/>
    </row>
    <row r="6" spans="1:19" s="1" customFormat="1" ht="11.25" customHeight="1" x14ac:dyDescent="0.2">
      <c r="B6" s="8" t="s">
        <v>5</v>
      </c>
      <c r="C6" s="9"/>
      <c r="D6" s="9"/>
      <c r="E6" s="9"/>
      <c r="F6" s="9"/>
      <c r="G6" s="1" t="s">
        <v>6</v>
      </c>
      <c r="J6" s="10"/>
      <c r="K6" s="10"/>
      <c r="L6" s="10"/>
      <c r="M6" s="7"/>
      <c r="N6" s="7"/>
      <c r="O6" s="7"/>
      <c r="P6" s="7"/>
      <c r="Q6" s="7"/>
      <c r="S6" s="12"/>
    </row>
    <row r="7" spans="1:19" s="1" customFormat="1" ht="11.25" customHeight="1" x14ac:dyDescent="0.2">
      <c r="B7" s="8" t="s">
        <v>7</v>
      </c>
      <c r="C7" s="9"/>
      <c r="D7" s="9"/>
      <c r="E7" s="9"/>
      <c r="F7" s="9"/>
      <c r="G7" s="9" t="s">
        <v>53</v>
      </c>
      <c r="J7" s="10"/>
      <c r="K7" s="10"/>
      <c r="L7" s="10"/>
      <c r="M7" s="7"/>
      <c r="N7" s="7"/>
      <c r="O7" s="7"/>
      <c r="P7" s="7"/>
      <c r="Q7" s="7"/>
    </row>
    <row r="8" spans="1:19" s="1" customFormat="1" ht="11.25" customHeight="1" x14ac:dyDescent="0.2">
      <c r="B8" s="8" t="s">
        <v>8</v>
      </c>
      <c r="C8" s="9"/>
      <c r="D8" s="9"/>
      <c r="E8" s="9"/>
      <c r="F8" s="9"/>
      <c r="G8" s="9" t="s">
        <v>9</v>
      </c>
      <c r="J8" s="10"/>
      <c r="K8" s="13"/>
      <c r="L8" s="7"/>
      <c r="M8" s="14"/>
      <c r="N8" s="15"/>
      <c r="O8" s="7"/>
      <c r="P8" s="7"/>
      <c r="Q8" s="7"/>
    </row>
    <row r="9" spans="1:19" s="1" customFormat="1" ht="11.25" customHeight="1" x14ac:dyDescent="0.25">
      <c r="A9" s="16" t="s">
        <v>10</v>
      </c>
      <c r="B9" s="17"/>
      <c r="C9" s="18" t="s">
        <v>11</v>
      </c>
      <c r="D9" s="19"/>
      <c r="E9" s="18" t="s">
        <v>12</v>
      </c>
      <c r="F9" s="20"/>
      <c r="G9" s="21" t="s">
        <v>13</v>
      </c>
      <c r="H9" s="22" t="s">
        <v>14</v>
      </c>
      <c r="I9" s="23" t="s">
        <v>14</v>
      </c>
      <c r="J9" s="24" t="s">
        <v>14</v>
      </c>
      <c r="K9" s="25"/>
      <c r="L9" s="7"/>
      <c r="M9" s="14"/>
      <c r="N9" s="15"/>
    </row>
    <row r="10" spans="1:19" s="1" customFormat="1" ht="11.25" customHeight="1" x14ac:dyDescent="0.25">
      <c r="A10" s="26"/>
      <c r="B10" s="27"/>
      <c r="C10" s="28" t="s">
        <v>14</v>
      </c>
      <c r="D10" s="29" t="s">
        <v>15</v>
      </c>
      <c r="E10" s="28" t="s">
        <v>14</v>
      </c>
      <c r="F10" s="30" t="s">
        <v>15</v>
      </c>
      <c r="G10" s="31" t="s">
        <v>16</v>
      </c>
      <c r="H10" s="31" t="s">
        <v>17</v>
      </c>
      <c r="I10" s="32" t="s">
        <v>18</v>
      </c>
      <c r="J10" s="33" t="s">
        <v>19</v>
      </c>
      <c r="K10" s="25"/>
      <c r="L10" s="7"/>
      <c r="M10" s="14"/>
      <c r="N10" s="15"/>
    </row>
    <row r="11" spans="1:19" s="1" customFormat="1" ht="11.25" customHeight="1" x14ac:dyDescent="0.25">
      <c r="A11" s="34"/>
      <c r="B11" s="35" t="s">
        <v>20</v>
      </c>
      <c r="C11" s="36">
        <v>-26.6</v>
      </c>
      <c r="D11" s="37"/>
      <c r="E11" s="38">
        <v>-21.3</v>
      </c>
      <c r="F11" s="39"/>
      <c r="G11" s="40"/>
      <c r="H11" s="41">
        <v>72.53</v>
      </c>
      <c r="I11" s="41">
        <v>6.51</v>
      </c>
      <c r="J11" s="42">
        <f>H11/I11</f>
        <v>11.141321044546851</v>
      </c>
      <c r="K11" s="25"/>
      <c r="L11" s="7"/>
      <c r="M11" s="14"/>
      <c r="N11" s="15"/>
    </row>
    <row r="12" spans="1:19" s="1" customFormat="1" ht="11.25" customHeight="1" x14ac:dyDescent="0.25">
      <c r="A12" s="43"/>
      <c r="B12" s="44" t="s">
        <v>21</v>
      </c>
      <c r="C12" s="45"/>
      <c r="D12" s="46"/>
      <c r="E12" s="47"/>
      <c r="F12" s="48"/>
      <c r="G12" s="40"/>
      <c r="H12" s="49">
        <v>20</v>
      </c>
      <c r="I12" s="49">
        <v>46.65</v>
      </c>
      <c r="J12" s="50">
        <f>H12/I12</f>
        <v>0.4287245444801715</v>
      </c>
      <c r="K12" s="10"/>
      <c r="L12" s="10"/>
    </row>
    <row r="13" spans="1:19" s="1" customFormat="1" ht="11.25" customHeight="1" x14ac:dyDescent="0.25">
      <c r="A13" s="43"/>
      <c r="B13" s="44">
        <v>2704</v>
      </c>
      <c r="C13" s="45"/>
      <c r="D13" s="46"/>
      <c r="E13" s="47"/>
      <c r="F13" s="48"/>
      <c r="G13" s="51"/>
      <c r="H13" s="49">
        <v>3.3479999999999999</v>
      </c>
      <c r="I13" s="49"/>
      <c r="J13" s="50"/>
      <c r="K13" s="10"/>
      <c r="L13" s="10"/>
    </row>
    <row r="14" spans="1:19" s="1" customFormat="1" ht="11.25" customHeight="1" x14ac:dyDescent="0.25">
      <c r="A14" s="43"/>
      <c r="B14" s="44" t="s">
        <v>22</v>
      </c>
      <c r="C14" s="52">
        <v>-25.95</v>
      </c>
      <c r="D14" s="53">
        <f>AVERAGE(G33:G37,G51,G65,G79)</f>
        <v>-21.633993682294076</v>
      </c>
      <c r="E14" s="54">
        <v>2.08</v>
      </c>
      <c r="F14" s="55"/>
      <c r="G14" s="51"/>
      <c r="H14" s="49">
        <v>44.65</v>
      </c>
      <c r="I14" s="49">
        <v>2.83</v>
      </c>
      <c r="J14" s="50">
        <f>H14/I14</f>
        <v>15.777385159010599</v>
      </c>
      <c r="K14" s="10"/>
      <c r="L14" s="10"/>
    </row>
    <row r="15" spans="1:19" s="1" customFormat="1" ht="11.25" customHeight="1" x14ac:dyDescent="0.25">
      <c r="A15" s="43"/>
      <c r="B15" s="44" t="s">
        <v>23</v>
      </c>
      <c r="C15" s="56">
        <v>-18.3</v>
      </c>
      <c r="D15" s="57"/>
      <c r="E15" s="54"/>
      <c r="F15" s="58"/>
      <c r="G15" s="59"/>
      <c r="H15" s="60"/>
      <c r="I15" s="60"/>
      <c r="J15" s="59"/>
      <c r="K15" s="10"/>
      <c r="L15" s="10"/>
    </row>
    <row r="16" spans="1:19" s="1" customFormat="1" ht="11.25" customHeight="1" x14ac:dyDescent="0.25">
      <c r="A16" s="43"/>
      <c r="B16" s="44" t="s">
        <v>24</v>
      </c>
      <c r="C16" s="52">
        <v>-25.49</v>
      </c>
      <c r="D16" s="57"/>
      <c r="E16" s="61"/>
      <c r="F16" s="62"/>
      <c r="G16" s="59"/>
      <c r="H16" s="60"/>
      <c r="I16" s="60"/>
      <c r="J16" s="59"/>
      <c r="K16" s="10"/>
      <c r="L16" s="10"/>
    </row>
    <row r="17" spans="1:20" s="1" customFormat="1" ht="11.25" customHeight="1" x14ac:dyDescent="0.25">
      <c r="A17" s="43"/>
      <c r="B17" s="44" t="s">
        <v>25</v>
      </c>
      <c r="C17" s="45">
        <v>-10.8</v>
      </c>
      <c r="D17" s="57"/>
      <c r="E17" s="61"/>
      <c r="F17" s="62"/>
      <c r="G17" s="59"/>
      <c r="H17" s="60"/>
      <c r="I17" s="60"/>
      <c r="J17" s="59"/>
      <c r="K17" s="10"/>
      <c r="L17" s="10"/>
    </row>
    <row r="18" spans="1:20" s="1" customFormat="1" ht="11.25" customHeight="1" x14ac:dyDescent="0.25">
      <c r="A18" s="43"/>
      <c r="B18" s="44" t="s">
        <v>26</v>
      </c>
      <c r="C18" s="45">
        <v>-24.91</v>
      </c>
      <c r="D18" s="57"/>
      <c r="E18" s="61"/>
      <c r="F18" s="62"/>
      <c r="G18" s="59"/>
      <c r="H18" s="60"/>
      <c r="I18" s="60"/>
      <c r="J18" s="59"/>
      <c r="K18" s="10"/>
      <c r="L18" s="10"/>
    </row>
    <row r="19" spans="1:20" s="1" customFormat="1" ht="11.25" customHeight="1" x14ac:dyDescent="0.25">
      <c r="A19" s="43"/>
      <c r="B19" s="6" t="s">
        <v>27</v>
      </c>
      <c r="C19" s="45"/>
      <c r="D19" s="57"/>
      <c r="E19" s="63">
        <v>2.7</v>
      </c>
      <c r="F19" s="62"/>
      <c r="G19" s="59"/>
      <c r="H19" s="60"/>
      <c r="I19" s="60"/>
      <c r="J19" s="59"/>
      <c r="K19" s="10"/>
      <c r="L19" s="10"/>
    </row>
    <row r="20" spans="1:20" s="1" customFormat="1" ht="11.25" customHeight="1" x14ac:dyDescent="0.25">
      <c r="A20" s="43"/>
      <c r="B20" s="6" t="s">
        <v>28</v>
      </c>
      <c r="C20" s="45"/>
      <c r="D20" s="57"/>
      <c r="E20" s="63">
        <v>180</v>
      </c>
      <c r="F20" s="62"/>
      <c r="G20" s="59"/>
      <c r="H20" s="60"/>
      <c r="I20" s="60"/>
      <c r="J20" s="59"/>
      <c r="K20" s="10"/>
      <c r="L20" s="10"/>
    </row>
    <row r="21" spans="1:20" s="1" customFormat="1" ht="11.25" customHeight="1" x14ac:dyDescent="0.25">
      <c r="A21" s="43"/>
      <c r="B21" s="6" t="s">
        <v>29</v>
      </c>
      <c r="C21" s="45"/>
      <c r="D21" s="57"/>
      <c r="E21" s="63">
        <v>-1.8</v>
      </c>
      <c r="F21" s="62"/>
      <c r="G21" s="59"/>
      <c r="H21" s="60"/>
      <c r="I21" s="60"/>
      <c r="J21" s="59"/>
      <c r="K21" s="10"/>
      <c r="L21" s="10"/>
    </row>
    <row r="22" spans="1:20" s="1" customFormat="1" ht="11.25" customHeight="1" x14ac:dyDescent="0.25">
      <c r="A22" s="43"/>
      <c r="B22" s="44" t="s">
        <v>30</v>
      </c>
      <c r="C22" s="64"/>
      <c r="D22" s="65"/>
      <c r="E22" s="66">
        <v>0.4</v>
      </c>
      <c r="F22" s="55" t="e">
        <f>AVERAGE(E40,E70)</f>
        <v>#DIV/0!</v>
      </c>
      <c r="G22" s="59"/>
      <c r="H22" s="67"/>
      <c r="I22" s="67"/>
      <c r="J22" s="59"/>
      <c r="K22" s="10"/>
      <c r="L22" s="10"/>
    </row>
    <row r="23" spans="1:20" s="1" customFormat="1" ht="11.25" customHeight="1" x14ac:dyDescent="0.25">
      <c r="A23" s="43"/>
      <c r="B23" s="44" t="s">
        <v>31</v>
      </c>
      <c r="C23" s="68"/>
      <c r="D23" s="65"/>
      <c r="E23" s="66">
        <v>20.3</v>
      </c>
      <c r="F23" s="55" t="e">
        <f>AVERAGE(E41,E71)</f>
        <v>#DIV/0!</v>
      </c>
      <c r="G23" s="59"/>
      <c r="H23" s="67"/>
      <c r="I23" s="67"/>
      <c r="J23" s="59"/>
      <c r="K23" s="69"/>
      <c r="L23" s="69"/>
      <c r="M23" s="7"/>
      <c r="N23" s="7"/>
      <c r="O23" s="7"/>
      <c r="P23" s="7"/>
      <c r="Q23" s="7"/>
    </row>
    <row r="24" spans="1:20" s="1" customFormat="1" ht="11.25" customHeight="1" x14ac:dyDescent="0.25">
      <c r="A24" s="43"/>
      <c r="B24" s="44" t="s">
        <v>32</v>
      </c>
      <c r="C24" s="70"/>
      <c r="D24" s="57"/>
      <c r="E24" s="58">
        <v>4.7</v>
      </c>
      <c r="F24" s="55"/>
      <c r="G24" s="59"/>
      <c r="H24" s="67"/>
      <c r="I24" s="67"/>
      <c r="J24" s="59"/>
      <c r="K24" s="69"/>
      <c r="L24" s="69"/>
      <c r="M24" s="7"/>
      <c r="N24" s="7"/>
      <c r="O24" s="7"/>
      <c r="P24" s="7"/>
      <c r="Q24" s="7"/>
    </row>
    <row r="25" spans="1:20" customFormat="1" ht="11.25" customHeight="1" x14ac:dyDescent="0.25">
      <c r="A25" s="34"/>
      <c r="B25" s="71" t="s">
        <v>33</v>
      </c>
      <c r="C25" s="72"/>
      <c r="D25" s="71" t="s">
        <v>34</v>
      </c>
      <c r="E25" s="71"/>
      <c r="F25" s="72"/>
      <c r="G25" s="73"/>
      <c r="H25" s="72"/>
      <c r="I25" s="72"/>
      <c r="J25" s="74"/>
      <c r="K25" s="58"/>
      <c r="L25" s="58"/>
      <c r="O25" s="67"/>
      <c r="P25" s="67"/>
      <c r="Q25" s="67"/>
      <c r="R25" s="67"/>
    </row>
    <row r="26" spans="1:20" customFormat="1" ht="11.25" customHeight="1" x14ac:dyDescent="0.25">
      <c r="A26" s="75" t="s">
        <v>35</v>
      </c>
      <c r="B26" s="58">
        <v>1</v>
      </c>
      <c r="C26" s="76" t="s">
        <v>52</v>
      </c>
      <c r="D26" s="55">
        <f>C14-D14</f>
        <v>-4.3160063177059236</v>
      </c>
      <c r="E26" s="58"/>
      <c r="F26" s="58"/>
      <c r="G26" s="64" t="s">
        <v>235</v>
      </c>
      <c r="H26" s="58">
        <v>6.0444000000000004</v>
      </c>
      <c r="I26" s="58"/>
      <c r="J26" s="77"/>
      <c r="K26" s="58"/>
      <c r="L26" s="58"/>
      <c r="O26" s="67"/>
      <c r="P26" s="67"/>
      <c r="Q26" s="67"/>
      <c r="R26" s="67"/>
    </row>
    <row r="27" spans="1:20" customFormat="1" ht="11.25" customHeight="1" x14ac:dyDescent="0.25">
      <c r="A27" s="75" t="s">
        <v>37</v>
      </c>
      <c r="B27" s="58"/>
      <c r="C27" s="76"/>
      <c r="D27" s="78"/>
      <c r="E27" s="58"/>
      <c r="F27" s="58"/>
      <c r="G27" s="64"/>
      <c r="H27" s="58"/>
      <c r="I27" s="58"/>
      <c r="J27" s="77"/>
      <c r="K27" s="58"/>
      <c r="L27" s="58"/>
      <c r="O27" s="67"/>
      <c r="P27" s="67"/>
      <c r="Q27" s="67"/>
      <c r="R27" s="67"/>
    </row>
    <row r="28" spans="1:20" customFormat="1" ht="11.25" customHeight="1" x14ac:dyDescent="0.25">
      <c r="A28" s="79" t="s">
        <v>38</v>
      </c>
      <c r="B28" s="58">
        <v>6.5673999999999996E-2</v>
      </c>
      <c r="C28" s="76" t="s">
        <v>36</v>
      </c>
      <c r="D28" s="78">
        <v>0</v>
      </c>
      <c r="E28" s="54"/>
      <c r="F28" s="58"/>
      <c r="G28" s="64"/>
      <c r="H28" s="58"/>
      <c r="I28" s="58"/>
      <c r="J28" s="77"/>
      <c r="K28" s="58"/>
      <c r="L28" s="58"/>
      <c r="O28" s="67"/>
      <c r="P28" s="67"/>
      <c r="Q28" s="67"/>
      <c r="R28" s="67"/>
    </row>
    <row r="29" spans="1:20" customFormat="1" ht="11.25" customHeight="1" x14ac:dyDescent="0.25">
      <c r="A29" s="79" t="s">
        <v>39</v>
      </c>
      <c r="B29" s="58"/>
      <c r="C29" s="54"/>
      <c r="D29" s="80"/>
      <c r="E29" s="80"/>
      <c r="F29" s="80"/>
      <c r="G29" s="81"/>
      <c r="H29" s="80"/>
      <c r="I29" s="80"/>
      <c r="J29" s="82"/>
      <c r="K29" s="58"/>
      <c r="L29" s="58"/>
      <c r="O29" s="67"/>
      <c r="P29" s="67"/>
      <c r="Q29" s="83"/>
      <c r="R29" s="67"/>
    </row>
    <row r="30" spans="1:20" s="1" customFormat="1" ht="11.25" customHeight="1" x14ac:dyDescent="0.2">
      <c r="A30" s="84"/>
      <c r="B30" s="85"/>
      <c r="C30" s="54"/>
      <c r="D30" s="54"/>
      <c r="E30" s="54"/>
      <c r="F30" s="54"/>
      <c r="G30" s="86"/>
      <c r="H30" s="54"/>
      <c r="I30" s="61"/>
      <c r="J30" s="44"/>
      <c r="K30" s="69"/>
      <c r="L30" s="69"/>
      <c r="M30" s="7"/>
      <c r="N30" s="7"/>
      <c r="O30" s="7"/>
      <c r="P30" s="7"/>
      <c r="Q30" s="7"/>
    </row>
    <row r="31" spans="1:20" s="1" customFormat="1" ht="12" customHeight="1" x14ac:dyDescent="0.2">
      <c r="A31" s="87"/>
      <c r="B31" s="88"/>
      <c r="C31" s="87"/>
      <c r="D31" s="87"/>
      <c r="E31" s="87"/>
      <c r="F31" s="87"/>
      <c r="G31" s="87"/>
      <c r="H31" s="87"/>
      <c r="I31" s="89"/>
      <c r="J31" s="90"/>
      <c r="K31" s="7"/>
      <c r="L31" s="7"/>
      <c r="M31" s="7"/>
      <c r="N31" s="7"/>
      <c r="O31" s="7"/>
      <c r="P31" s="7"/>
    </row>
    <row r="32" spans="1:20" s="1" customFormat="1" ht="11.25" customHeight="1" x14ac:dyDescent="0.2">
      <c r="A32" s="92"/>
      <c r="B32" s="91" t="s">
        <v>40</v>
      </c>
      <c r="C32" s="92" t="s">
        <v>54</v>
      </c>
      <c r="D32" s="92" t="s">
        <v>234</v>
      </c>
      <c r="E32" s="92" t="s">
        <v>41</v>
      </c>
      <c r="F32" s="92" t="s">
        <v>69</v>
      </c>
      <c r="G32" s="121" t="s">
        <v>42</v>
      </c>
      <c r="H32" s="93" t="s">
        <v>43</v>
      </c>
      <c r="I32" s="94" t="s">
        <v>44</v>
      </c>
      <c r="J32" s="94" t="s">
        <v>45</v>
      </c>
      <c r="K32" s="94" t="s">
        <v>46</v>
      </c>
      <c r="L32" s="94" t="s">
        <v>47</v>
      </c>
      <c r="M32" s="94" t="s">
        <v>38</v>
      </c>
      <c r="N32" s="94" t="s">
        <v>38</v>
      </c>
      <c r="O32" s="94" t="s">
        <v>48</v>
      </c>
      <c r="P32" s="94" t="s">
        <v>49</v>
      </c>
      <c r="Q32" s="94" t="s">
        <v>39</v>
      </c>
      <c r="R32" s="94" t="s">
        <v>39</v>
      </c>
      <c r="S32" s="94" t="s">
        <v>50</v>
      </c>
      <c r="T32" s="94" t="s">
        <v>51</v>
      </c>
    </row>
    <row r="33" spans="1:20" s="109" customFormat="1" ht="11.25" customHeight="1" x14ac:dyDescent="0.2">
      <c r="A33" s="102">
        <v>25</v>
      </c>
      <c r="B33" s="102" t="s">
        <v>55</v>
      </c>
      <c r="C33" s="114">
        <v>1.0820000000000001</v>
      </c>
      <c r="D33" s="137"/>
      <c r="E33" s="1"/>
      <c r="F33" s="103">
        <v>7.4501289999999996</v>
      </c>
      <c r="G33" s="114">
        <v>-21.562767359931257</v>
      </c>
      <c r="H33" s="122">
        <f>$B$26*G33+$D$26</f>
        <v>-25.878773677637181</v>
      </c>
      <c r="I33" s="105">
        <f t="shared" ref="I33:I80" si="0">$B$27*E33+$D$27</f>
        <v>0</v>
      </c>
      <c r="J33" s="106">
        <f t="shared" ref="J33:J80" si="1">(F33)/C33</f>
        <v>6.8855166358595188</v>
      </c>
      <c r="K33" s="106">
        <f>H$14</f>
        <v>44.65</v>
      </c>
      <c r="L33" s="106">
        <f>I$14</f>
        <v>2.83</v>
      </c>
      <c r="M33" s="106">
        <f t="shared" ref="M33:M38" si="2">C33*(K33/100)</f>
        <v>0.48311300000000001</v>
      </c>
      <c r="N33" s="169">
        <f t="shared" ref="N33:N80" si="3">F33*$B$28+$D$28</f>
        <v>0.48927977194599992</v>
      </c>
      <c r="O33" s="110">
        <f t="shared" ref="O33:O80" si="4">N33/C33*100</f>
        <v>45.219941954343795</v>
      </c>
      <c r="P33" s="106">
        <f t="shared" ref="P33:P80" si="5">D33/C33</f>
        <v>0</v>
      </c>
      <c r="Q33" s="106">
        <f t="shared" ref="Q33:Q37" si="6">C33*(L33/100)</f>
        <v>3.0620600000000005E-2</v>
      </c>
      <c r="R33" s="107">
        <f t="shared" ref="R33:R80" si="7">D33*$B$29+$D$29</f>
        <v>0</v>
      </c>
      <c r="S33" s="108">
        <f t="shared" ref="S33:S80" si="8">R33/C33*100</f>
        <v>0</v>
      </c>
      <c r="T33" s="105" t="e">
        <f t="shared" ref="T33:T80" si="9">N33/R33</f>
        <v>#DIV/0!</v>
      </c>
    </row>
    <row r="34" spans="1:20" s="109" customFormat="1" ht="11.25" customHeight="1" x14ac:dyDescent="0.2">
      <c r="A34" s="115">
        <v>26</v>
      </c>
      <c r="B34" s="115" t="s">
        <v>56</v>
      </c>
      <c r="C34" s="116">
        <v>0.90200000000000002</v>
      </c>
      <c r="D34" s="138"/>
      <c r="E34" s="1"/>
      <c r="F34" s="116">
        <v>6.1843044999999996</v>
      </c>
      <c r="G34" s="116">
        <v>-21.684550326994376</v>
      </c>
      <c r="H34" s="122">
        <f t="shared" ref="H34:H80" si="10">$B$26*G34+$D$26</f>
        <v>-26.0005566447003</v>
      </c>
      <c r="I34" s="105">
        <f t="shared" si="0"/>
        <v>0</v>
      </c>
      <c r="J34" s="106">
        <f t="shared" si="1"/>
        <v>6.856213414634146</v>
      </c>
      <c r="K34" s="106">
        <f t="shared" ref="K34:L37" si="11">H$14</f>
        <v>44.65</v>
      </c>
      <c r="L34" s="106">
        <f t="shared" si="11"/>
        <v>2.83</v>
      </c>
      <c r="M34" s="106">
        <f t="shared" si="2"/>
        <v>0.40274300000000002</v>
      </c>
      <c r="N34" s="169">
        <f t="shared" si="3"/>
        <v>0.40614801373299997</v>
      </c>
      <c r="O34" s="110">
        <f t="shared" si="4"/>
        <v>45.027495979268288</v>
      </c>
      <c r="P34" s="106">
        <f t="shared" si="5"/>
        <v>0</v>
      </c>
      <c r="Q34" s="106">
        <f t="shared" si="6"/>
        <v>2.5526600000000003E-2</v>
      </c>
      <c r="R34" s="107">
        <f t="shared" si="7"/>
        <v>0</v>
      </c>
      <c r="S34" s="108">
        <f t="shared" si="8"/>
        <v>0</v>
      </c>
      <c r="T34" s="105" t="e">
        <f t="shared" si="9"/>
        <v>#DIV/0!</v>
      </c>
    </row>
    <row r="35" spans="1:20" s="109" customFormat="1" ht="11.25" customHeight="1" x14ac:dyDescent="0.2">
      <c r="A35" s="102">
        <v>27</v>
      </c>
      <c r="B35" s="102" t="s">
        <v>57</v>
      </c>
      <c r="C35" s="114">
        <v>0.91700000000000004</v>
      </c>
      <c r="D35" s="137"/>
      <c r="E35" s="1"/>
      <c r="F35" s="103">
        <v>6.3039825</v>
      </c>
      <c r="G35" s="114">
        <v>-21.682245315534399</v>
      </c>
      <c r="H35" s="122">
        <f t="shared" si="10"/>
        <v>-25.998251633240322</v>
      </c>
      <c r="I35" s="105">
        <f t="shared" si="0"/>
        <v>0</v>
      </c>
      <c r="J35" s="106">
        <f t="shared" si="1"/>
        <v>6.8745719738276989</v>
      </c>
      <c r="K35" s="106">
        <f t="shared" si="11"/>
        <v>44.65</v>
      </c>
      <c r="L35" s="106">
        <f t="shared" si="11"/>
        <v>2.83</v>
      </c>
      <c r="M35" s="106">
        <f t="shared" si="2"/>
        <v>0.40944050000000004</v>
      </c>
      <c r="N35" s="169">
        <f t="shared" si="3"/>
        <v>0.41400774670499996</v>
      </c>
      <c r="O35" s="110">
        <f t="shared" si="4"/>
        <v>45.148063980916028</v>
      </c>
      <c r="P35" s="106">
        <f t="shared" si="5"/>
        <v>0</v>
      </c>
      <c r="Q35" s="106">
        <f t="shared" si="6"/>
        <v>2.5951100000000005E-2</v>
      </c>
      <c r="R35" s="107">
        <f t="shared" si="7"/>
        <v>0</v>
      </c>
      <c r="S35" s="108">
        <f t="shared" si="8"/>
        <v>0</v>
      </c>
      <c r="T35" s="105" t="e">
        <f t="shared" si="9"/>
        <v>#DIV/0!</v>
      </c>
    </row>
    <row r="36" spans="1:20" s="109" customFormat="1" ht="11.25" customHeight="1" x14ac:dyDescent="0.2">
      <c r="A36" s="115">
        <v>28</v>
      </c>
      <c r="B36" s="115" t="s">
        <v>58</v>
      </c>
      <c r="C36" s="116">
        <v>1.1419999999999999</v>
      </c>
      <c r="D36" s="138"/>
      <c r="E36" s="1"/>
      <c r="F36" s="116">
        <v>7.7796215000000002</v>
      </c>
      <c r="G36" s="116">
        <v>-21.620527509683971</v>
      </c>
      <c r="H36" s="122">
        <f t="shared" si="10"/>
        <v>-25.936533827389894</v>
      </c>
      <c r="I36" s="105">
        <f t="shared" si="0"/>
        <v>0</v>
      </c>
      <c r="J36" s="106">
        <f t="shared" si="1"/>
        <v>6.8122780210157625</v>
      </c>
      <c r="K36" s="106">
        <f t="shared" si="11"/>
        <v>44.65</v>
      </c>
      <c r="L36" s="106">
        <f t="shared" si="11"/>
        <v>2.83</v>
      </c>
      <c r="M36" s="106">
        <f t="shared" si="2"/>
        <v>0.509903</v>
      </c>
      <c r="N36" s="169">
        <f t="shared" si="3"/>
        <v>0.51091886239099993</v>
      </c>
      <c r="O36" s="110">
        <f t="shared" si="4"/>
        <v>44.738954675218913</v>
      </c>
      <c r="P36" s="106">
        <f t="shared" si="5"/>
        <v>0</v>
      </c>
      <c r="Q36" s="106">
        <f t="shared" si="6"/>
        <v>3.2318600000000003E-2</v>
      </c>
      <c r="R36" s="107">
        <f t="shared" si="7"/>
        <v>0</v>
      </c>
      <c r="S36" s="108">
        <f t="shared" si="8"/>
        <v>0</v>
      </c>
      <c r="T36" s="105" t="e">
        <f t="shared" si="9"/>
        <v>#DIV/0!</v>
      </c>
    </row>
    <row r="37" spans="1:20" s="109" customFormat="1" ht="11.25" customHeight="1" x14ac:dyDescent="0.2">
      <c r="A37" s="102">
        <v>29</v>
      </c>
      <c r="B37" s="102" t="s">
        <v>59</v>
      </c>
      <c r="C37" s="114">
        <v>1.028</v>
      </c>
      <c r="D37" s="137"/>
      <c r="E37" s="1"/>
      <c r="F37" s="103">
        <v>7.0831875000000002</v>
      </c>
      <c r="G37" s="114">
        <v>-21.667867792140505</v>
      </c>
      <c r="H37" s="122">
        <f t="shared" si="10"/>
        <v>-25.983874109846429</v>
      </c>
      <c r="I37" s="105">
        <f t="shared" si="0"/>
        <v>0</v>
      </c>
      <c r="J37" s="106">
        <f t="shared" si="1"/>
        <v>6.8902602140077818</v>
      </c>
      <c r="K37" s="106">
        <f t="shared" si="11"/>
        <v>44.65</v>
      </c>
      <c r="L37" s="106">
        <f t="shared" si="11"/>
        <v>2.83</v>
      </c>
      <c r="M37" s="106">
        <f t="shared" si="2"/>
        <v>0.45900200000000002</v>
      </c>
      <c r="N37" s="169">
        <f t="shared" si="3"/>
        <v>0.46518125587499998</v>
      </c>
      <c r="O37" s="110">
        <f t="shared" si="4"/>
        <v>45.251094929474704</v>
      </c>
      <c r="P37" s="106">
        <f t="shared" si="5"/>
        <v>0</v>
      </c>
      <c r="Q37" s="106">
        <f t="shared" si="6"/>
        <v>2.9092400000000004E-2</v>
      </c>
      <c r="R37" s="107">
        <f t="shared" si="7"/>
        <v>0</v>
      </c>
      <c r="S37" s="108">
        <f t="shared" si="8"/>
        <v>0</v>
      </c>
      <c r="T37" s="105" t="e">
        <f t="shared" si="9"/>
        <v>#DIV/0!</v>
      </c>
    </row>
    <row r="38" spans="1:20" s="151" customFormat="1" ht="11.25" customHeight="1" x14ac:dyDescent="0.2">
      <c r="A38" s="115">
        <v>30</v>
      </c>
      <c r="B38" s="115" t="s">
        <v>78</v>
      </c>
      <c r="C38" s="116">
        <v>2.4620000000000002</v>
      </c>
      <c r="D38" s="138"/>
      <c r="E38" s="1"/>
      <c r="F38" s="116">
        <v>1.1979498749999999</v>
      </c>
      <c r="G38" s="116">
        <v>-15.459503823444821</v>
      </c>
      <c r="H38" s="153">
        <f t="shared" si="10"/>
        <v>-19.775510141150747</v>
      </c>
      <c r="I38" s="154">
        <f t="shared" si="0"/>
        <v>0</v>
      </c>
      <c r="J38" s="155">
        <f t="shared" si="1"/>
        <v>0.48657590373679926</v>
      </c>
      <c r="K38" s="155">
        <f>$H$13</f>
        <v>3.3479999999999999</v>
      </c>
      <c r="L38" s="155"/>
      <c r="M38" s="155">
        <f t="shared" si="2"/>
        <v>8.2427760000000003E-2</v>
      </c>
      <c r="N38" s="170">
        <f t="shared" si="3"/>
        <v>7.8674160090749998E-2</v>
      </c>
      <c r="O38" s="157">
        <f t="shared" si="4"/>
        <v>3.195538590201056</v>
      </c>
      <c r="P38" s="155">
        <f t="shared" si="5"/>
        <v>0</v>
      </c>
      <c r="Q38" s="155"/>
      <c r="R38" s="156">
        <f t="shared" si="7"/>
        <v>0</v>
      </c>
      <c r="S38" s="158">
        <f t="shared" si="8"/>
        <v>0</v>
      </c>
      <c r="T38" s="154" t="e">
        <f t="shared" si="9"/>
        <v>#DIV/0!</v>
      </c>
    </row>
    <row r="39" spans="1:20" s="100" customFormat="1" ht="11.25" customHeight="1" x14ac:dyDescent="0.2">
      <c r="A39" s="102">
        <v>31</v>
      </c>
      <c r="B39" s="102" t="s">
        <v>118</v>
      </c>
      <c r="C39" s="114">
        <v>6.1660000000000004</v>
      </c>
      <c r="D39" s="165">
        <f>C39-$H$26</f>
        <v>0.12159999999999993</v>
      </c>
      <c r="E39" s="1"/>
      <c r="F39" s="103">
        <v>0.20463965625</v>
      </c>
      <c r="G39" s="114">
        <v>-23.27755519620036</v>
      </c>
      <c r="H39" s="123">
        <f t="shared" si="10"/>
        <v>-27.593561513906284</v>
      </c>
      <c r="I39" s="95">
        <f t="shared" si="0"/>
        <v>0</v>
      </c>
      <c r="J39" s="96">
        <f t="shared" si="1"/>
        <v>3.3188397056438529E-2</v>
      </c>
      <c r="K39" s="96"/>
      <c r="L39" s="96"/>
      <c r="M39" s="96"/>
      <c r="N39" s="171">
        <f t="shared" si="3"/>
        <v>1.34395047845625E-2</v>
      </c>
      <c r="O39" s="98">
        <f>N39/D39*100</f>
        <v>11.052224329409958</v>
      </c>
      <c r="P39" s="96">
        <f t="shared" si="5"/>
        <v>1.9721050924424249E-2</v>
      </c>
      <c r="Q39" s="96"/>
      <c r="R39" s="97">
        <f t="shared" si="7"/>
        <v>0</v>
      </c>
      <c r="S39" s="99">
        <f t="shared" si="8"/>
        <v>0</v>
      </c>
      <c r="T39" s="95" t="e">
        <f t="shared" si="9"/>
        <v>#DIV/0!</v>
      </c>
    </row>
    <row r="40" spans="1:20" s="100" customFormat="1" ht="11.25" customHeight="1" x14ac:dyDescent="0.2">
      <c r="A40" s="115">
        <v>32</v>
      </c>
      <c r="B40" s="115" t="s">
        <v>119</v>
      </c>
      <c r="C40" s="116">
        <v>5.5419999999999998</v>
      </c>
      <c r="D40" s="165">
        <f t="shared" ref="D40:D50" si="12">C40-$H$26</f>
        <v>-0.50240000000000062</v>
      </c>
      <c r="E40" s="1"/>
      <c r="F40" s="116">
        <v>0.16994975000000001</v>
      </c>
      <c r="G40" s="116">
        <v>-23.971571675506166</v>
      </c>
      <c r="H40" s="123">
        <f t="shared" si="10"/>
        <v>-28.287577993212089</v>
      </c>
      <c r="I40" s="95">
        <f t="shared" si="0"/>
        <v>0</v>
      </c>
      <c r="J40" s="96">
        <f t="shared" si="1"/>
        <v>3.0665779501984847E-2</v>
      </c>
      <c r="K40" s="96"/>
      <c r="L40" s="96"/>
      <c r="M40" s="96"/>
      <c r="N40" s="171">
        <f t="shared" si="3"/>
        <v>1.1161279881499999E-2</v>
      </c>
      <c r="O40" s="98">
        <f t="shared" ref="O40:O50" si="13">N40/D40*100</f>
        <v>-2.2215923331011118</v>
      </c>
      <c r="P40" s="96">
        <f t="shared" si="5"/>
        <v>-9.0653193792854678E-2</v>
      </c>
      <c r="Q40" s="96"/>
      <c r="R40" s="97">
        <f t="shared" si="7"/>
        <v>0</v>
      </c>
      <c r="S40" s="99">
        <f t="shared" si="8"/>
        <v>0</v>
      </c>
      <c r="T40" s="95" t="e">
        <f t="shared" si="9"/>
        <v>#DIV/0!</v>
      </c>
    </row>
    <row r="41" spans="1:20" s="100" customFormat="1" ht="11.25" customHeight="1" x14ac:dyDescent="0.2">
      <c r="A41" s="102">
        <v>33</v>
      </c>
      <c r="B41" s="102" t="s">
        <v>120</v>
      </c>
      <c r="C41" s="114">
        <v>6.2489999999999997</v>
      </c>
      <c r="D41" s="165">
        <f t="shared" si="12"/>
        <v>0.20459999999999923</v>
      </c>
      <c r="E41" s="1"/>
      <c r="F41" s="103">
        <v>0.199825453125</v>
      </c>
      <c r="G41" s="114">
        <v>-23.888032032389201</v>
      </c>
      <c r="H41" s="123">
        <f t="shared" si="10"/>
        <v>-28.204038350095125</v>
      </c>
      <c r="I41" s="95">
        <f t="shared" si="0"/>
        <v>0</v>
      </c>
      <c r="J41" s="96">
        <f t="shared" si="1"/>
        <v>3.1977188850216033E-2</v>
      </c>
      <c r="K41" s="96"/>
      <c r="L41" s="96"/>
      <c r="M41" s="96"/>
      <c r="N41" s="171">
        <f t="shared" si="3"/>
        <v>1.3123336808531248E-2</v>
      </c>
      <c r="O41" s="98">
        <f t="shared" si="13"/>
        <v>6.4141431126741439</v>
      </c>
      <c r="P41" s="96">
        <f t="shared" si="5"/>
        <v>3.2741238598175584E-2</v>
      </c>
      <c r="Q41" s="96"/>
      <c r="R41" s="97">
        <f t="shared" si="7"/>
        <v>0</v>
      </c>
      <c r="S41" s="99">
        <f t="shared" si="8"/>
        <v>0</v>
      </c>
      <c r="T41" s="95" t="e">
        <f t="shared" si="9"/>
        <v>#DIV/0!</v>
      </c>
    </row>
    <row r="42" spans="1:20" s="7" customFormat="1" ht="11.25" customHeight="1" x14ac:dyDescent="0.2">
      <c r="A42" s="115">
        <v>34</v>
      </c>
      <c r="B42" s="115" t="s">
        <v>121</v>
      </c>
      <c r="C42" s="116">
        <v>5.89</v>
      </c>
      <c r="D42" s="165">
        <f t="shared" si="12"/>
        <v>-0.15440000000000076</v>
      </c>
      <c r="E42" s="1"/>
      <c r="F42" s="116">
        <v>0.20433084374999999</v>
      </c>
      <c r="G42" s="116">
        <v>-25.42830940968701</v>
      </c>
      <c r="H42" s="123">
        <f t="shared" si="10"/>
        <v>-29.744315727392934</v>
      </c>
      <c r="I42" s="95">
        <f t="shared" si="0"/>
        <v>0</v>
      </c>
      <c r="J42" s="96">
        <f t="shared" si="1"/>
        <v>3.4691144949066215E-2</v>
      </c>
      <c r="K42" s="96"/>
      <c r="L42" s="96"/>
      <c r="M42" s="96"/>
      <c r="N42" s="171">
        <f t="shared" si="3"/>
        <v>1.3419223832437498E-2</v>
      </c>
      <c r="O42" s="98">
        <f t="shared" si="13"/>
        <v>-8.6912071453610302</v>
      </c>
      <c r="P42" s="96">
        <f t="shared" si="5"/>
        <v>-2.6213921901528145E-2</v>
      </c>
      <c r="Q42" s="96"/>
      <c r="R42" s="97">
        <f t="shared" si="7"/>
        <v>0</v>
      </c>
      <c r="S42" s="99">
        <f t="shared" si="8"/>
        <v>0</v>
      </c>
      <c r="T42" s="95" t="e">
        <f t="shared" si="9"/>
        <v>#DIV/0!</v>
      </c>
    </row>
    <row r="43" spans="1:20" s="100" customFormat="1" ht="11.25" customHeight="1" x14ac:dyDescent="0.2">
      <c r="A43" s="102">
        <v>35</v>
      </c>
      <c r="B43" s="102" t="s">
        <v>122</v>
      </c>
      <c r="C43" s="114">
        <v>6.274</v>
      </c>
      <c r="D43" s="165">
        <f t="shared" si="12"/>
        <v>0.22959999999999958</v>
      </c>
      <c r="E43" s="1"/>
      <c r="F43" s="103">
        <v>0.216806078125</v>
      </c>
      <c r="G43" s="114">
        <v>-25.4369167995734</v>
      </c>
      <c r="H43" s="123">
        <f t="shared" si="10"/>
        <v>-29.752923117279323</v>
      </c>
      <c r="I43" s="95">
        <f t="shared" si="0"/>
        <v>0</v>
      </c>
      <c r="J43" s="96">
        <f t="shared" si="1"/>
        <v>3.4556276398629265E-2</v>
      </c>
      <c r="K43" s="96"/>
      <c r="L43" s="96"/>
      <c r="M43" s="96"/>
      <c r="N43" s="171">
        <f t="shared" si="3"/>
        <v>1.4238522374781249E-2</v>
      </c>
      <c r="O43" s="98">
        <f t="shared" si="13"/>
        <v>6.201447027343761</v>
      </c>
      <c r="P43" s="96">
        <f t="shared" si="5"/>
        <v>3.6595473382212237E-2</v>
      </c>
      <c r="Q43" s="96"/>
      <c r="R43" s="97">
        <f t="shared" si="7"/>
        <v>0</v>
      </c>
      <c r="S43" s="99">
        <f t="shared" si="8"/>
        <v>0</v>
      </c>
      <c r="T43" s="95" t="e">
        <f t="shared" si="9"/>
        <v>#DIV/0!</v>
      </c>
    </row>
    <row r="44" spans="1:20" s="100" customFormat="1" ht="11.25" customHeight="1" x14ac:dyDescent="0.2">
      <c r="A44" s="115">
        <v>36</v>
      </c>
      <c r="B44" s="115" t="s">
        <v>123</v>
      </c>
      <c r="C44" s="116">
        <v>6.0860000000000003</v>
      </c>
      <c r="D44" s="165">
        <f t="shared" si="12"/>
        <v>4.1599999999999859E-2</v>
      </c>
      <c r="E44" s="1"/>
      <c r="F44" s="116">
        <v>0.21731946874999999</v>
      </c>
      <c r="G44" s="116">
        <v>-24.921096108443869</v>
      </c>
      <c r="H44" s="123">
        <f t="shared" si="10"/>
        <v>-29.237102426149793</v>
      </c>
      <c r="I44" s="95">
        <f t="shared" si="0"/>
        <v>0</v>
      </c>
      <c r="J44" s="96">
        <f t="shared" si="1"/>
        <v>3.5708095423923759E-2</v>
      </c>
      <c r="K44" s="96"/>
      <c r="L44" s="96"/>
      <c r="M44" s="96"/>
      <c r="N44" s="171">
        <f t="shared" si="3"/>
        <v>1.4272238790687499E-2</v>
      </c>
      <c r="O44" s="98">
        <f t="shared" si="13"/>
        <v>34.308266323768144</v>
      </c>
      <c r="P44" s="96">
        <f t="shared" si="5"/>
        <v>6.8353598422609034E-3</v>
      </c>
      <c r="Q44" s="96"/>
      <c r="R44" s="97">
        <f t="shared" si="7"/>
        <v>0</v>
      </c>
      <c r="S44" s="99">
        <f t="shared" si="8"/>
        <v>0</v>
      </c>
      <c r="T44" s="95" t="e">
        <f t="shared" si="9"/>
        <v>#DIV/0!</v>
      </c>
    </row>
    <row r="45" spans="1:20" s="100" customFormat="1" ht="11.25" customHeight="1" x14ac:dyDescent="0.2">
      <c r="A45" s="102">
        <v>37</v>
      </c>
      <c r="B45" s="102" t="s">
        <v>124</v>
      </c>
      <c r="C45" s="114">
        <v>6.24</v>
      </c>
      <c r="D45" s="165">
        <f t="shared" si="12"/>
        <v>0.19559999999999977</v>
      </c>
      <c r="E45" s="1"/>
      <c r="F45" s="103">
        <v>0.16647840624999999</v>
      </c>
      <c r="G45" s="114">
        <v>-25.643453426862205</v>
      </c>
      <c r="H45" s="123">
        <f t="shared" si="10"/>
        <v>-29.959459744568129</v>
      </c>
      <c r="I45" s="95">
        <f t="shared" si="0"/>
        <v>0</v>
      </c>
      <c r="J45" s="96">
        <f t="shared" si="1"/>
        <v>2.6679231770833329E-2</v>
      </c>
      <c r="K45" s="96"/>
      <c r="L45" s="96"/>
      <c r="M45" s="96"/>
      <c r="N45" s="171">
        <f t="shared" si="3"/>
        <v>1.0933302852062499E-2</v>
      </c>
      <c r="O45" s="98">
        <f t="shared" si="13"/>
        <v>5.5896231350012844</v>
      </c>
      <c r="P45" s="96">
        <f t="shared" si="5"/>
        <v>3.1346153846153808E-2</v>
      </c>
      <c r="Q45" s="96"/>
      <c r="R45" s="97">
        <f t="shared" si="7"/>
        <v>0</v>
      </c>
      <c r="S45" s="99">
        <f t="shared" si="8"/>
        <v>0</v>
      </c>
      <c r="T45" s="95" t="e">
        <f t="shared" si="9"/>
        <v>#DIV/0!</v>
      </c>
    </row>
    <row r="46" spans="1:20" s="100" customFormat="1" ht="11.25" customHeight="1" x14ac:dyDescent="0.2">
      <c r="A46" s="115">
        <v>38</v>
      </c>
      <c r="B46" s="115" t="s">
        <v>125</v>
      </c>
      <c r="C46" s="116">
        <v>6.3049999999999997</v>
      </c>
      <c r="D46" s="165">
        <f t="shared" si="12"/>
        <v>0.26059999999999928</v>
      </c>
      <c r="E46" s="1"/>
      <c r="F46" s="116">
        <v>0.1818513125</v>
      </c>
      <c r="G46" s="116">
        <v>-25.677370405074655</v>
      </c>
      <c r="H46" s="123">
        <f t="shared" si="10"/>
        <v>-29.993376722780578</v>
      </c>
      <c r="I46" s="95">
        <f t="shared" si="0"/>
        <v>0</v>
      </c>
      <c r="J46" s="96">
        <f t="shared" si="1"/>
        <v>2.8842396907216496E-2</v>
      </c>
      <c r="K46" s="96"/>
      <c r="L46" s="96"/>
      <c r="M46" s="96"/>
      <c r="N46" s="171">
        <f t="shared" si="3"/>
        <v>1.1942903097124999E-2</v>
      </c>
      <c r="O46" s="98">
        <f t="shared" si="13"/>
        <v>4.5828484639773723</v>
      </c>
      <c r="P46" s="96">
        <f t="shared" si="5"/>
        <v>4.1332275971451116E-2</v>
      </c>
      <c r="Q46" s="96"/>
      <c r="R46" s="97">
        <f t="shared" si="7"/>
        <v>0</v>
      </c>
      <c r="S46" s="99">
        <f t="shared" si="8"/>
        <v>0</v>
      </c>
      <c r="T46" s="95" t="e">
        <f t="shared" si="9"/>
        <v>#DIV/0!</v>
      </c>
    </row>
    <row r="47" spans="1:20" s="100" customFormat="1" ht="11.25" customHeight="1" x14ac:dyDescent="0.2">
      <c r="A47" s="102">
        <v>39</v>
      </c>
      <c r="B47" s="102" t="s">
        <v>126</v>
      </c>
      <c r="C47" s="114">
        <v>6.3419999999999996</v>
      </c>
      <c r="D47" s="165">
        <f t="shared" si="12"/>
        <v>0.2975999999999992</v>
      </c>
      <c r="E47" s="1"/>
      <c r="F47" s="103">
        <v>0.17448931249999999</v>
      </c>
      <c r="G47" s="114">
        <v>-25.461736614353633</v>
      </c>
      <c r="H47" s="123">
        <f t="shared" si="10"/>
        <v>-29.777742932059557</v>
      </c>
      <c r="I47" s="95">
        <f t="shared" si="0"/>
        <v>0</v>
      </c>
      <c r="J47" s="96">
        <f t="shared" si="1"/>
        <v>2.751329430778934E-2</v>
      </c>
      <c r="K47" s="96"/>
      <c r="L47" s="96"/>
      <c r="M47" s="96"/>
      <c r="N47" s="171">
        <f t="shared" si="3"/>
        <v>1.1459411109124998E-2</v>
      </c>
      <c r="O47" s="98">
        <f t="shared" si="13"/>
        <v>3.8506085716145928</v>
      </c>
      <c r="P47" s="96">
        <f t="shared" si="5"/>
        <v>4.6925260170293158E-2</v>
      </c>
      <c r="Q47" s="96"/>
      <c r="R47" s="97">
        <f t="shared" si="7"/>
        <v>0</v>
      </c>
      <c r="S47" s="99">
        <f t="shared" si="8"/>
        <v>0</v>
      </c>
      <c r="T47" s="95" t="e">
        <f t="shared" si="9"/>
        <v>#DIV/0!</v>
      </c>
    </row>
    <row r="48" spans="1:20" s="100" customFormat="1" ht="11.25" customHeight="1" x14ac:dyDescent="0.2">
      <c r="A48" s="115">
        <v>40</v>
      </c>
      <c r="B48" s="115" t="s">
        <v>127</v>
      </c>
      <c r="C48" s="116">
        <v>6.7830000000000004</v>
      </c>
      <c r="D48" s="165">
        <f t="shared" si="12"/>
        <v>0.73859999999999992</v>
      </c>
      <c r="E48" s="1"/>
      <c r="F48" s="116">
        <v>0.47048734375000001</v>
      </c>
      <c r="G48" s="116">
        <v>-22.007021943234111</v>
      </c>
      <c r="H48" s="123">
        <f t="shared" si="10"/>
        <v>-26.323028260940035</v>
      </c>
      <c r="I48" s="95">
        <f t="shared" si="0"/>
        <v>0</v>
      </c>
      <c r="J48" s="96">
        <f t="shared" si="1"/>
        <v>6.9362722062509208E-2</v>
      </c>
      <c r="K48" s="96"/>
      <c r="L48" s="96"/>
      <c r="M48" s="96"/>
      <c r="N48" s="171">
        <f t="shared" si="3"/>
        <v>3.0898785813437499E-2</v>
      </c>
      <c r="O48" s="98">
        <f t="shared" si="13"/>
        <v>4.183426186493028</v>
      </c>
      <c r="P48" s="96">
        <f t="shared" si="5"/>
        <v>0.10888987173816893</v>
      </c>
      <c r="Q48" s="96"/>
      <c r="R48" s="97">
        <f t="shared" si="7"/>
        <v>0</v>
      </c>
      <c r="S48" s="99">
        <f t="shared" si="8"/>
        <v>0</v>
      </c>
      <c r="T48" s="95" t="e">
        <f t="shared" si="9"/>
        <v>#DIV/0!</v>
      </c>
    </row>
    <row r="49" spans="1:20" s="100" customFormat="1" ht="11.25" customHeight="1" x14ac:dyDescent="0.2">
      <c r="A49" s="102">
        <v>41</v>
      </c>
      <c r="B49" s="102" t="s">
        <v>128</v>
      </c>
      <c r="C49" s="114">
        <v>6.2069999999999999</v>
      </c>
      <c r="D49" s="165">
        <f t="shared" si="12"/>
        <v>0.16259999999999941</v>
      </c>
      <c r="E49" s="1"/>
      <c r="F49" s="103">
        <v>0.39024431250000002</v>
      </c>
      <c r="G49" s="114">
        <v>-22.565183081651174</v>
      </c>
      <c r="H49" s="123">
        <f t="shared" si="10"/>
        <v>-26.881189399357098</v>
      </c>
      <c r="I49" s="95">
        <f t="shared" si="0"/>
        <v>0</v>
      </c>
      <c r="J49" s="96">
        <f t="shared" si="1"/>
        <v>6.2871646930884484E-2</v>
      </c>
      <c r="K49" s="96"/>
      <c r="L49" s="96"/>
      <c r="M49" s="96"/>
      <c r="N49" s="171">
        <f>F49*$B$28+$D$28</f>
        <v>2.5628904979125001E-2</v>
      </c>
      <c r="O49" s="98">
        <f t="shared" si="13"/>
        <v>15.761934181503747</v>
      </c>
      <c r="P49" s="96">
        <f t="shared" si="5"/>
        <v>2.6196230062832192E-2</v>
      </c>
      <c r="Q49" s="96"/>
      <c r="R49" s="97">
        <f t="shared" si="7"/>
        <v>0</v>
      </c>
      <c r="S49" s="99">
        <f t="shared" si="8"/>
        <v>0</v>
      </c>
      <c r="T49" s="95" t="e">
        <f t="shared" si="9"/>
        <v>#DIV/0!</v>
      </c>
    </row>
    <row r="50" spans="1:20" s="100" customFormat="1" ht="11.25" customHeight="1" x14ac:dyDescent="0.2">
      <c r="A50" s="115">
        <v>42</v>
      </c>
      <c r="B50" s="115" t="s">
        <v>129</v>
      </c>
      <c r="C50" s="116">
        <v>6.6109999999999998</v>
      </c>
      <c r="D50" s="165">
        <f t="shared" si="12"/>
        <v>0.56659999999999933</v>
      </c>
      <c r="E50" s="1"/>
      <c r="F50" s="116">
        <v>0.51954162500000001</v>
      </c>
      <c r="G50" s="116">
        <v>-22.513876912677713</v>
      </c>
      <c r="H50" s="123">
        <f t="shared" si="10"/>
        <v>-26.829883230383636</v>
      </c>
      <c r="I50" s="95">
        <f t="shared" si="0"/>
        <v>0</v>
      </c>
      <c r="J50" s="96">
        <f t="shared" si="1"/>
        <v>7.8587448948721828E-2</v>
      </c>
      <c r="K50" s="96"/>
      <c r="L50" s="96"/>
      <c r="M50" s="96"/>
      <c r="N50" s="171">
        <f t="shared" si="3"/>
        <v>3.4120376680249996E-2</v>
      </c>
      <c r="O50" s="98">
        <f t="shared" si="13"/>
        <v>6.0219514084451173</v>
      </c>
      <c r="P50" s="96">
        <f t="shared" si="5"/>
        <v>8.5705642111632035E-2</v>
      </c>
      <c r="Q50" s="96"/>
      <c r="R50" s="97">
        <f t="shared" si="7"/>
        <v>0</v>
      </c>
      <c r="S50" s="99">
        <f t="shared" si="8"/>
        <v>0</v>
      </c>
      <c r="T50" s="95" t="e">
        <f t="shared" si="9"/>
        <v>#DIV/0!</v>
      </c>
    </row>
    <row r="51" spans="1:20" s="109" customFormat="1" ht="11.25" customHeight="1" x14ac:dyDescent="0.2">
      <c r="A51" s="102">
        <v>43</v>
      </c>
      <c r="B51" s="102" t="s">
        <v>70</v>
      </c>
      <c r="C51" s="114">
        <v>1.278</v>
      </c>
      <c r="E51" s="1"/>
      <c r="F51" s="103">
        <v>8.6292460000000002</v>
      </c>
      <c r="G51" s="114">
        <v>-21.582732696615121</v>
      </c>
      <c r="H51" s="122">
        <f t="shared" si="10"/>
        <v>-25.898739014321045</v>
      </c>
      <c r="I51" s="105">
        <f t="shared" si="0"/>
        <v>0</v>
      </c>
      <c r="J51" s="106">
        <f t="shared" si="1"/>
        <v>6.7521486697965569</v>
      </c>
      <c r="K51" s="106">
        <f t="shared" ref="K51:L51" si="14">H$14</f>
        <v>44.65</v>
      </c>
      <c r="L51" s="106">
        <f t="shared" si="14"/>
        <v>2.83</v>
      </c>
      <c r="M51" s="106">
        <f t="shared" ref="M51:M52" si="15">C51*(K51/100)</f>
        <v>0.570627</v>
      </c>
      <c r="N51" s="169">
        <f t="shared" si="3"/>
        <v>0.56671710180400003</v>
      </c>
      <c r="O51" s="110">
        <f t="shared" ref="O51" si="16">N51/C51*100</f>
        <v>44.34406117402191</v>
      </c>
      <c r="P51" s="106">
        <f t="shared" si="5"/>
        <v>0</v>
      </c>
      <c r="Q51" s="106">
        <f t="shared" ref="Q51" si="17">C51*(L51/100)</f>
        <v>3.6167400000000002E-2</v>
      </c>
      <c r="R51" s="107">
        <f t="shared" si="7"/>
        <v>0</v>
      </c>
      <c r="S51" s="108">
        <f t="shared" si="8"/>
        <v>0</v>
      </c>
      <c r="T51" s="105" t="e">
        <f t="shared" si="9"/>
        <v>#DIV/0!</v>
      </c>
    </row>
    <row r="52" spans="1:20" s="151" customFormat="1" ht="11.25" customHeight="1" x14ac:dyDescent="0.2">
      <c r="A52" s="115">
        <v>44</v>
      </c>
      <c r="B52" s="115" t="s">
        <v>91</v>
      </c>
      <c r="C52" s="116">
        <v>2.6629999999999998</v>
      </c>
      <c r="E52" s="1"/>
      <c r="F52" s="116">
        <v>1.2838572500000001</v>
      </c>
      <c r="G52" s="116">
        <v>-15.148342541856062</v>
      </c>
      <c r="H52" s="153">
        <f>$B$26*G52+$D$26</f>
        <v>-19.464348859561987</v>
      </c>
      <c r="I52" s="154">
        <f>$B$27*E52+$D$27</f>
        <v>0</v>
      </c>
      <c r="J52" s="155">
        <f>(F52)/C52</f>
        <v>0.48210936913255731</v>
      </c>
      <c r="K52" s="155">
        <f>$H$13</f>
        <v>3.3479999999999999</v>
      </c>
      <c r="L52" s="155"/>
      <c r="M52" s="155">
        <f t="shared" si="15"/>
        <v>8.9157239999999985E-2</v>
      </c>
      <c r="N52" s="170">
        <f t="shared" si="3"/>
        <v>8.4316041036500006E-2</v>
      </c>
      <c r="O52" s="157">
        <f>N52/C52*100</f>
        <v>3.1662050708411571</v>
      </c>
      <c r="P52" s="155">
        <f>D52/C52</f>
        <v>0</v>
      </c>
      <c r="Q52" s="155"/>
      <c r="R52" s="156">
        <f>D52*$B$29+$D$29</f>
        <v>0</v>
      </c>
      <c r="S52" s="158">
        <f>R52/C52*100</f>
        <v>0</v>
      </c>
      <c r="T52" s="154" t="e">
        <f>N52/R52</f>
        <v>#DIV/0!</v>
      </c>
    </row>
    <row r="53" spans="1:20" s="100" customFormat="1" ht="11.25" customHeight="1" x14ac:dyDescent="0.2">
      <c r="A53" s="102">
        <v>45</v>
      </c>
      <c r="B53" s="102" t="s">
        <v>130</v>
      </c>
      <c r="C53" s="114">
        <v>6.5629999999999997</v>
      </c>
      <c r="D53" s="165">
        <f t="shared" ref="D53:D64" si="18">C53-$H$26</f>
        <v>0.51859999999999928</v>
      </c>
      <c r="E53" s="1"/>
      <c r="F53" s="103">
        <v>0.87490968749999998</v>
      </c>
      <c r="G53" s="114">
        <v>-15.367248802327403</v>
      </c>
      <c r="H53" s="123">
        <f t="shared" si="10"/>
        <v>-19.683255120033326</v>
      </c>
      <c r="I53" s="95">
        <f t="shared" si="0"/>
        <v>0</v>
      </c>
      <c r="J53" s="96">
        <f t="shared" si="1"/>
        <v>0.13330941452079842</v>
      </c>
      <c r="K53" s="96"/>
      <c r="L53" s="96"/>
      <c r="M53" s="96"/>
      <c r="N53" s="171">
        <f t="shared" si="3"/>
        <v>5.7458818816874993E-2</v>
      </c>
      <c r="O53" s="98">
        <f t="shared" ref="O53:O64" si="19">N53/D53*100</f>
        <v>11.079602548568275</v>
      </c>
      <c r="P53" s="96">
        <f t="shared" ref="P53:P54" si="20">D53/C53</f>
        <v>7.901874142922434E-2</v>
      </c>
      <c r="Q53" s="96"/>
      <c r="R53" s="97">
        <f t="shared" si="7"/>
        <v>0</v>
      </c>
      <c r="S53" s="99">
        <f t="shared" si="8"/>
        <v>0</v>
      </c>
      <c r="T53" s="95" t="e">
        <f t="shared" si="9"/>
        <v>#DIV/0!</v>
      </c>
    </row>
    <row r="54" spans="1:20" s="100" customFormat="1" ht="11.25" customHeight="1" x14ac:dyDescent="0.2">
      <c r="A54" s="115">
        <v>46</v>
      </c>
      <c r="B54" s="115" t="s">
        <v>131</v>
      </c>
      <c r="C54" s="116">
        <v>6.4059999999999997</v>
      </c>
      <c r="D54" s="165">
        <f t="shared" si="18"/>
        <v>0.36159999999999926</v>
      </c>
      <c r="E54" s="1"/>
      <c r="F54" s="116">
        <v>0.94467224999999999</v>
      </c>
      <c r="G54" s="116">
        <v>-15.555037531910193</v>
      </c>
      <c r="H54" s="123">
        <f t="shared" si="10"/>
        <v>-19.871043849616115</v>
      </c>
      <c r="I54" s="95">
        <f t="shared" si="0"/>
        <v>0</v>
      </c>
      <c r="J54" s="96">
        <f t="shared" si="1"/>
        <v>0.14746678894786139</v>
      </c>
      <c r="K54" s="96"/>
      <c r="L54" s="96"/>
      <c r="M54" s="96"/>
      <c r="N54" s="171">
        <f t="shared" si="3"/>
        <v>6.2040405346499995E-2</v>
      </c>
      <c r="O54" s="98">
        <f t="shared" si="19"/>
        <v>17.157191744054238</v>
      </c>
      <c r="P54" s="96">
        <f t="shared" si="20"/>
        <v>5.6447080861692048E-2</v>
      </c>
      <c r="Q54" s="96"/>
      <c r="R54" s="97">
        <f t="shared" si="7"/>
        <v>0</v>
      </c>
      <c r="S54" s="99">
        <f t="shared" si="8"/>
        <v>0</v>
      </c>
      <c r="T54" s="95" t="e">
        <f t="shared" si="9"/>
        <v>#DIV/0!</v>
      </c>
    </row>
    <row r="55" spans="1:20" s="100" customFormat="1" ht="11.25" customHeight="1" x14ac:dyDescent="0.2">
      <c r="A55" s="102">
        <v>47</v>
      </c>
      <c r="B55" s="102" t="s">
        <v>132</v>
      </c>
      <c r="C55" s="114">
        <v>6.0780000000000003</v>
      </c>
      <c r="D55" s="165">
        <f t="shared" si="18"/>
        <v>3.3599999999999852E-2</v>
      </c>
      <c r="E55" s="1"/>
      <c r="F55" s="103">
        <v>0.73408918749999996</v>
      </c>
      <c r="G55" s="114">
        <v>-14.798669801551101</v>
      </c>
      <c r="H55" s="123">
        <f t="shared" si="10"/>
        <v>-19.114676119257027</v>
      </c>
      <c r="I55" s="95">
        <f t="shared" si="0"/>
        <v>0</v>
      </c>
      <c r="J55" s="96">
        <f t="shared" si="1"/>
        <v>0.1207780828397499</v>
      </c>
      <c r="K55" s="96"/>
      <c r="L55" s="96"/>
      <c r="M55" s="96"/>
      <c r="N55" s="171">
        <f t="shared" si="3"/>
        <v>4.8210573299874993E-2</v>
      </c>
      <c r="O55" s="98">
        <f t="shared" si="19"/>
        <v>143.48384910677143</v>
      </c>
      <c r="P55" s="96">
        <f t="shared" si="5"/>
        <v>5.5281342546890178E-3</v>
      </c>
      <c r="Q55" s="96"/>
      <c r="R55" s="97">
        <f t="shared" si="7"/>
        <v>0</v>
      </c>
      <c r="S55" s="99">
        <f t="shared" si="8"/>
        <v>0</v>
      </c>
      <c r="T55" s="95" t="e">
        <f t="shared" si="9"/>
        <v>#DIV/0!</v>
      </c>
    </row>
    <row r="56" spans="1:20" s="100" customFormat="1" ht="11.25" customHeight="1" x14ac:dyDescent="0.2">
      <c r="A56" s="115">
        <v>48</v>
      </c>
      <c r="B56" s="115" t="s">
        <v>133</v>
      </c>
      <c r="C56" s="116">
        <v>6.6420000000000003</v>
      </c>
      <c r="D56" s="165">
        <f t="shared" si="18"/>
        <v>0.59759999999999991</v>
      </c>
      <c r="E56" s="1"/>
      <c r="F56" s="116">
        <v>0.61701862500000004</v>
      </c>
      <c r="G56" s="116">
        <v>-13.181777749053444</v>
      </c>
      <c r="H56" s="123">
        <f t="shared" si="10"/>
        <v>-17.497784066759365</v>
      </c>
      <c r="I56" s="95">
        <f t="shared" si="0"/>
        <v>0</v>
      </c>
      <c r="J56" s="96">
        <f t="shared" si="1"/>
        <v>9.2896510840108401E-2</v>
      </c>
      <c r="K56" s="96"/>
      <c r="L56" s="96"/>
      <c r="M56" s="96"/>
      <c r="N56" s="171">
        <f t="shared" si="3"/>
        <v>4.052208117825E-2</v>
      </c>
      <c r="O56" s="98">
        <f t="shared" si="19"/>
        <v>6.7808034100150616</v>
      </c>
      <c r="P56" s="96">
        <f t="shared" si="5"/>
        <v>8.9972899728997274E-2</v>
      </c>
      <c r="Q56" s="96"/>
      <c r="R56" s="97">
        <f t="shared" si="7"/>
        <v>0</v>
      </c>
      <c r="S56" s="99">
        <f t="shared" si="8"/>
        <v>0</v>
      </c>
      <c r="T56" s="95" t="e">
        <f t="shared" si="9"/>
        <v>#DIV/0!</v>
      </c>
    </row>
    <row r="57" spans="1:20" s="100" customFormat="1" ht="11.25" customHeight="1" x14ac:dyDescent="0.2">
      <c r="A57" s="102">
        <v>49</v>
      </c>
      <c r="B57" s="102" t="s">
        <v>134</v>
      </c>
      <c r="C57" s="114">
        <v>6.1909999999999998</v>
      </c>
      <c r="D57" s="165">
        <f t="shared" si="18"/>
        <v>0.1465999999999994</v>
      </c>
      <c r="E57" s="1"/>
      <c r="F57" s="103">
        <v>0.63302218750000006</v>
      </c>
      <c r="G57" s="114">
        <v>-14.821078971718965</v>
      </c>
      <c r="H57" s="123">
        <f t="shared" si="10"/>
        <v>-19.137085289424888</v>
      </c>
      <c r="I57" s="95">
        <f t="shared" si="0"/>
        <v>0</v>
      </c>
      <c r="J57" s="96">
        <f t="shared" si="1"/>
        <v>0.10224877846874496</v>
      </c>
      <c r="K57" s="96"/>
      <c r="L57" s="96"/>
      <c r="M57" s="96"/>
      <c r="N57" s="171">
        <f t="shared" si="3"/>
        <v>4.1573099141875E-2</v>
      </c>
      <c r="O57" s="98">
        <f t="shared" si="19"/>
        <v>28.358184953530131</v>
      </c>
      <c r="P57" s="96">
        <f t="shared" si="5"/>
        <v>2.3679534808593021E-2</v>
      </c>
      <c r="Q57" s="96"/>
      <c r="R57" s="97">
        <f t="shared" si="7"/>
        <v>0</v>
      </c>
      <c r="S57" s="99">
        <f t="shared" si="8"/>
        <v>0</v>
      </c>
      <c r="T57" s="95" t="e">
        <f t="shared" si="9"/>
        <v>#DIV/0!</v>
      </c>
    </row>
    <row r="58" spans="1:20" s="100" customFormat="1" ht="11.25" customHeight="1" x14ac:dyDescent="0.2">
      <c r="A58" s="115">
        <v>50</v>
      </c>
      <c r="B58" s="115" t="s">
        <v>135</v>
      </c>
      <c r="C58" s="116">
        <v>6.02</v>
      </c>
      <c r="D58" s="165">
        <f t="shared" si="18"/>
        <v>-2.4400000000000865E-2</v>
      </c>
      <c r="E58" s="1"/>
      <c r="F58" s="116">
        <v>0.60299899999999995</v>
      </c>
      <c r="G58" s="116">
        <v>-13.596413410590349</v>
      </c>
      <c r="H58" s="123">
        <f t="shared" si="10"/>
        <v>-17.912419728296271</v>
      </c>
      <c r="I58" s="95">
        <f t="shared" si="0"/>
        <v>0</v>
      </c>
      <c r="J58" s="96">
        <f t="shared" si="1"/>
        <v>0.10016594684385383</v>
      </c>
      <c r="K58" s="96"/>
      <c r="L58" s="96"/>
      <c r="M58" s="96"/>
      <c r="N58" s="171">
        <f t="shared" si="3"/>
        <v>3.9601356325999995E-2</v>
      </c>
      <c r="O58" s="98">
        <f t="shared" si="19"/>
        <v>-162.30064068032209</v>
      </c>
      <c r="P58" s="96">
        <f t="shared" si="5"/>
        <v>-4.0531561461795464E-3</v>
      </c>
      <c r="Q58" s="96"/>
      <c r="R58" s="97">
        <f t="shared" si="7"/>
        <v>0</v>
      </c>
      <c r="S58" s="99">
        <f t="shared" si="8"/>
        <v>0</v>
      </c>
      <c r="T58" s="95" t="e">
        <f t="shared" si="9"/>
        <v>#DIV/0!</v>
      </c>
    </row>
    <row r="59" spans="1:20" s="100" customFormat="1" ht="11.25" customHeight="1" x14ac:dyDescent="0.2">
      <c r="A59" s="102">
        <v>51</v>
      </c>
      <c r="B59" s="102" t="s">
        <v>136</v>
      </c>
      <c r="C59" s="114">
        <v>6.35</v>
      </c>
      <c r="D59" s="165">
        <f t="shared" si="18"/>
        <v>0.30559999999999921</v>
      </c>
      <c r="E59" s="1"/>
      <c r="F59" s="103">
        <v>0.24293909375</v>
      </c>
      <c r="G59" s="114">
        <v>-23.87149715869262</v>
      </c>
      <c r="H59" s="123">
        <f t="shared" si="10"/>
        <v>-28.187503476398543</v>
      </c>
      <c r="I59" s="95">
        <f t="shared" si="0"/>
        <v>0</v>
      </c>
      <c r="J59" s="96">
        <f t="shared" si="1"/>
        <v>3.8258125000000004E-2</v>
      </c>
      <c r="K59" s="96"/>
      <c r="L59" s="96"/>
      <c r="M59" s="96"/>
      <c r="N59" s="171">
        <f t="shared" si="3"/>
        <v>1.5954782042937498E-2</v>
      </c>
      <c r="O59" s="98">
        <f t="shared" si="19"/>
        <v>5.2208056423224933</v>
      </c>
      <c r="P59" s="96">
        <f t="shared" si="5"/>
        <v>4.812598425196838E-2</v>
      </c>
      <c r="Q59" s="96"/>
      <c r="R59" s="97">
        <f t="shared" si="7"/>
        <v>0</v>
      </c>
      <c r="S59" s="99">
        <f t="shared" si="8"/>
        <v>0</v>
      </c>
      <c r="T59" s="95" t="e">
        <f t="shared" si="9"/>
        <v>#DIV/0!</v>
      </c>
    </row>
    <row r="60" spans="1:20" s="100" customFormat="1" ht="11.25" customHeight="1" x14ac:dyDescent="0.2">
      <c r="A60" s="115">
        <v>52</v>
      </c>
      <c r="B60" s="115" t="s">
        <v>137</v>
      </c>
      <c r="C60" s="116">
        <v>6.2210000000000001</v>
      </c>
      <c r="D60" s="165">
        <f t="shared" si="18"/>
        <v>0.17659999999999965</v>
      </c>
      <c r="E60" s="1"/>
      <c r="F60" s="116">
        <v>0.20199290624999999</v>
      </c>
      <c r="G60" s="116">
        <v>-24.318415255400883</v>
      </c>
      <c r="H60" s="123">
        <f t="shared" si="10"/>
        <v>-28.634421573106806</v>
      </c>
      <c r="I60" s="95">
        <f t="shared" si="0"/>
        <v>0</v>
      </c>
      <c r="J60" s="96">
        <f t="shared" si="1"/>
        <v>3.2469523589455068E-2</v>
      </c>
      <c r="K60" s="96"/>
      <c r="L60" s="96"/>
      <c r="M60" s="96"/>
      <c r="N60" s="171">
        <f t="shared" si="3"/>
        <v>1.3265682125062499E-2</v>
      </c>
      <c r="O60" s="98">
        <f t="shared" si="19"/>
        <v>7.5117112825948613</v>
      </c>
      <c r="P60" s="96">
        <f t="shared" si="5"/>
        <v>2.8387719016235276E-2</v>
      </c>
      <c r="Q60" s="96"/>
      <c r="R60" s="97">
        <f t="shared" si="7"/>
        <v>0</v>
      </c>
      <c r="S60" s="99">
        <f t="shared" si="8"/>
        <v>0</v>
      </c>
      <c r="T60" s="95" t="e">
        <f t="shared" si="9"/>
        <v>#DIV/0!</v>
      </c>
    </row>
    <row r="61" spans="1:20" s="100" customFormat="1" ht="11.25" customHeight="1" x14ac:dyDescent="0.2">
      <c r="A61" s="102">
        <v>53</v>
      </c>
      <c r="B61" s="102" t="s">
        <v>138</v>
      </c>
      <c r="C61" s="114">
        <v>6.1820000000000004</v>
      </c>
      <c r="D61" s="165">
        <f t="shared" si="18"/>
        <v>0.13759999999999994</v>
      </c>
      <c r="E61" s="1"/>
      <c r="F61" s="103">
        <v>0.21911754687500001</v>
      </c>
      <c r="G61" s="114">
        <v>-22.924734542984641</v>
      </c>
      <c r="H61" s="123">
        <f t="shared" si="10"/>
        <v>-27.240740860690565</v>
      </c>
      <c r="I61" s="95">
        <f t="shared" si="0"/>
        <v>0</v>
      </c>
      <c r="J61" s="96">
        <f t="shared" si="1"/>
        <v>3.5444443040278224E-2</v>
      </c>
      <c r="K61" s="96"/>
      <c r="L61" s="96"/>
      <c r="M61" s="96"/>
      <c r="N61" s="171">
        <f t="shared" si="3"/>
        <v>1.439032577346875E-2</v>
      </c>
      <c r="O61" s="98">
        <f t="shared" si="19"/>
        <v>10.458085591183689</v>
      </c>
      <c r="P61" s="96">
        <f t="shared" si="5"/>
        <v>2.225816887738595E-2</v>
      </c>
      <c r="Q61" s="96"/>
      <c r="R61" s="97">
        <f t="shared" si="7"/>
        <v>0</v>
      </c>
      <c r="S61" s="99">
        <f t="shared" si="8"/>
        <v>0</v>
      </c>
      <c r="T61" s="95" t="e">
        <f t="shared" si="9"/>
        <v>#DIV/0!</v>
      </c>
    </row>
    <row r="62" spans="1:20" s="100" customFormat="1" ht="11.25" customHeight="1" x14ac:dyDescent="0.2">
      <c r="A62" s="115">
        <v>54</v>
      </c>
      <c r="B62" s="115" t="s">
        <v>139</v>
      </c>
      <c r="C62" s="116">
        <v>6.2750000000000004</v>
      </c>
      <c r="D62" s="165">
        <f t="shared" si="18"/>
        <v>0.23059999999999992</v>
      </c>
      <c r="E62" s="1"/>
      <c r="F62" s="116">
        <v>0.45214612500000001</v>
      </c>
      <c r="G62" s="116">
        <v>-12.387238792055625</v>
      </c>
      <c r="H62" s="123">
        <f t="shared" si="10"/>
        <v>-16.703245109761546</v>
      </c>
      <c r="I62" s="95">
        <f t="shared" si="0"/>
        <v>0</v>
      </c>
      <c r="J62" s="96">
        <f t="shared" si="1"/>
        <v>7.2055159362549803E-2</v>
      </c>
      <c r="K62" s="96"/>
      <c r="L62" s="96"/>
      <c r="M62" s="96"/>
      <c r="N62" s="171">
        <f t="shared" si="3"/>
        <v>2.9694244613249998E-2</v>
      </c>
      <c r="O62" s="98">
        <f t="shared" si="19"/>
        <v>12.876949095078061</v>
      </c>
      <c r="P62" s="96">
        <f t="shared" si="5"/>
        <v>3.6749003984063729E-2</v>
      </c>
      <c r="Q62" s="96"/>
      <c r="R62" s="97">
        <f t="shared" si="7"/>
        <v>0</v>
      </c>
      <c r="S62" s="99">
        <f t="shared" si="8"/>
        <v>0</v>
      </c>
      <c r="T62" s="95" t="e">
        <f t="shared" si="9"/>
        <v>#DIV/0!</v>
      </c>
    </row>
    <row r="63" spans="1:20" s="100" customFormat="1" ht="11.25" customHeight="1" x14ac:dyDescent="0.2">
      <c r="A63" s="102">
        <v>55</v>
      </c>
      <c r="B63" s="102" t="s">
        <v>140</v>
      </c>
      <c r="C63" s="114">
        <v>6.04</v>
      </c>
      <c r="D63" s="165">
        <f t="shared" si="18"/>
        <v>-4.4000000000004036E-3</v>
      </c>
      <c r="E63" s="1"/>
      <c r="F63" s="103">
        <v>0.47061221874999998</v>
      </c>
      <c r="G63" s="114">
        <v>-12.25509165490959</v>
      </c>
      <c r="H63" s="123">
        <f>$B$26*G63+$D$26</f>
        <v>-16.571097972615512</v>
      </c>
      <c r="I63" s="95">
        <f>$B$27*E63+$D$27</f>
        <v>0</v>
      </c>
      <c r="J63" s="96">
        <f>(F63)/C63</f>
        <v>7.7915930256622509E-2</v>
      </c>
      <c r="K63" s="96"/>
      <c r="L63" s="96"/>
      <c r="M63" s="96"/>
      <c r="N63" s="171">
        <f>F63*$B$28+$D$28</f>
        <v>3.0906986854187496E-2</v>
      </c>
      <c r="O63" s="98">
        <f t="shared" si="19"/>
        <v>-702.43151941328779</v>
      </c>
      <c r="P63" s="96">
        <f>D63/C63</f>
        <v>-7.2847682119211977E-4</v>
      </c>
      <c r="Q63" s="96"/>
      <c r="R63" s="97">
        <f>D63*$B$29+$D$29</f>
        <v>0</v>
      </c>
      <c r="S63" s="99">
        <f>R63/C63*100</f>
        <v>0</v>
      </c>
      <c r="T63" s="95" t="e">
        <f>N63/R63</f>
        <v>#DIV/0!</v>
      </c>
    </row>
    <row r="64" spans="1:20" s="100" customFormat="1" ht="11.25" customHeight="1" x14ac:dyDescent="0.2">
      <c r="A64" s="115">
        <v>56</v>
      </c>
      <c r="B64" s="115" t="s">
        <v>141</v>
      </c>
      <c r="C64" s="116">
        <v>6.2270000000000003</v>
      </c>
      <c r="D64" s="165">
        <f t="shared" si="18"/>
        <v>0.18259999999999987</v>
      </c>
      <c r="E64" s="1"/>
      <c r="F64" s="116">
        <v>0.46642546875000002</v>
      </c>
      <c r="G64" s="116">
        <v>-12.869569136966392</v>
      </c>
      <c r="H64" s="123">
        <f t="shared" si="10"/>
        <v>-17.185575454672318</v>
      </c>
      <c r="I64" s="95">
        <f t="shared" si="0"/>
        <v>0</v>
      </c>
      <c r="J64" s="96">
        <f t="shared" si="1"/>
        <v>7.4903720692147097E-2</v>
      </c>
      <c r="K64" s="96"/>
      <c r="L64" s="96"/>
      <c r="M64" s="96"/>
      <c r="N64" s="171">
        <f t="shared" si="3"/>
        <v>3.0632026234687498E-2</v>
      </c>
      <c r="O64" s="98">
        <f t="shared" si="19"/>
        <v>16.775479865655814</v>
      </c>
      <c r="P64" s="96">
        <f t="shared" si="5"/>
        <v>2.9323911996145795E-2</v>
      </c>
      <c r="Q64" s="96"/>
      <c r="R64" s="97">
        <f t="shared" si="7"/>
        <v>0</v>
      </c>
      <c r="S64" s="99">
        <f t="shared" si="8"/>
        <v>0</v>
      </c>
      <c r="T64" s="95" t="e">
        <f t="shared" si="9"/>
        <v>#DIV/0!</v>
      </c>
    </row>
    <row r="65" spans="1:20" s="109" customFormat="1" ht="11.25" customHeight="1" x14ac:dyDescent="0.2">
      <c r="A65" s="102">
        <v>57</v>
      </c>
      <c r="B65" s="102" t="s">
        <v>60</v>
      </c>
      <c r="C65" s="114">
        <v>1.5009999999999999</v>
      </c>
      <c r="E65" s="1"/>
      <c r="F65" s="103">
        <v>10.098096999999999</v>
      </c>
      <c r="G65" s="114">
        <v>-21.718515321496731</v>
      </c>
      <c r="H65" s="122">
        <f t="shared" si="10"/>
        <v>-26.034521639202655</v>
      </c>
      <c r="I65" s="105">
        <f t="shared" si="0"/>
        <v>0</v>
      </c>
      <c r="J65" s="106">
        <f t="shared" si="1"/>
        <v>6.7275796135909394</v>
      </c>
      <c r="K65" s="106">
        <f t="shared" ref="K65:L65" si="21">H$14</f>
        <v>44.65</v>
      </c>
      <c r="L65" s="106">
        <f t="shared" si="21"/>
        <v>2.83</v>
      </c>
      <c r="M65" s="106">
        <f t="shared" ref="M65:M66" si="22">C65*(K65/100)</f>
        <v>0.67019649999999997</v>
      </c>
      <c r="N65" s="169">
        <f t="shared" si="3"/>
        <v>0.66318242237799996</v>
      </c>
      <c r="O65" s="110">
        <f t="shared" ref="O65:O66" si="23">N65/C65*100</f>
        <v>44.182706354297139</v>
      </c>
      <c r="P65" s="106">
        <f t="shared" si="5"/>
        <v>0</v>
      </c>
      <c r="Q65" s="106">
        <f t="shared" ref="Q65" si="24">C65*(L65/100)</f>
        <v>4.2478300000000004E-2</v>
      </c>
      <c r="R65" s="107">
        <f t="shared" si="7"/>
        <v>0</v>
      </c>
      <c r="S65" s="108">
        <f t="shared" si="8"/>
        <v>0</v>
      </c>
      <c r="T65" s="105" t="e">
        <f t="shared" si="9"/>
        <v>#DIV/0!</v>
      </c>
    </row>
    <row r="66" spans="1:20" s="151" customFormat="1" ht="11.25" customHeight="1" x14ac:dyDescent="0.2">
      <c r="A66" s="115">
        <v>58</v>
      </c>
      <c r="B66" s="115" t="s">
        <v>104</v>
      </c>
      <c r="C66" s="116">
        <v>1.663</v>
      </c>
      <c r="E66" s="1"/>
      <c r="F66" s="116">
        <v>0.80595775000000003</v>
      </c>
      <c r="G66" s="116">
        <v>-15.763192114110668</v>
      </c>
      <c r="H66" s="153">
        <f t="shared" si="10"/>
        <v>-20.079198431816593</v>
      </c>
      <c r="I66" s="154">
        <f t="shared" si="0"/>
        <v>0</v>
      </c>
      <c r="J66" s="155">
        <f t="shared" si="1"/>
        <v>0.48464085989176187</v>
      </c>
      <c r="K66" s="155">
        <f>$H$13</f>
        <v>3.3479999999999999</v>
      </c>
      <c r="L66" s="155"/>
      <c r="M66" s="155">
        <f t="shared" si="22"/>
        <v>5.5677239999999996E-2</v>
      </c>
      <c r="N66" s="170">
        <f t="shared" si="3"/>
        <v>5.2930469273500001E-2</v>
      </c>
      <c r="O66" s="157">
        <f t="shared" si="23"/>
        <v>3.1828303832531568</v>
      </c>
      <c r="P66" s="155">
        <f t="shared" si="5"/>
        <v>0</v>
      </c>
      <c r="Q66" s="155"/>
      <c r="R66" s="156">
        <f t="shared" si="7"/>
        <v>0</v>
      </c>
      <c r="S66" s="158">
        <f t="shared" si="8"/>
        <v>0</v>
      </c>
      <c r="T66" s="154" t="e">
        <f t="shared" si="9"/>
        <v>#DIV/0!</v>
      </c>
    </row>
    <row r="67" spans="1:20" s="100" customFormat="1" ht="11.25" customHeight="1" x14ac:dyDescent="0.2">
      <c r="A67" s="102">
        <v>59</v>
      </c>
      <c r="B67" s="102" t="s">
        <v>142</v>
      </c>
      <c r="C67" s="114">
        <v>6.2140000000000004</v>
      </c>
      <c r="D67" s="165">
        <f t="shared" ref="D67:D78" si="25">C67-$H$26</f>
        <v>0.16959999999999997</v>
      </c>
      <c r="E67" s="1"/>
      <c r="F67" s="103">
        <v>0.398742125</v>
      </c>
      <c r="G67" s="114">
        <v>-15.28061632339872</v>
      </c>
      <c r="H67" s="123">
        <f t="shared" si="10"/>
        <v>-19.596622641104645</v>
      </c>
      <c r="I67" s="95">
        <f t="shared" si="0"/>
        <v>0</v>
      </c>
      <c r="J67" s="96">
        <f t="shared" si="1"/>
        <v>6.4168349694238805E-2</v>
      </c>
      <c r="K67" s="96"/>
      <c r="L67" s="96"/>
      <c r="M67" s="96"/>
      <c r="N67" s="171">
        <f t="shared" si="3"/>
        <v>2.6186990317249997E-2</v>
      </c>
      <c r="O67" s="98">
        <f t="shared" ref="O67:O78" si="26">N67/D67*100</f>
        <v>15.440442404038915</v>
      </c>
      <c r="P67" s="96">
        <f t="shared" si="5"/>
        <v>2.7293208883167035E-2</v>
      </c>
      <c r="Q67" s="96"/>
      <c r="R67" s="97">
        <f t="shared" si="7"/>
        <v>0</v>
      </c>
      <c r="S67" s="99">
        <f t="shared" si="8"/>
        <v>0</v>
      </c>
      <c r="T67" s="95" t="e">
        <f t="shared" si="9"/>
        <v>#DIV/0!</v>
      </c>
    </row>
    <row r="68" spans="1:20" s="100" customFormat="1" ht="11.25" customHeight="1" x14ac:dyDescent="0.2">
      <c r="A68" s="115">
        <v>60</v>
      </c>
      <c r="B68" s="115" t="s">
        <v>143</v>
      </c>
      <c r="C68" s="116">
        <v>6.1150000000000002</v>
      </c>
      <c r="D68" s="165">
        <f t="shared" si="25"/>
        <v>7.0599999999999774E-2</v>
      </c>
      <c r="E68" s="1"/>
      <c r="F68" s="116">
        <v>0.45123790624999999</v>
      </c>
      <c r="G68" s="116">
        <v>-16.574439747366551</v>
      </c>
      <c r="H68" s="123">
        <f t="shared" si="10"/>
        <v>-20.890446065072474</v>
      </c>
      <c r="I68" s="95">
        <f t="shared" si="0"/>
        <v>0</v>
      </c>
      <c r="J68" s="96">
        <f t="shared" si="1"/>
        <v>7.3791971586263286E-2</v>
      </c>
      <c r="K68" s="96"/>
      <c r="L68" s="96"/>
      <c r="M68" s="96"/>
      <c r="N68" s="171">
        <f t="shared" si="3"/>
        <v>2.9634598255062497E-2</v>
      </c>
      <c r="O68" s="98">
        <f t="shared" si="26"/>
        <v>41.975351636065994</v>
      </c>
      <c r="P68" s="96">
        <f t="shared" si="5"/>
        <v>1.154538021259195E-2</v>
      </c>
      <c r="Q68" s="96"/>
      <c r="R68" s="97">
        <f t="shared" si="7"/>
        <v>0</v>
      </c>
      <c r="S68" s="99">
        <f t="shared" si="8"/>
        <v>0</v>
      </c>
      <c r="T68" s="95" t="e">
        <f t="shared" si="9"/>
        <v>#DIV/0!</v>
      </c>
    </row>
    <row r="69" spans="1:20" s="100" customFormat="1" ht="11.25" customHeight="1" x14ac:dyDescent="0.2">
      <c r="A69" s="102">
        <v>61</v>
      </c>
      <c r="B69" s="102" t="s">
        <v>144</v>
      </c>
      <c r="C69" s="114">
        <v>5.8940000000000001</v>
      </c>
      <c r="D69" s="165">
        <f t="shared" si="25"/>
        <v>-0.15040000000000031</v>
      </c>
      <c r="E69" s="1"/>
      <c r="F69" s="103">
        <v>0.42679121874999998</v>
      </c>
      <c r="G69" s="114">
        <v>-15.851874027860545</v>
      </c>
      <c r="H69" s="123">
        <f t="shared" si="10"/>
        <v>-20.167880345566466</v>
      </c>
      <c r="I69" s="95">
        <f t="shared" si="0"/>
        <v>0</v>
      </c>
      <c r="J69" s="96">
        <f t="shared" si="1"/>
        <v>7.2411133143875123E-2</v>
      </c>
      <c r="K69" s="96"/>
      <c r="L69" s="96"/>
      <c r="M69" s="96"/>
      <c r="N69" s="171">
        <f t="shared" si="3"/>
        <v>2.8029086500187497E-2</v>
      </c>
      <c r="O69" s="98">
        <f t="shared" si="26"/>
        <v>-18.636360704911862</v>
      </c>
      <c r="P69" s="96">
        <f t="shared" si="5"/>
        <v>-2.5517475398710604E-2</v>
      </c>
      <c r="Q69" s="96"/>
      <c r="R69" s="97">
        <f t="shared" si="7"/>
        <v>0</v>
      </c>
      <c r="S69" s="99">
        <f t="shared" si="8"/>
        <v>0</v>
      </c>
      <c r="T69" s="95" t="e">
        <f t="shared" si="9"/>
        <v>#DIV/0!</v>
      </c>
    </row>
    <row r="70" spans="1:20" s="100" customFormat="1" ht="11.25" customHeight="1" x14ac:dyDescent="0.2">
      <c r="A70" s="115">
        <v>62</v>
      </c>
      <c r="B70" s="115" t="s">
        <v>145</v>
      </c>
      <c r="C70" s="116">
        <v>6.0359999999999996</v>
      </c>
      <c r="D70" s="165">
        <f t="shared" si="25"/>
        <v>-8.4000000000008512E-3</v>
      </c>
      <c r="E70" s="1"/>
      <c r="F70" s="116">
        <v>0.59603181250000004</v>
      </c>
      <c r="G70" s="116">
        <v>-15.214780990750061</v>
      </c>
      <c r="H70" s="123">
        <f t="shared" si="10"/>
        <v>-19.530787308455984</v>
      </c>
      <c r="I70" s="95">
        <f t="shared" si="0"/>
        <v>0</v>
      </c>
      <c r="J70" s="96">
        <f t="shared" si="1"/>
        <v>9.8746158465871453E-2</v>
      </c>
      <c r="K70" s="96"/>
      <c r="L70" s="96"/>
      <c r="M70" s="96"/>
      <c r="N70" s="171">
        <f t="shared" si="3"/>
        <v>3.9143793254125002E-2</v>
      </c>
      <c r="O70" s="98">
        <f t="shared" si="26"/>
        <v>-465.99753873953614</v>
      </c>
      <c r="P70" s="96">
        <f t="shared" si="5"/>
        <v>-1.3916500994037195E-3</v>
      </c>
      <c r="Q70" s="96"/>
      <c r="R70" s="97">
        <f t="shared" si="7"/>
        <v>0</v>
      </c>
      <c r="S70" s="99">
        <f t="shared" si="8"/>
        <v>0</v>
      </c>
      <c r="T70" s="95" t="e">
        <f t="shared" si="9"/>
        <v>#DIV/0!</v>
      </c>
    </row>
    <row r="71" spans="1:20" s="100" customFormat="1" ht="11.25" customHeight="1" x14ac:dyDescent="0.2">
      <c r="A71" s="102">
        <v>63</v>
      </c>
      <c r="B71" s="102" t="s">
        <v>146</v>
      </c>
      <c r="C71" s="114">
        <v>5.7050000000000001</v>
      </c>
      <c r="D71" s="165">
        <f t="shared" si="25"/>
        <v>-0.33940000000000037</v>
      </c>
      <c r="E71" s="1"/>
      <c r="F71" s="103">
        <v>0.47858209374999999</v>
      </c>
      <c r="G71" s="114">
        <v>-14.93420984740499</v>
      </c>
      <c r="H71" s="123">
        <f t="shared" si="10"/>
        <v>-19.250216165110913</v>
      </c>
      <c r="I71" s="95">
        <f t="shared" si="0"/>
        <v>0</v>
      </c>
      <c r="J71" s="96">
        <f t="shared" si="1"/>
        <v>8.3888184706397889E-2</v>
      </c>
      <c r="K71" s="96"/>
      <c r="L71" s="96"/>
      <c r="M71" s="96"/>
      <c r="N71" s="171">
        <f t="shared" si="3"/>
        <v>3.1430400424937499E-2</v>
      </c>
      <c r="O71" s="98">
        <f t="shared" si="26"/>
        <v>-9.2605776148902379</v>
      </c>
      <c r="P71" s="96">
        <f t="shared" si="5"/>
        <v>-5.9491673970201643E-2</v>
      </c>
      <c r="Q71" s="96"/>
      <c r="R71" s="97">
        <f t="shared" si="7"/>
        <v>0</v>
      </c>
      <c r="S71" s="99">
        <f t="shared" si="8"/>
        <v>0</v>
      </c>
      <c r="T71" s="95" t="e">
        <f t="shared" si="9"/>
        <v>#DIV/0!</v>
      </c>
    </row>
    <row r="72" spans="1:20" s="100" customFormat="1" ht="11.25" customHeight="1" x14ac:dyDescent="0.2">
      <c r="A72" s="115">
        <v>64</v>
      </c>
      <c r="B72" s="115" t="s">
        <v>147</v>
      </c>
      <c r="C72" s="116">
        <v>6.27</v>
      </c>
      <c r="D72" s="165">
        <f t="shared" si="25"/>
        <v>0.22559999999999913</v>
      </c>
      <c r="E72" s="1"/>
      <c r="F72" s="116">
        <v>0.50381190625000005</v>
      </c>
      <c r="G72" s="116">
        <v>-14.354653020388694</v>
      </c>
      <c r="H72" s="123">
        <f t="shared" si="10"/>
        <v>-18.670659338094616</v>
      </c>
      <c r="I72" s="95">
        <f t="shared" si="0"/>
        <v>0</v>
      </c>
      <c r="J72" s="96">
        <f t="shared" si="1"/>
        <v>8.0352776116427452E-2</v>
      </c>
      <c r="K72" s="96"/>
      <c r="L72" s="96"/>
      <c r="M72" s="96"/>
      <c r="N72" s="171">
        <f t="shared" si="3"/>
        <v>3.3087343131062499E-2</v>
      </c>
      <c r="O72" s="98">
        <f t="shared" si="26"/>
        <v>14.666375501357548</v>
      </c>
      <c r="P72" s="96">
        <f t="shared" si="5"/>
        <v>3.5980861244019002E-2</v>
      </c>
      <c r="Q72" s="96"/>
      <c r="R72" s="97">
        <f t="shared" si="7"/>
        <v>0</v>
      </c>
      <c r="S72" s="99">
        <f t="shared" si="8"/>
        <v>0</v>
      </c>
      <c r="T72" s="95" t="e">
        <f t="shared" si="9"/>
        <v>#DIV/0!</v>
      </c>
    </row>
    <row r="73" spans="1:20" s="100" customFormat="1" ht="11.25" customHeight="1" x14ac:dyDescent="0.2">
      <c r="A73" s="102">
        <v>65</v>
      </c>
      <c r="B73" s="102" t="s">
        <v>148</v>
      </c>
      <c r="C73" s="114">
        <v>6.3559999999999999</v>
      </c>
      <c r="D73" s="165">
        <f t="shared" si="25"/>
        <v>0.31159999999999943</v>
      </c>
      <c r="E73" s="1"/>
      <c r="F73" s="103">
        <v>0.41023631249999998</v>
      </c>
      <c r="G73" s="114">
        <v>-14.931540536934854</v>
      </c>
      <c r="H73" s="123">
        <f t="shared" si="10"/>
        <v>-19.247546854640778</v>
      </c>
      <c r="I73" s="95">
        <f t="shared" si="0"/>
        <v>0</v>
      </c>
      <c r="J73" s="96">
        <f t="shared" si="1"/>
        <v>6.454315803964758E-2</v>
      </c>
      <c r="K73" s="96"/>
      <c r="L73" s="96"/>
      <c r="M73" s="96"/>
      <c r="N73" s="171">
        <f t="shared" si="3"/>
        <v>2.6941859587124996E-2</v>
      </c>
      <c r="O73" s="98">
        <f t="shared" si="26"/>
        <v>8.6462964015163823</v>
      </c>
      <c r="P73" s="96">
        <f t="shared" si="5"/>
        <v>4.902454373820004E-2</v>
      </c>
      <c r="Q73" s="96"/>
      <c r="R73" s="97">
        <f t="shared" si="7"/>
        <v>0</v>
      </c>
      <c r="S73" s="99">
        <f t="shared" si="8"/>
        <v>0</v>
      </c>
      <c r="T73" s="95" t="e">
        <f t="shared" si="9"/>
        <v>#DIV/0!</v>
      </c>
    </row>
    <row r="74" spans="1:20" s="100" customFormat="1" ht="11.25" customHeight="1" x14ac:dyDescent="0.2">
      <c r="A74" s="115">
        <v>66</v>
      </c>
      <c r="B74" s="115" t="s">
        <v>149</v>
      </c>
      <c r="C74" s="116">
        <v>5.9980000000000002</v>
      </c>
      <c r="D74" s="165">
        <f t="shared" si="25"/>
        <v>-4.6400000000000219E-2</v>
      </c>
      <c r="E74" s="1"/>
      <c r="F74" s="116">
        <v>0.39421556250000001</v>
      </c>
      <c r="G74" s="116">
        <v>-15.165165561586536</v>
      </c>
      <c r="H74" s="123">
        <f t="shared" si="10"/>
        <v>-19.481171879292461</v>
      </c>
      <c r="I74" s="95">
        <f t="shared" si="0"/>
        <v>0</v>
      </c>
      <c r="J74" s="96">
        <f t="shared" si="1"/>
        <v>6.5724501917305764E-2</v>
      </c>
      <c r="K74" s="96"/>
      <c r="L74" s="96"/>
      <c r="M74" s="96"/>
      <c r="N74" s="171">
        <f t="shared" si="3"/>
        <v>2.5889712851624998E-2</v>
      </c>
      <c r="O74" s="98">
        <f t="shared" si="26"/>
        <v>-55.796794938846716</v>
      </c>
      <c r="P74" s="96">
        <f t="shared" si="5"/>
        <v>-7.7359119706569219E-3</v>
      </c>
      <c r="Q74" s="96"/>
      <c r="R74" s="97">
        <f t="shared" si="7"/>
        <v>0</v>
      </c>
      <c r="S74" s="99">
        <f t="shared" si="8"/>
        <v>0</v>
      </c>
      <c r="T74" s="95" t="e">
        <f t="shared" si="9"/>
        <v>#DIV/0!</v>
      </c>
    </row>
    <row r="75" spans="1:20" s="100" customFormat="1" ht="11.25" customHeight="1" x14ac:dyDescent="0.2">
      <c r="A75" s="102">
        <v>67</v>
      </c>
      <c r="B75" s="102" t="s">
        <v>150</v>
      </c>
      <c r="C75" s="114">
        <v>6.532</v>
      </c>
      <c r="D75" s="165">
        <f t="shared" si="25"/>
        <v>0.48759999999999959</v>
      </c>
      <c r="E75" s="1"/>
      <c r="F75" s="103">
        <v>0.47949359375</v>
      </c>
      <c r="G75" s="114">
        <v>-15.722922509844526</v>
      </c>
      <c r="H75" s="123">
        <f t="shared" si="10"/>
        <v>-20.03892882755045</v>
      </c>
      <c r="I75" s="95">
        <f t="shared" si="0"/>
        <v>0</v>
      </c>
      <c r="J75" s="96">
        <f t="shared" si="1"/>
        <v>7.3406857585731788E-2</v>
      </c>
      <c r="K75" s="96"/>
      <c r="L75" s="96"/>
      <c r="M75" s="96"/>
      <c r="N75" s="171">
        <f t="shared" si="3"/>
        <v>3.14902622759375E-2</v>
      </c>
      <c r="O75" s="98">
        <f t="shared" si="26"/>
        <v>6.4582162173784914</v>
      </c>
      <c r="P75" s="96">
        <f t="shared" si="5"/>
        <v>7.4647887323943604E-2</v>
      </c>
      <c r="Q75" s="96"/>
      <c r="R75" s="97">
        <f t="shared" si="7"/>
        <v>0</v>
      </c>
      <c r="S75" s="99">
        <f t="shared" si="8"/>
        <v>0</v>
      </c>
      <c r="T75" s="95" t="e">
        <f t="shared" si="9"/>
        <v>#DIV/0!</v>
      </c>
    </row>
    <row r="76" spans="1:20" s="100" customFormat="1" ht="11.25" customHeight="1" x14ac:dyDescent="0.2">
      <c r="A76" s="115">
        <v>68</v>
      </c>
      <c r="B76" s="115" t="s">
        <v>151</v>
      </c>
      <c r="C76" s="116">
        <v>6.048</v>
      </c>
      <c r="D76" s="165">
        <f t="shared" si="25"/>
        <v>3.5999999999996035E-3</v>
      </c>
      <c r="E76" s="1"/>
      <c r="F76" s="116">
        <v>0.53462668749999998</v>
      </c>
      <c r="G76" s="116">
        <v>-14.59147212635224</v>
      </c>
      <c r="H76" s="123">
        <f t="shared" si="10"/>
        <v>-18.907478444058164</v>
      </c>
      <c r="I76" s="95">
        <f t="shared" si="0"/>
        <v>0</v>
      </c>
      <c r="J76" s="96">
        <f t="shared" si="1"/>
        <v>8.8397269758597879E-2</v>
      </c>
      <c r="K76" s="96"/>
      <c r="L76" s="96"/>
      <c r="M76" s="96"/>
      <c r="N76" s="171">
        <f t="shared" si="3"/>
        <v>3.5111073074874995E-2</v>
      </c>
      <c r="O76" s="98">
        <f t="shared" si="26"/>
        <v>975.30758541330181</v>
      </c>
      <c r="P76" s="96">
        <f t="shared" si="5"/>
        <v>5.952380952380297E-4</v>
      </c>
      <c r="Q76" s="96"/>
      <c r="R76" s="97">
        <f t="shared" si="7"/>
        <v>0</v>
      </c>
      <c r="S76" s="99">
        <f t="shared" si="8"/>
        <v>0</v>
      </c>
      <c r="T76" s="95" t="e">
        <f t="shared" si="9"/>
        <v>#DIV/0!</v>
      </c>
    </row>
    <row r="77" spans="1:20" s="100" customFormat="1" ht="11.25" customHeight="1" x14ac:dyDescent="0.2">
      <c r="A77" s="102">
        <v>69</v>
      </c>
      <c r="B77" s="102" t="s">
        <v>152</v>
      </c>
      <c r="C77" s="114">
        <v>5.9550000000000001</v>
      </c>
      <c r="D77" s="165">
        <f t="shared" si="25"/>
        <v>-8.9400000000000368E-2</v>
      </c>
      <c r="E77" s="1"/>
      <c r="F77" s="103">
        <v>0.51485321875000001</v>
      </c>
      <c r="G77" s="114">
        <v>-14.666942058708081</v>
      </c>
      <c r="H77" s="123">
        <f t="shared" si="10"/>
        <v>-18.982948376414004</v>
      </c>
      <c r="I77" s="95">
        <f t="shared" si="0"/>
        <v>0</v>
      </c>
      <c r="J77" s="96">
        <f t="shared" si="1"/>
        <v>8.6457299538203192E-2</v>
      </c>
      <c r="K77" s="96"/>
      <c r="L77" s="96"/>
      <c r="M77" s="96"/>
      <c r="N77" s="171">
        <f t="shared" si="3"/>
        <v>3.3812470288187499E-2</v>
      </c>
      <c r="O77" s="98">
        <f t="shared" si="26"/>
        <v>-37.821555132200622</v>
      </c>
      <c r="P77" s="96">
        <f t="shared" si="5"/>
        <v>-1.5012594458438349E-2</v>
      </c>
      <c r="Q77" s="96"/>
      <c r="R77" s="97">
        <f t="shared" si="7"/>
        <v>0</v>
      </c>
      <c r="S77" s="99">
        <f t="shared" si="8"/>
        <v>0</v>
      </c>
      <c r="T77" s="95" t="e">
        <f t="shared" si="9"/>
        <v>#DIV/0!</v>
      </c>
    </row>
    <row r="78" spans="1:20" s="100" customFormat="1" ht="11.25" customHeight="1" x14ac:dyDescent="0.2">
      <c r="A78" s="115">
        <v>70</v>
      </c>
      <c r="B78" s="115" t="s">
        <v>153</v>
      </c>
      <c r="C78" s="116">
        <v>6.4489999999999998</v>
      </c>
      <c r="D78" s="165">
        <f t="shared" si="25"/>
        <v>0.4045999999999994</v>
      </c>
      <c r="E78" s="1"/>
      <c r="F78" s="116">
        <v>0.52980237500000005</v>
      </c>
      <c r="G78" s="116">
        <v>-14.792095119828319</v>
      </c>
      <c r="H78" s="123">
        <f t="shared" si="10"/>
        <v>-19.108101437534245</v>
      </c>
      <c r="I78" s="95">
        <f t="shared" si="0"/>
        <v>0</v>
      </c>
      <c r="J78" s="96">
        <f t="shared" si="1"/>
        <v>8.2152639944177402E-2</v>
      </c>
      <c r="K78" s="96"/>
      <c r="L78" s="96"/>
      <c r="M78" s="96"/>
      <c r="N78" s="171">
        <f t="shared" si="3"/>
        <v>3.4794241175750001E-2</v>
      </c>
      <c r="O78" s="98">
        <f t="shared" si="26"/>
        <v>8.5996641561418805</v>
      </c>
      <c r="P78" s="96">
        <f t="shared" si="5"/>
        <v>6.2738409055667452E-2</v>
      </c>
      <c r="Q78" s="96"/>
      <c r="R78" s="97">
        <f t="shared" si="7"/>
        <v>0</v>
      </c>
      <c r="S78" s="99">
        <f t="shared" si="8"/>
        <v>0</v>
      </c>
      <c r="T78" s="95" t="e">
        <f t="shared" si="9"/>
        <v>#DIV/0!</v>
      </c>
    </row>
    <row r="79" spans="1:20" s="109" customFormat="1" ht="11.25" customHeight="1" x14ac:dyDescent="0.2">
      <c r="A79" s="102">
        <v>71</v>
      </c>
      <c r="B79" s="102" t="s">
        <v>72</v>
      </c>
      <c r="C79" s="114">
        <v>1.113</v>
      </c>
      <c r="D79" s="137"/>
      <c r="E79" s="1"/>
      <c r="F79" s="103">
        <v>7.5119034999999998</v>
      </c>
      <c r="G79" s="114">
        <v>-21.552743135956234</v>
      </c>
      <c r="H79" s="122">
        <f t="shared" si="10"/>
        <v>-25.868749453662158</v>
      </c>
      <c r="I79" s="105">
        <f t="shared" si="0"/>
        <v>0</v>
      </c>
      <c r="J79" s="106">
        <f t="shared" si="1"/>
        <v>6.7492394429469904</v>
      </c>
      <c r="K79" s="106">
        <f t="shared" ref="K79:L79" si="27">H$14</f>
        <v>44.65</v>
      </c>
      <c r="L79" s="106">
        <f t="shared" si="27"/>
        <v>2.83</v>
      </c>
      <c r="M79" s="106">
        <f t="shared" ref="M79:M80" si="28">C79*(K79/100)</f>
        <v>0.49695450000000002</v>
      </c>
      <c r="N79" s="169">
        <f t="shared" si="3"/>
        <v>0.49333675045899994</v>
      </c>
      <c r="O79" s="110">
        <f t="shared" si="4"/>
        <v>44.32495511761006</v>
      </c>
      <c r="P79" s="106">
        <f t="shared" si="5"/>
        <v>0</v>
      </c>
      <c r="Q79" s="106">
        <f t="shared" ref="Q79" si="29">C79*(L79/100)</f>
        <v>3.1497900000000002E-2</v>
      </c>
      <c r="R79" s="107">
        <f t="shared" si="7"/>
        <v>0</v>
      </c>
      <c r="S79" s="108">
        <f t="shared" si="8"/>
        <v>0</v>
      </c>
      <c r="T79" s="105" t="e">
        <f t="shared" si="9"/>
        <v>#DIV/0!</v>
      </c>
    </row>
    <row r="80" spans="1:20" s="151" customFormat="1" ht="11.25" customHeight="1" x14ac:dyDescent="0.2">
      <c r="A80" s="140">
        <v>72</v>
      </c>
      <c r="B80" s="140" t="s">
        <v>117</v>
      </c>
      <c r="C80" s="132">
        <v>1.7150000000000001</v>
      </c>
      <c r="D80" s="141"/>
      <c r="E80" s="1"/>
      <c r="F80" s="132">
        <v>0.82613412500000005</v>
      </c>
      <c r="G80" s="132">
        <v>-15.449017808971698</v>
      </c>
      <c r="H80" s="153">
        <f t="shared" si="10"/>
        <v>-19.765024126677623</v>
      </c>
      <c r="I80" s="154">
        <f t="shared" si="0"/>
        <v>0</v>
      </c>
      <c r="J80" s="155">
        <f t="shared" si="1"/>
        <v>0.48171086005830904</v>
      </c>
      <c r="K80" s="155">
        <f>$H$13</f>
        <v>3.3479999999999999</v>
      </c>
      <c r="L80" s="155"/>
      <c r="M80" s="155">
        <f t="shared" si="28"/>
        <v>5.7418199999999996E-2</v>
      </c>
      <c r="N80" s="170">
        <f t="shared" si="3"/>
        <v>5.4255532525249998E-2</v>
      </c>
      <c r="O80" s="157">
        <f t="shared" si="4"/>
        <v>3.1635879023469387</v>
      </c>
      <c r="P80" s="155">
        <f t="shared" si="5"/>
        <v>0</v>
      </c>
      <c r="Q80" s="155"/>
      <c r="R80" s="156">
        <f t="shared" si="7"/>
        <v>0</v>
      </c>
      <c r="S80" s="158">
        <f t="shared" si="8"/>
        <v>0</v>
      </c>
      <c r="T80" s="154" t="e">
        <f t="shared" si="9"/>
        <v>#DIV/0!</v>
      </c>
    </row>
    <row r="81" spans="1:28" s="100" customFormat="1" ht="11.25" customHeight="1" x14ac:dyDescent="0.2">
      <c r="A81" s="129"/>
      <c r="B81" s="129"/>
      <c r="C81" s="120"/>
      <c r="D81" s="139"/>
      <c r="E81" s="1"/>
      <c r="F81" s="104"/>
      <c r="G81" s="120"/>
      <c r="H81" s="123"/>
      <c r="I81" s="95"/>
      <c r="J81" s="96"/>
      <c r="K81" s="96"/>
      <c r="L81" s="96"/>
      <c r="M81" s="96"/>
      <c r="N81" s="97"/>
      <c r="O81" s="98"/>
      <c r="P81" s="96"/>
      <c r="Q81" s="96"/>
      <c r="R81" s="97"/>
      <c r="S81" s="99"/>
      <c r="T81" s="95"/>
    </row>
    <row r="82" spans="1:28" s="100" customFormat="1" ht="11.25" customHeight="1" x14ac:dyDescent="0.2">
      <c r="A82" s="102"/>
      <c r="B82" s="102"/>
      <c r="C82" s="103"/>
      <c r="D82" s="103"/>
      <c r="E82" s="103"/>
      <c r="H82" s="123"/>
      <c r="I82" s="95"/>
      <c r="J82" s="96"/>
      <c r="M82" s="96"/>
      <c r="N82" s="97"/>
      <c r="O82" s="98"/>
      <c r="P82" s="96"/>
      <c r="Q82" s="96"/>
      <c r="R82" s="97"/>
      <c r="S82" s="99"/>
      <c r="T82" s="95"/>
    </row>
    <row r="83" spans="1:28" ht="11.25" customHeight="1" x14ac:dyDescent="0.2">
      <c r="A83" s="129"/>
      <c r="B83" s="129"/>
      <c r="C83" s="120"/>
      <c r="D83" s="104"/>
      <c r="E83" s="120"/>
      <c r="F83" s="114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71</v>
      </c>
      <c r="H84" s="123">
        <f>STDEV(H86:H90,H92,H94,H96)</f>
        <v>6.2859734988959956E-2</v>
      </c>
      <c r="I84" s="123">
        <f>STDEV(I86:I95)</f>
        <v>0</v>
      </c>
      <c r="J84" s="96"/>
      <c r="K84" s="1"/>
      <c r="L84" s="1"/>
      <c r="M84" s="96"/>
      <c r="N84" s="97"/>
      <c r="O84" s="123">
        <f>STDEV(O86:O90,O92,O94,O96)</f>
        <v>0.44203372587333106</v>
      </c>
      <c r="P84" s="96"/>
      <c r="Q84" s="96"/>
      <c r="R84" s="97"/>
      <c r="S84" s="123">
        <f>STDEV(S86:S95)</f>
        <v>0</v>
      </c>
      <c r="T84" s="123" t="e">
        <f>STDEV(T86:T95)</f>
        <v>#DIV/0!</v>
      </c>
    </row>
    <row r="85" spans="1:28" ht="11.25" customHeight="1" x14ac:dyDescent="0.25">
      <c r="H85" s="124"/>
      <c r="I85" s="124"/>
      <c r="J85"/>
      <c r="K85" s="1"/>
      <c r="L85" s="1"/>
      <c r="M85" s="1"/>
      <c r="N85" s="1"/>
      <c r="O85" s="124"/>
      <c r="P85" s="1"/>
      <c r="Q85" s="1"/>
      <c r="S85" s="124"/>
      <c r="T85" s="124"/>
      <c r="V85" s="1"/>
      <c r="W85" s="1"/>
      <c r="X85" s="1"/>
      <c r="Y85" s="1"/>
      <c r="Z85" s="1"/>
      <c r="AA85" s="1"/>
      <c r="AB85" s="1"/>
    </row>
    <row r="86" spans="1:28" s="109" customFormat="1" ht="11.25" customHeight="1" x14ac:dyDescent="0.2">
      <c r="A86" s="102">
        <v>25</v>
      </c>
      <c r="B86" s="102" t="s">
        <v>55</v>
      </c>
      <c r="C86" s="114">
        <v>1.0820000000000001</v>
      </c>
      <c r="D86" s="137"/>
      <c r="E86" s="1"/>
      <c r="F86" s="103">
        <v>7.4501289999999996</v>
      </c>
      <c r="G86" s="114">
        <v>-21.562767359931257</v>
      </c>
      <c r="H86" s="122">
        <f>$B$26*G86+$D$26</f>
        <v>-25.878773677637181</v>
      </c>
      <c r="I86" s="105">
        <f t="shared" ref="I86:I92" si="30">$B$27*E86+$D$27</f>
        <v>0</v>
      </c>
      <c r="J86" s="106">
        <f t="shared" ref="J86:J92" si="31">(F86)/C86</f>
        <v>6.8855166358595188</v>
      </c>
      <c r="K86" s="106">
        <f>H$14</f>
        <v>44.65</v>
      </c>
      <c r="L86" s="106">
        <f>I$14</f>
        <v>2.83</v>
      </c>
      <c r="M86" s="106">
        <f t="shared" ref="M86:M97" si="32">C86*(K86/100)</f>
        <v>0.48311300000000001</v>
      </c>
      <c r="N86" s="107">
        <f t="shared" ref="N86:N97" si="33">F86*$B$28+$D$28</f>
        <v>0.48927977194599992</v>
      </c>
      <c r="O86" s="110">
        <f t="shared" ref="O86:O92" si="34">N86/C86*100</f>
        <v>45.219941954343795</v>
      </c>
      <c r="P86" s="106">
        <f t="shared" ref="P86:P92" si="35">D86/C86</f>
        <v>0</v>
      </c>
      <c r="Q86" s="106">
        <f t="shared" ref="Q86:Q90" si="36">C86*(L86/100)</f>
        <v>3.0620600000000005E-2</v>
      </c>
      <c r="R86" s="107">
        <f t="shared" ref="R86:R92" si="37">D86*$B$29+$D$29</f>
        <v>0</v>
      </c>
      <c r="S86" s="108">
        <f t="shared" ref="S86:S92" si="38">R86/C86*100</f>
        <v>0</v>
      </c>
      <c r="T86" s="105" t="e">
        <f t="shared" ref="T86:T92" si="39">N86/R86</f>
        <v>#DIV/0!</v>
      </c>
    </row>
    <row r="87" spans="1:28" s="109" customFormat="1" ht="11.25" customHeight="1" x14ac:dyDescent="0.2">
      <c r="A87" s="115">
        <v>26</v>
      </c>
      <c r="B87" s="115" t="s">
        <v>56</v>
      </c>
      <c r="C87" s="116">
        <v>0.90200000000000002</v>
      </c>
      <c r="D87" s="138"/>
      <c r="E87" s="1"/>
      <c r="F87" s="116">
        <v>6.1843044999999996</v>
      </c>
      <c r="G87" s="116">
        <v>-21.684550326994376</v>
      </c>
      <c r="H87" s="122">
        <f t="shared" ref="H87:H92" si="40">$B$26*G87+$D$26</f>
        <v>-26.0005566447003</v>
      </c>
      <c r="I87" s="105">
        <f t="shared" si="30"/>
        <v>0</v>
      </c>
      <c r="J87" s="106">
        <f t="shared" si="31"/>
        <v>6.856213414634146</v>
      </c>
      <c r="K87" s="106">
        <f t="shared" ref="K87:K90" si="41">H$14</f>
        <v>44.65</v>
      </c>
      <c r="L87" s="106">
        <f t="shared" ref="L87:L90" si="42">I$14</f>
        <v>2.83</v>
      </c>
      <c r="M87" s="106">
        <f t="shared" si="32"/>
        <v>0.40274300000000002</v>
      </c>
      <c r="N87" s="107">
        <f t="shared" si="33"/>
        <v>0.40614801373299997</v>
      </c>
      <c r="O87" s="110">
        <f t="shared" si="34"/>
        <v>45.027495979268288</v>
      </c>
      <c r="P87" s="106">
        <f t="shared" si="35"/>
        <v>0</v>
      </c>
      <c r="Q87" s="106">
        <f t="shared" si="36"/>
        <v>2.5526600000000003E-2</v>
      </c>
      <c r="R87" s="107">
        <f t="shared" si="37"/>
        <v>0</v>
      </c>
      <c r="S87" s="108">
        <f t="shared" si="38"/>
        <v>0</v>
      </c>
      <c r="T87" s="105" t="e">
        <f t="shared" si="39"/>
        <v>#DIV/0!</v>
      </c>
    </row>
    <row r="88" spans="1:28" s="109" customFormat="1" ht="11.25" customHeight="1" x14ac:dyDescent="0.2">
      <c r="A88" s="102">
        <v>27</v>
      </c>
      <c r="B88" s="102" t="s">
        <v>57</v>
      </c>
      <c r="C88" s="114">
        <v>0.91700000000000004</v>
      </c>
      <c r="D88" s="137"/>
      <c r="E88" s="1"/>
      <c r="F88" s="103">
        <v>6.3039825</v>
      </c>
      <c r="G88" s="114">
        <v>-21.682245315534399</v>
      </c>
      <c r="H88" s="122">
        <f t="shared" si="40"/>
        <v>-25.998251633240322</v>
      </c>
      <c r="I88" s="105">
        <f t="shared" si="30"/>
        <v>0</v>
      </c>
      <c r="J88" s="106">
        <f t="shared" si="31"/>
        <v>6.8745719738276989</v>
      </c>
      <c r="K88" s="106">
        <f t="shared" si="41"/>
        <v>44.65</v>
      </c>
      <c r="L88" s="106">
        <f t="shared" si="42"/>
        <v>2.83</v>
      </c>
      <c r="M88" s="106">
        <f t="shared" si="32"/>
        <v>0.40944050000000004</v>
      </c>
      <c r="N88" s="107">
        <f t="shared" si="33"/>
        <v>0.41400774670499996</v>
      </c>
      <c r="O88" s="110">
        <f t="shared" si="34"/>
        <v>45.148063980916028</v>
      </c>
      <c r="P88" s="106">
        <f t="shared" si="35"/>
        <v>0</v>
      </c>
      <c r="Q88" s="106">
        <f t="shared" si="36"/>
        <v>2.5951100000000005E-2</v>
      </c>
      <c r="R88" s="107">
        <f t="shared" si="37"/>
        <v>0</v>
      </c>
      <c r="S88" s="108">
        <f t="shared" si="38"/>
        <v>0</v>
      </c>
      <c r="T88" s="105" t="e">
        <f t="shared" si="39"/>
        <v>#DIV/0!</v>
      </c>
    </row>
    <row r="89" spans="1:28" s="109" customFormat="1" ht="11.25" customHeight="1" x14ac:dyDescent="0.2">
      <c r="A89" s="115">
        <v>28</v>
      </c>
      <c r="B89" s="115" t="s">
        <v>58</v>
      </c>
      <c r="C89" s="116">
        <v>1.1419999999999999</v>
      </c>
      <c r="D89" s="138"/>
      <c r="E89" s="1"/>
      <c r="F89" s="116">
        <v>7.7796215000000002</v>
      </c>
      <c r="G89" s="116">
        <v>-21.620527509683971</v>
      </c>
      <c r="H89" s="122">
        <f t="shared" si="40"/>
        <v>-25.936533827389894</v>
      </c>
      <c r="I89" s="105">
        <f t="shared" si="30"/>
        <v>0</v>
      </c>
      <c r="J89" s="106">
        <f t="shared" si="31"/>
        <v>6.8122780210157625</v>
      </c>
      <c r="K89" s="106">
        <f t="shared" si="41"/>
        <v>44.65</v>
      </c>
      <c r="L89" s="106">
        <f t="shared" si="42"/>
        <v>2.83</v>
      </c>
      <c r="M89" s="106">
        <f t="shared" si="32"/>
        <v>0.509903</v>
      </c>
      <c r="N89" s="107">
        <f t="shared" si="33"/>
        <v>0.51091886239099993</v>
      </c>
      <c r="O89" s="110">
        <f t="shared" si="34"/>
        <v>44.738954675218913</v>
      </c>
      <c r="P89" s="106">
        <f t="shared" si="35"/>
        <v>0</v>
      </c>
      <c r="Q89" s="106">
        <f t="shared" si="36"/>
        <v>3.2318600000000003E-2</v>
      </c>
      <c r="R89" s="107">
        <f t="shared" si="37"/>
        <v>0</v>
      </c>
      <c r="S89" s="108">
        <f t="shared" si="38"/>
        <v>0</v>
      </c>
      <c r="T89" s="105" t="e">
        <f t="shared" si="39"/>
        <v>#DIV/0!</v>
      </c>
    </row>
    <row r="90" spans="1:28" s="109" customFormat="1" ht="11.25" customHeight="1" x14ac:dyDescent="0.2">
      <c r="A90" s="102">
        <v>29</v>
      </c>
      <c r="B90" s="102" t="s">
        <v>59</v>
      </c>
      <c r="C90" s="114">
        <v>1.028</v>
      </c>
      <c r="D90" s="137"/>
      <c r="E90" s="1"/>
      <c r="F90" s="103">
        <v>7.0831875000000002</v>
      </c>
      <c r="G90" s="114">
        <v>-21.667867792140505</v>
      </c>
      <c r="H90" s="122">
        <f t="shared" si="40"/>
        <v>-25.983874109846429</v>
      </c>
      <c r="I90" s="105">
        <f t="shared" si="30"/>
        <v>0</v>
      </c>
      <c r="J90" s="106">
        <f t="shared" si="31"/>
        <v>6.8902602140077818</v>
      </c>
      <c r="K90" s="106">
        <f t="shared" si="41"/>
        <v>44.65</v>
      </c>
      <c r="L90" s="106">
        <f t="shared" si="42"/>
        <v>2.83</v>
      </c>
      <c r="M90" s="106">
        <f t="shared" si="32"/>
        <v>0.45900200000000002</v>
      </c>
      <c r="N90" s="107">
        <f t="shared" si="33"/>
        <v>0.46518125587499998</v>
      </c>
      <c r="O90" s="110">
        <f t="shared" si="34"/>
        <v>45.251094929474704</v>
      </c>
      <c r="P90" s="106">
        <f t="shared" si="35"/>
        <v>0</v>
      </c>
      <c r="Q90" s="106">
        <f t="shared" si="36"/>
        <v>2.9092400000000004E-2</v>
      </c>
      <c r="R90" s="107">
        <f t="shared" si="37"/>
        <v>0</v>
      </c>
      <c r="S90" s="108">
        <f t="shared" si="38"/>
        <v>0</v>
      </c>
      <c r="T90" s="105" t="e">
        <f t="shared" si="39"/>
        <v>#DIV/0!</v>
      </c>
    </row>
    <row r="91" spans="1:28" s="151" customFormat="1" ht="11.25" customHeight="1" x14ac:dyDescent="0.2">
      <c r="A91" s="115">
        <v>30</v>
      </c>
      <c r="B91" s="115" t="s">
        <v>78</v>
      </c>
      <c r="C91" s="116">
        <v>2.4620000000000002</v>
      </c>
      <c r="D91" s="138"/>
      <c r="E91" s="1"/>
      <c r="F91" s="116">
        <v>1.1979498749999999</v>
      </c>
      <c r="G91" s="116">
        <v>-15.459503823444821</v>
      </c>
      <c r="H91" s="153">
        <f t="shared" si="40"/>
        <v>-19.775510141150747</v>
      </c>
      <c r="I91" s="154">
        <f t="shared" si="30"/>
        <v>0</v>
      </c>
      <c r="J91" s="155">
        <f t="shared" si="31"/>
        <v>0.48657590373679926</v>
      </c>
      <c r="K91" s="155">
        <f>$H$13</f>
        <v>3.3479999999999999</v>
      </c>
      <c r="L91" s="155"/>
      <c r="M91" s="155">
        <f t="shared" si="32"/>
        <v>8.2427760000000003E-2</v>
      </c>
      <c r="N91" s="156">
        <f t="shared" si="33"/>
        <v>7.8674160090749998E-2</v>
      </c>
      <c r="O91" s="157">
        <f t="shared" si="34"/>
        <v>3.195538590201056</v>
      </c>
      <c r="P91" s="155">
        <f t="shared" si="35"/>
        <v>0</v>
      </c>
      <c r="Q91" s="155"/>
      <c r="R91" s="156">
        <f t="shared" si="37"/>
        <v>0</v>
      </c>
      <c r="S91" s="158">
        <f t="shared" si="38"/>
        <v>0</v>
      </c>
      <c r="T91" s="154" t="e">
        <f t="shared" si="39"/>
        <v>#DIV/0!</v>
      </c>
    </row>
    <row r="92" spans="1:28" s="109" customFormat="1" ht="11.25" customHeight="1" x14ac:dyDescent="0.2">
      <c r="A92" s="102">
        <v>43</v>
      </c>
      <c r="B92" s="102" t="s">
        <v>70</v>
      </c>
      <c r="C92" s="114">
        <v>1.278</v>
      </c>
      <c r="D92" s="137"/>
      <c r="E92" s="1"/>
      <c r="F92" s="103">
        <v>8.6292460000000002</v>
      </c>
      <c r="G92" s="114">
        <v>-21.582732696615121</v>
      </c>
      <c r="H92" s="122">
        <f t="shared" si="40"/>
        <v>-25.898739014321045</v>
      </c>
      <c r="I92" s="105">
        <f t="shared" si="30"/>
        <v>0</v>
      </c>
      <c r="J92" s="106">
        <f t="shared" si="31"/>
        <v>6.7521486697965569</v>
      </c>
      <c r="K92" s="106">
        <f t="shared" ref="K92" si="43">H$14</f>
        <v>44.65</v>
      </c>
      <c r="L92" s="106">
        <f t="shared" ref="L92" si="44">I$14</f>
        <v>2.83</v>
      </c>
      <c r="M92" s="106">
        <f t="shared" si="32"/>
        <v>0.570627</v>
      </c>
      <c r="N92" s="107">
        <f t="shared" si="33"/>
        <v>0.56671710180400003</v>
      </c>
      <c r="O92" s="110">
        <f t="shared" si="34"/>
        <v>44.34406117402191</v>
      </c>
      <c r="P92" s="106">
        <f t="shared" si="35"/>
        <v>0</v>
      </c>
      <c r="Q92" s="106">
        <f t="shared" ref="Q92" si="45">C92*(L92/100)</f>
        <v>3.6167400000000002E-2</v>
      </c>
      <c r="R92" s="107">
        <f t="shared" si="37"/>
        <v>0</v>
      </c>
      <c r="S92" s="108">
        <f t="shared" si="38"/>
        <v>0</v>
      </c>
      <c r="T92" s="105" t="e">
        <f t="shared" si="39"/>
        <v>#DIV/0!</v>
      </c>
    </row>
    <row r="93" spans="1:28" s="151" customFormat="1" ht="11.25" customHeight="1" x14ac:dyDescent="0.2">
      <c r="A93" s="115">
        <v>44</v>
      </c>
      <c r="B93" s="115" t="s">
        <v>91</v>
      </c>
      <c r="C93" s="116">
        <v>2.6629999999999998</v>
      </c>
      <c r="D93" s="138"/>
      <c r="E93" s="1"/>
      <c r="F93" s="116">
        <v>1.2838572500000001</v>
      </c>
      <c r="G93" s="116">
        <v>-15.148342541856062</v>
      </c>
      <c r="H93" s="153">
        <f>$B$26*G93+$D$26</f>
        <v>-19.464348859561987</v>
      </c>
      <c r="I93" s="154">
        <f>$B$27*E93+$D$27</f>
        <v>0</v>
      </c>
      <c r="J93" s="155">
        <f>(F93)/C93</f>
        <v>0.48210936913255731</v>
      </c>
      <c r="K93" s="155">
        <f>$H$13</f>
        <v>3.3479999999999999</v>
      </c>
      <c r="L93" s="155"/>
      <c r="M93" s="155">
        <f t="shared" si="32"/>
        <v>8.9157239999999985E-2</v>
      </c>
      <c r="N93" s="156">
        <f t="shared" si="33"/>
        <v>8.4316041036500006E-2</v>
      </c>
      <c r="O93" s="157">
        <f>N93/C93*100</f>
        <v>3.1662050708411571</v>
      </c>
      <c r="P93" s="155">
        <f>D93/C93</f>
        <v>0</v>
      </c>
      <c r="Q93" s="155"/>
      <c r="R93" s="156">
        <f>D93*$B$29+$D$29</f>
        <v>0</v>
      </c>
      <c r="S93" s="158">
        <f>R93/C93*100</f>
        <v>0</v>
      </c>
      <c r="T93" s="154" t="e">
        <f>N93/R93</f>
        <v>#DIV/0!</v>
      </c>
    </row>
    <row r="94" spans="1:28" s="109" customFormat="1" ht="11.25" customHeight="1" x14ac:dyDescent="0.2">
      <c r="A94" s="102">
        <v>57</v>
      </c>
      <c r="B94" s="102" t="s">
        <v>60</v>
      </c>
      <c r="C94" s="114">
        <v>1.5009999999999999</v>
      </c>
      <c r="D94" s="137"/>
      <c r="E94" s="1"/>
      <c r="F94" s="103">
        <v>10.098096999999999</v>
      </c>
      <c r="G94" s="114">
        <v>-21.718515321496731</v>
      </c>
      <c r="H94" s="122">
        <f t="shared" ref="H94:H97" si="46">$B$26*G94+$D$26</f>
        <v>-26.034521639202655</v>
      </c>
      <c r="I94" s="105">
        <f t="shared" ref="I94:I97" si="47">$B$27*E94+$D$27</f>
        <v>0</v>
      </c>
      <c r="J94" s="106">
        <f t="shared" ref="J94:J97" si="48">(F94)/C94</f>
        <v>6.7275796135909394</v>
      </c>
      <c r="K94" s="106">
        <f t="shared" ref="K94" si="49">H$14</f>
        <v>44.65</v>
      </c>
      <c r="L94" s="106">
        <f t="shared" ref="L94" si="50">I$14</f>
        <v>2.83</v>
      </c>
      <c r="M94" s="106">
        <f t="shared" si="32"/>
        <v>0.67019649999999997</v>
      </c>
      <c r="N94" s="107">
        <f t="shared" si="33"/>
        <v>0.66318242237799996</v>
      </c>
      <c r="O94" s="110">
        <f t="shared" ref="O94:O97" si="51">N94/C94*100</f>
        <v>44.182706354297139</v>
      </c>
      <c r="P94" s="106">
        <f t="shared" ref="P94:P97" si="52">D94/C94</f>
        <v>0</v>
      </c>
      <c r="Q94" s="106">
        <f t="shared" ref="Q94" si="53">C94*(L94/100)</f>
        <v>4.2478300000000004E-2</v>
      </c>
      <c r="R94" s="107">
        <f t="shared" ref="R94:R97" si="54">D94*$B$29+$D$29</f>
        <v>0</v>
      </c>
      <c r="S94" s="108">
        <f t="shared" ref="S94:S97" si="55">R94/C94*100</f>
        <v>0</v>
      </c>
      <c r="T94" s="105" t="e">
        <f t="shared" ref="T94:T97" si="56">N94/R94</f>
        <v>#DIV/0!</v>
      </c>
    </row>
    <row r="95" spans="1:28" s="151" customFormat="1" ht="11.25" customHeight="1" x14ac:dyDescent="0.2">
      <c r="A95" s="115">
        <v>58</v>
      </c>
      <c r="B95" s="115" t="s">
        <v>104</v>
      </c>
      <c r="C95" s="116">
        <v>1.663</v>
      </c>
      <c r="D95" s="138"/>
      <c r="E95" s="1"/>
      <c r="F95" s="116">
        <v>0.80595775000000003</v>
      </c>
      <c r="G95" s="116">
        <v>-15.763192114110668</v>
      </c>
      <c r="H95" s="153">
        <f t="shared" si="46"/>
        <v>-20.079198431816593</v>
      </c>
      <c r="I95" s="154">
        <f t="shared" si="47"/>
        <v>0</v>
      </c>
      <c r="J95" s="155">
        <f t="shared" si="48"/>
        <v>0.48464085989176187</v>
      </c>
      <c r="K95" s="155">
        <f>$H$13</f>
        <v>3.3479999999999999</v>
      </c>
      <c r="L95" s="155"/>
      <c r="M95" s="155">
        <f t="shared" si="32"/>
        <v>5.5677239999999996E-2</v>
      </c>
      <c r="N95" s="156">
        <f t="shared" si="33"/>
        <v>5.2930469273500001E-2</v>
      </c>
      <c r="O95" s="157">
        <f t="shared" si="51"/>
        <v>3.1828303832531568</v>
      </c>
      <c r="P95" s="155">
        <f t="shared" si="52"/>
        <v>0</v>
      </c>
      <c r="Q95" s="155"/>
      <c r="R95" s="156">
        <f t="shared" si="54"/>
        <v>0</v>
      </c>
      <c r="S95" s="158">
        <f t="shared" si="55"/>
        <v>0</v>
      </c>
      <c r="T95" s="154" t="e">
        <f t="shared" si="56"/>
        <v>#DIV/0!</v>
      </c>
    </row>
    <row r="96" spans="1:28" s="109" customFormat="1" ht="11.25" customHeight="1" x14ac:dyDescent="0.2">
      <c r="A96" s="102">
        <v>71</v>
      </c>
      <c r="B96" s="102" t="s">
        <v>72</v>
      </c>
      <c r="C96" s="114">
        <v>1.113</v>
      </c>
      <c r="D96" s="137"/>
      <c r="E96" s="1"/>
      <c r="F96" s="103">
        <v>7.5119034999999998</v>
      </c>
      <c r="G96" s="114">
        <v>-21.552743135956234</v>
      </c>
      <c r="H96" s="122">
        <f t="shared" si="46"/>
        <v>-25.868749453662158</v>
      </c>
      <c r="I96" s="105">
        <f t="shared" si="47"/>
        <v>0</v>
      </c>
      <c r="J96" s="106">
        <f t="shared" si="48"/>
        <v>6.7492394429469904</v>
      </c>
      <c r="K96" s="106">
        <f t="shared" ref="K96" si="57">H$14</f>
        <v>44.65</v>
      </c>
      <c r="L96" s="106">
        <f t="shared" ref="L96" si="58">I$14</f>
        <v>2.83</v>
      </c>
      <c r="M96" s="106">
        <f t="shared" si="32"/>
        <v>0.49695450000000002</v>
      </c>
      <c r="N96" s="107">
        <f t="shared" si="33"/>
        <v>0.49333675045899994</v>
      </c>
      <c r="O96" s="110">
        <f t="shared" si="51"/>
        <v>44.32495511761006</v>
      </c>
      <c r="P96" s="106">
        <f t="shared" si="52"/>
        <v>0</v>
      </c>
      <c r="Q96" s="106">
        <f t="shared" ref="Q96" si="59">C96*(L96/100)</f>
        <v>3.1497900000000002E-2</v>
      </c>
      <c r="R96" s="107">
        <f t="shared" si="54"/>
        <v>0</v>
      </c>
      <c r="S96" s="108">
        <f t="shared" si="55"/>
        <v>0</v>
      </c>
      <c r="T96" s="105" t="e">
        <f t="shared" si="56"/>
        <v>#DIV/0!</v>
      </c>
    </row>
    <row r="97" spans="1:28" s="151" customFormat="1" ht="11.25" customHeight="1" x14ac:dyDescent="0.2">
      <c r="A97" s="140">
        <v>72</v>
      </c>
      <c r="B97" s="140" t="s">
        <v>117</v>
      </c>
      <c r="C97" s="132">
        <v>1.7150000000000001</v>
      </c>
      <c r="D97" s="141"/>
      <c r="E97" s="1"/>
      <c r="F97" s="132">
        <v>0.82613412500000005</v>
      </c>
      <c r="G97" s="132">
        <v>-15.449017808971698</v>
      </c>
      <c r="H97" s="153">
        <f t="shared" si="46"/>
        <v>-19.765024126677623</v>
      </c>
      <c r="I97" s="154">
        <f t="shared" si="47"/>
        <v>0</v>
      </c>
      <c r="J97" s="155">
        <f t="shared" si="48"/>
        <v>0.48171086005830904</v>
      </c>
      <c r="K97" s="155">
        <f>$H$13</f>
        <v>3.3479999999999999</v>
      </c>
      <c r="L97" s="155"/>
      <c r="M97" s="155">
        <f t="shared" si="32"/>
        <v>5.7418199999999996E-2</v>
      </c>
      <c r="N97" s="156">
        <f t="shared" si="33"/>
        <v>5.4255532525249998E-2</v>
      </c>
      <c r="O97" s="157">
        <f t="shared" si="51"/>
        <v>3.1635879023469387</v>
      </c>
      <c r="P97" s="155">
        <f t="shared" si="52"/>
        <v>0</v>
      </c>
      <c r="Q97" s="155"/>
      <c r="R97" s="156">
        <f t="shared" si="54"/>
        <v>0</v>
      </c>
      <c r="S97" s="158">
        <f t="shared" si="55"/>
        <v>0</v>
      </c>
      <c r="T97" s="154" t="e">
        <f t="shared" si="56"/>
        <v>#DIV/0!</v>
      </c>
    </row>
    <row r="98" spans="1:28" s="100" customFormat="1" ht="11.25" customHeight="1" x14ac:dyDescent="0.2">
      <c r="A98" s="102"/>
      <c r="B98" s="162"/>
      <c r="C98" s="103"/>
      <c r="E98" s="148"/>
      <c r="F98" s="103"/>
      <c r="G98" s="103"/>
      <c r="H98" s="124"/>
      <c r="I98" s="124"/>
      <c r="J98" s="130"/>
      <c r="K98" s="130"/>
      <c r="L98" s="130"/>
      <c r="M98" s="130"/>
      <c r="N98" s="131"/>
      <c r="O98" s="125"/>
      <c r="P98" s="130"/>
      <c r="Q98" s="130"/>
      <c r="R98" s="131"/>
      <c r="S98" s="126"/>
      <c r="T98" s="124"/>
    </row>
    <row r="99" spans="1:28" s="100" customFormat="1" ht="11.25" customHeight="1" x14ac:dyDescent="0.2">
      <c r="A99" s="102"/>
      <c r="B99" s="162"/>
      <c r="C99" s="103"/>
      <c r="E99" s="148"/>
      <c r="F99" s="103"/>
      <c r="G99" s="103"/>
      <c r="H99" s="124"/>
      <c r="I99" s="124"/>
      <c r="J99" s="130"/>
      <c r="K99" s="130"/>
      <c r="L99" s="130"/>
      <c r="M99" s="130"/>
      <c r="N99" s="131"/>
      <c r="O99" s="125"/>
      <c r="P99" s="130"/>
      <c r="Q99" s="130"/>
      <c r="R99" s="131"/>
      <c r="S99" s="126"/>
      <c r="T99" s="124"/>
    </row>
    <row r="100" spans="1:28" s="100" customFormat="1" ht="11.25" customHeight="1" x14ac:dyDescent="0.2">
      <c r="A100" s="102"/>
      <c r="B100" s="162"/>
      <c r="C100" s="103"/>
      <c r="E100" s="148"/>
      <c r="F100" s="103"/>
      <c r="G100" s="103"/>
      <c r="H100" s="124"/>
      <c r="I100" s="124"/>
      <c r="J100" s="130"/>
      <c r="K100" s="130"/>
      <c r="L100" s="130"/>
      <c r="M100" s="130"/>
      <c r="N100" s="131"/>
      <c r="O100" s="125"/>
      <c r="P100" s="130"/>
      <c r="Q100" s="130"/>
      <c r="R100" s="131"/>
      <c r="S100" s="126"/>
      <c r="T100" s="124"/>
    </row>
    <row r="101" spans="1:28" s="100" customFormat="1" ht="11.25" customHeight="1" x14ac:dyDescent="0.2">
      <c r="A101" s="102"/>
      <c r="B101" s="162"/>
      <c r="C101" s="103"/>
      <c r="E101" s="148"/>
      <c r="F101" s="103"/>
      <c r="G101" s="103"/>
      <c r="H101" s="124"/>
      <c r="I101" s="124"/>
      <c r="J101" s="130"/>
      <c r="K101" s="130"/>
      <c r="L101" s="130"/>
      <c r="M101" s="130"/>
      <c r="N101" s="131"/>
      <c r="O101" s="125"/>
      <c r="P101" s="130"/>
      <c r="Q101" s="130"/>
      <c r="R101" s="131"/>
      <c r="S101" s="126"/>
      <c r="T101" s="124"/>
    </row>
    <row r="102" spans="1:28" ht="11.25" customHeight="1" x14ac:dyDescent="0.2">
      <c r="A102" s="111" t="s">
        <v>61</v>
      </c>
      <c r="B102" s="112" t="s">
        <v>40</v>
      </c>
      <c r="C102" s="111" t="s">
        <v>54</v>
      </c>
      <c r="D102" s="135"/>
      <c r="F102" s="111" t="s">
        <v>62</v>
      </c>
      <c r="G102" s="113" t="s">
        <v>63</v>
      </c>
      <c r="J102" s="1"/>
      <c r="K102" s="1"/>
      <c r="L102" s="1"/>
      <c r="M102" s="1"/>
      <c r="N102" s="1"/>
      <c r="O102" s="1"/>
      <c r="P102" s="1"/>
      <c r="Q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">
      <c r="A103" s="117" t="s">
        <v>64</v>
      </c>
      <c r="B103" s="117" t="s">
        <v>65</v>
      </c>
      <c r="C103" s="119" t="s">
        <v>67</v>
      </c>
      <c r="D103" s="136"/>
      <c r="F103" s="118" t="s">
        <v>66</v>
      </c>
      <c r="G103" s="119" t="s">
        <v>68</v>
      </c>
      <c r="J103" s="1"/>
      <c r="K103" s="1"/>
      <c r="L103" s="1"/>
      <c r="M103" s="1"/>
      <c r="N103" s="1"/>
      <c r="O103" s="1"/>
      <c r="P103" s="1"/>
      <c r="Q103" s="1"/>
      <c r="V103" s="1"/>
      <c r="W103" s="1"/>
      <c r="X103" s="1"/>
      <c r="Y103" s="1"/>
      <c r="Z103" s="1"/>
      <c r="AA103" s="1"/>
      <c r="AB103" s="1"/>
    </row>
    <row r="104" spans="1:28" ht="11.25" customHeight="1" x14ac:dyDescent="0.2">
      <c r="A104" s="102">
        <v>25</v>
      </c>
      <c r="B104" s="102" t="s">
        <v>55</v>
      </c>
      <c r="C104" s="114">
        <v>1.0820000000000001</v>
      </c>
      <c r="D104" s="137"/>
      <c r="F104" s="103">
        <v>7.4501289999999996</v>
      </c>
      <c r="G104" s="114">
        <v>-21.562767359931257</v>
      </c>
      <c r="J104" s="1"/>
      <c r="K104" s="1"/>
      <c r="L104" s="1"/>
      <c r="M104" s="1"/>
      <c r="N104" s="1"/>
      <c r="O104" s="1"/>
      <c r="P104" s="1"/>
      <c r="Q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115">
        <v>26</v>
      </c>
      <c r="B105" s="115" t="s">
        <v>56</v>
      </c>
      <c r="C105" s="116">
        <v>0.90200000000000002</v>
      </c>
      <c r="D105" s="138"/>
      <c r="F105" s="116">
        <v>6.1843044999999996</v>
      </c>
      <c r="G105" s="116">
        <v>-21.684550326994376</v>
      </c>
      <c r="J105" s="1"/>
      <c r="K105" s="1"/>
      <c r="L105" s="1"/>
      <c r="M105" s="1"/>
      <c r="N105" s="1"/>
      <c r="O105" s="1"/>
      <c r="P105" s="1"/>
      <c r="Q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102">
        <v>27</v>
      </c>
      <c r="B106" s="102" t="s">
        <v>57</v>
      </c>
      <c r="C106" s="114">
        <v>0.91700000000000004</v>
      </c>
      <c r="D106" s="137"/>
      <c r="F106" s="103">
        <v>6.3039825</v>
      </c>
      <c r="G106" s="114">
        <v>-21.682245315534399</v>
      </c>
      <c r="J106" s="1"/>
      <c r="K106" s="1"/>
      <c r="L106" s="1"/>
      <c r="M106" s="1"/>
      <c r="N106" s="1"/>
      <c r="O106" s="1"/>
      <c r="P106" s="1"/>
      <c r="Q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115">
        <v>28</v>
      </c>
      <c r="B107" s="115" t="s">
        <v>58</v>
      </c>
      <c r="C107" s="116">
        <v>1.1419999999999999</v>
      </c>
      <c r="D107" s="138"/>
      <c r="F107" s="116">
        <v>7.7796215000000002</v>
      </c>
      <c r="G107" s="116">
        <v>-21.620527509683971</v>
      </c>
      <c r="J107" s="1"/>
      <c r="K107" s="1"/>
      <c r="L107" s="1"/>
      <c r="M107" s="1"/>
      <c r="N107" s="1"/>
      <c r="O107" s="1"/>
      <c r="P107" s="1"/>
      <c r="Q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102">
        <v>29</v>
      </c>
      <c r="B108" s="102" t="s">
        <v>59</v>
      </c>
      <c r="C108" s="114">
        <v>1.028</v>
      </c>
      <c r="D108" s="137"/>
      <c r="F108" s="103">
        <v>7.0831875000000002</v>
      </c>
      <c r="G108" s="114">
        <v>-21.667867792140505</v>
      </c>
      <c r="J108" s="1"/>
      <c r="K108" s="1"/>
      <c r="L108" s="1"/>
      <c r="M108" s="1"/>
      <c r="N108" s="1"/>
      <c r="O108" s="1"/>
      <c r="P108" s="1"/>
      <c r="Q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115">
        <v>30</v>
      </c>
      <c r="B109" s="115" t="s">
        <v>78</v>
      </c>
      <c r="C109" s="116">
        <v>2.4620000000000002</v>
      </c>
      <c r="D109" s="138"/>
      <c r="F109" s="116">
        <v>1.1979498749999999</v>
      </c>
      <c r="G109" s="116">
        <v>-15.459503823444821</v>
      </c>
      <c r="J109" s="1"/>
      <c r="K109" s="1"/>
      <c r="L109" s="1"/>
      <c r="M109" s="1"/>
      <c r="N109" s="1"/>
      <c r="O109" s="1"/>
      <c r="P109" s="1"/>
      <c r="Q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102">
        <v>31</v>
      </c>
      <c r="B110" s="102" t="s">
        <v>118</v>
      </c>
      <c r="C110" s="114">
        <v>6.1660000000000004</v>
      </c>
      <c r="D110" s="137"/>
      <c r="F110" s="103">
        <v>0.20463965625</v>
      </c>
      <c r="G110" s="114">
        <v>-23.27755519620036</v>
      </c>
      <c r="J110" s="1"/>
      <c r="K110" s="1"/>
      <c r="L110" s="1"/>
      <c r="M110" s="1"/>
      <c r="N110" s="1"/>
      <c r="O110" s="1"/>
      <c r="P110" s="1"/>
      <c r="Q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115">
        <v>32</v>
      </c>
      <c r="B111" s="115" t="s">
        <v>119</v>
      </c>
      <c r="C111" s="116">
        <v>5.5419999999999998</v>
      </c>
      <c r="D111" s="138"/>
      <c r="F111" s="116">
        <v>0.16994975000000001</v>
      </c>
      <c r="G111" s="116">
        <v>-23.971571675506166</v>
      </c>
      <c r="J111" s="1"/>
      <c r="K111" s="1"/>
      <c r="L111" s="1"/>
      <c r="M111" s="1"/>
      <c r="N111" s="1"/>
      <c r="O111" s="1"/>
      <c r="P111" s="1"/>
      <c r="Q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102">
        <v>33</v>
      </c>
      <c r="B112" s="102" t="s">
        <v>120</v>
      </c>
      <c r="C112" s="114">
        <v>6.2489999999999997</v>
      </c>
      <c r="D112" s="137"/>
      <c r="F112" s="103">
        <v>0.199825453125</v>
      </c>
      <c r="G112" s="114">
        <v>-23.888032032389201</v>
      </c>
      <c r="J112" s="1"/>
      <c r="K112" s="1"/>
      <c r="L112" s="1"/>
      <c r="M112" s="1"/>
      <c r="N112" s="1"/>
      <c r="O112" s="1"/>
      <c r="P112" s="1"/>
      <c r="Q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115">
        <v>34</v>
      </c>
      <c r="B113" s="115" t="s">
        <v>121</v>
      </c>
      <c r="C113" s="116">
        <v>5.89</v>
      </c>
      <c r="D113" s="138"/>
      <c r="F113" s="116">
        <v>0.20433084374999999</v>
      </c>
      <c r="G113" s="116">
        <v>-25.42830940968701</v>
      </c>
      <c r="J113" s="1"/>
      <c r="K113" s="1"/>
      <c r="L113" s="1"/>
      <c r="M113" s="1"/>
      <c r="N113" s="1"/>
      <c r="O113" s="1"/>
      <c r="P113" s="1"/>
      <c r="Q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102">
        <v>35</v>
      </c>
      <c r="B114" s="102" t="s">
        <v>122</v>
      </c>
      <c r="C114" s="114">
        <v>6.274</v>
      </c>
      <c r="D114" s="137"/>
      <c r="F114" s="103">
        <v>0.216806078125</v>
      </c>
      <c r="G114" s="114">
        <v>-25.4369167995734</v>
      </c>
      <c r="J114" s="1"/>
      <c r="K114" s="1"/>
      <c r="L114" s="1"/>
      <c r="M114" s="1"/>
      <c r="N114" s="1"/>
      <c r="O114" s="1"/>
      <c r="P114" s="1"/>
      <c r="Q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115">
        <v>36</v>
      </c>
      <c r="B115" s="115" t="s">
        <v>123</v>
      </c>
      <c r="C115" s="116">
        <v>6.0860000000000003</v>
      </c>
      <c r="D115" s="138"/>
      <c r="F115" s="116">
        <v>0.21731946874999999</v>
      </c>
      <c r="G115" s="116">
        <v>-24.921096108443869</v>
      </c>
      <c r="J115" s="1"/>
      <c r="K115" s="1"/>
      <c r="L115" s="1"/>
      <c r="M115" s="1"/>
      <c r="N115" s="1"/>
      <c r="O115" s="1"/>
      <c r="P115" s="1"/>
      <c r="Q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102">
        <v>37</v>
      </c>
      <c r="B116" s="102" t="s">
        <v>124</v>
      </c>
      <c r="C116" s="114">
        <v>6.24</v>
      </c>
      <c r="D116" s="137"/>
      <c r="F116" s="103">
        <v>0.16647840624999999</v>
      </c>
      <c r="G116" s="114">
        <v>-25.643453426862205</v>
      </c>
      <c r="J116" s="1"/>
      <c r="K116" s="1"/>
      <c r="L116" s="1"/>
      <c r="M116" s="1"/>
      <c r="N116" s="1"/>
      <c r="O116" s="1"/>
      <c r="P116" s="1"/>
      <c r="Q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115">
        <v>38</v>
      </c>
      <c r="B117" s="115" t="s">
        <v>125</v>
      </c>
      <c r="C117" s="116">
        <v>6.3049999999999997</v>
      </c>
      <c r="D117" s="138"/>
      <c r="F117" s="116">
        <v>0.1818513125</v>
      </c>
      <c r="G117" s="116">
        <v>-25.677370405074655</v>
      </c>
      <c r="J117" s="1"/>
      <c r="K117" s="1"/>
      <c r="L117" s="1"/>
      <c r="M117" s="1"/>
      <c r="N117" s="1"/>
      <c r="O117" s="1"/>
      <c r="P117" s="1"/>
      <c r="Q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102">
        <v>39</v>
      </c>
      <c r="B118" s="102" t="s">
        <v>126</v>
      </c>
      <c r="C118" s="114">
        <v>6.3419999999999996</v>
      </c>
      <c r="D118" s="137"/>
      <c r="F118" s="103">
        <v>0.17448931249999999</v>
      </c>
      <c r="G118" s="114">
        <v>-25.461736614353633</v>
      </c>
      <c r="J118" s="1"/>
      <c r="K118" s="1"/>
      <c r="L118" s="1"/>
      <c r="M118" s="1"/>
      <c r="N118" s="1"/>
      <c r="O118" s="1"/>
      <c r="P118" s="1"/>
      <c r="Q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115">
        <v>40</v>
      </c>
      <c r="B119" s="115" t="s">
        <v>127</v>
      </c>
      <c r="C119" s="116">
        <v>6.7830000000000004</v>
      </c>
      <c r="D119" s="138"/>
      <c r="F119" s="116">
        <v>0.47048734375000001</v>
      </c>
      <c r="G119" s="116">
        <v>-22.007021943234111</v>
      </c>
      <c r="J119" s="1"/>
      <c r="K119" s="1"/>
      <c r="L119" s="1"/>
      <c r="M119" s="1"/>
      <c r="N119" s="1"/>
      <c r="O119" s="1"/>
      <c r="P119" s="1"/>
      <c r="Q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102">
        <v>41</v>
      </c>
      <c r="B120" s="102" t="s">
        <v>128</v>
      </c>
      <c r="C120" s="114">
        <v>6.2069999999999999</v>
      </c>
      <c r="D120" s="137"/>
      <c r="F120" s="103">
        <v>0.39024431250000002</v>
      </c>
      <c r="G120" s="114">
        <v>-22.565183081651174</v>
      </c>
      <c r="J120" s="1"/>
      <c r="K120" s="1"/>
      <c r="L120" s="1"/>
      <c r="M120" s="1"/>
      <c r="N120" s="1"/>
      <c r="O120" s="1"/>
      <c r="P120" s="1"/>
      <c r="Q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115">
        <v>42</v>
      </c>
      <c r="B121" s="115" t="s">
        <v>129</v>
      </c>
      <c r="C121" s="116">
        <v>6.6109999999999998</v>
      </c>
      <c r="D121" s="138"/>
      <c r="F121" s="116">
        <v>0.51954162500000001</v>
      </c>
      <c r="G121" s="116">
        <v>-22.513876912677713</v>
      </c>
      <c r="J121" s="1"/>
      <c r="K121" s="1"/>
      <c r="L121" s="1"/>
      <c r="M121" s="1"/>
      <c r="N121" s="1"/>
      <c r="O121" s="1"/>
      <c r="P121" s="1"/>
      <c r="Q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102">
        <v>43</v>
      </c>
      <c r="B122" s="102" t="s">
        <v>70</v>
      </c>
      <c r="C122" s="114">
        <v>1.278</v>
      </c>
      <c r="D122" s="137"/>
      <c r="F122" s="103">
        <v>8.6292460000000002</v>
      </c>
      <c r="G122" s="114">
        <v>-21.582732696615121</v>
      </c>
      <c r="J122" s="1"/>
      <c r="K122" s="1"/>
      <c r="L122" s="1"/>
      <c r="M122" s="1"/>
      <c r="N122" s="1"/>
      <c r="O122" s="1"/>
      <c r="P122" s="1"/>
      <c r="Q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115">
        <v>44</v>
      </c>
      <c r="B123" s="115" t="s">
        <v>91</v>
      </c>
      <c r="C123" s="116">
        <v>2.6629999999999998</v>
      </c>
      <c r="D123" s="138"/>
      <c r="F123" s="116">
        <v>1.2838572500000001</v>
      </c>
      <c r="G123" s="116">
        <v>-15.148342541856062</v>
      </c>
      <c r="J123" s="1"/>
      <c r="K123" s="1"/>
      <c r="L123" s="1"/>
      <c r="M123" s="1"/>
      <c r="N123" s="1"/>
      <c r="O123" s="1"/>
      <c r="P123" s="1"/>
      <c r="Q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102">
        <v>45</v>
      </c>
      <c r="B124" s="102" t="s">
        <v>130</v>
      </c>
      <c r="C124" s="114">
        <v>6.5629999999999997</v>
      </c>
      <c r="D124" s="137"/>
      <c r="F124" s="103">
        <v>0.87490968749999998</v>
      </c>
      <c r="G124" s="114">
        <v>-15.367248802327403</v>
      </c>
      <c r="J124" s="1"/>
      <c r="K124" s="1"/>
      <c r="L124" s="1"/>
      <c r="M124" s="1"/>
      <c r="N124" s="1"/>
      <c r="O124" s="1"/>
      <c r="P124" s="1"/>
      <c r="Q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115">
        <v>46</v>
      </c>
      <c r="B125" s="115" t="s">
        <v>131</v>
      </c>
      <c r="C125" s="116">
        <v>6.4059999999999997</v>
      </c>
      <c r="D125" s="138"/>
      <c r="F125" s="116">
        <v>0.94467224999999999</v>
      </c>
      <c r="G125" s="116">
        <v>-15.555037531910193</v>
      </c>
      <c r="J125" s="1"/>
      <c r="K125" s="1"/>
      <c r="L125" s="1"/>
      <c r="M125" s="1"/>
      <c r="N125" s="1"/>
      <c r="O125" s="1"/>
      <c r="P125" s="1"/>
      <c r="Q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102">
        <v>47</v>
      </c>
      <c r="B126" s="102" t="s">
        <v>132</v>
      </c>
      <c r="C126" s="114">
        <v>6.0780000000000003</v>
      </c>
      <c r="D126" s="137"/>
      <c r="F126" s="103">
        <v>0.73408918749999996</v>
      </c>
      <c r="G126" s="114">
        <v>-14.798669801551101</v>
      </c>
      <c r="J126" s="1"/>
      <c r="K126" s="1"/>
      <c r="L126" s="1"/>
      <c r="M126" s="1"/>
      <c r="N126" s="1"/>
      <c r="O126" s="1"/>
      <c r="P126" s="1"/>
      <c r="Q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115">
        <v>48</v>
      </c>
      <c r="B127" s="115" t="s">
        <v>133</v>
      </c>
      <c r="C127" s="116">
        <v>6.6420000000000003</v>
      </c>
      <c r="D127" s="138"/>
      <c r="F127" s="116">
        <v>0.61701862500000004</v>
      </c>
      <c r="G127" s="116">
        <v>-13.181777749053444</v>
      </c>
      <c r="J127" s="1"/>
      <c r="K127" s="1"/>
      <c r="L127" s="1"/>
      <c r="M127" s="1"/>
      <c r="N127" s="1"/>
      <c r="O127" s="1"/>
      <c r="P127" s="1"/>
      <c r="Q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102">
        <v>49</v>
      </c>
      <c r="B128" s="102" t="s">
        <v>134</v>
      </c>
      <c r="C128" s="114">
        <v>6.1909999999999998</v>
      </c>
      <c r="D128" s="137"/>
      <c r="F128" s="103">
        <v>0.63302218750000006</v>
      </c>
      <c r="G128" s="114">
        <v>-14.821078971718965</v>
      </c>
      <c r="J128" s="1"/>
      <c r="K128" s="1"/>
      <c r="L128" s="1"/>
      <c r="M128" s="1"/>
      <c r="N128" s="1"/>
      <c r="O128" s="1"/>
      <c r="P128" s="1"/>
      <c r="Q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115">
        <v>50</v>
      </c>
      <c r="B129" s="115" t="s">
        <v>135</v>
      </c>
      <c r="C129" s="116">
        <v>6.02</v>
      </c>
      <c r="D129" s="138"/>
      <c r="F129" s="116">
        <v>0.60299899999999995</v>
      </c>
      <c r="G129" s="116">
        <v>-13.596413410590349</v>
      </c>
      <c r="J129" s="1"/>
      <c r="K129" s="1"/>
      <c r="L129" s="1"/>
      <c r="M129" s="1"/>
      <c r="N129" s="1"/>
      <c r="O129" s="1"/>
      <c r="P129" s="1"/>
      <c r="Q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102">
        <v>51</v>
      </c>
      <c r="B130" s="102" t="s">
        <v>136</v>
      </c>
      <c r="C130" s="114">
        <v>6.35</v>
      </c>
      <c r="D130" s="137"/>
      <c r="F130" s="103">
        <v>0.24293909375</v>
      </c>
      <c r="G130" s="114">
        <v>-23.87149715869262</v>
      </c>
      <c r="J130" s="1"/>
      <c r="K130" s="1"/>
      <c r="L130" s="1"/>
      <c r="M130" s="1"/>
      <c r="N130" s="1"/>
      <c r="O130" s="1"/>
      <c r="P130" s="1"/>
      <c r="Q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115">
        <v>52</v>
      </c>
      <c r="B131" s="115" t="s">
        <v>137</v>
      </c>
      <c r="C131" s="116">
        <v>6.2210000000000001</v>
      </c>
      <c r="D131" s="138"/>
      <c r="F131" s="116">
        <v>0.20199290624999999</v>
      </c>
      <c r="G131" s="116">
        <v>-24.318415255400883</v>
      </c>
      <c r="J131" s="1"/>
      <c r="K131" s="1"/>
      <c r="L131" s="1"/>
      <c r="M131" s="1"/>
      <c r="N131" s="1"/>
      <c r="O131" s="1"/>
      <c r="P131" s="1"/>
      <c r="Q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102">
        <v>53</v>
      </c>
      <c r="B132" s="102" t="s">
        <v>138</v>
      </c>
      <c r="C132" s="114">
        <v>6.1820000000000004</v>
      </c>
      <c r="D132" s="137"/>
      <c r="F132" s="103">
        <v>0.21911754687500001</v>
      </c>
      <c r="G132" s="114">
        <v>-22.924734542984641</v>
      </c>
      <c r="J132" s="1"/>
      <c r="K132" s="1"/>
      <c r="L132" s="1"/>
      <c r="M132" s="1"/>
      <c r="N132" s="1"/>
      <c r="O132" s="1"/>
      <c r="P132" s="1"/>
      <c r="Q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115">
        <v>54</v>
      </c>
      <c r="B133" s="115" t="s">
        <v>139</v>
      </c>
      <c r="C133" s="116">
        <v>6.2750000000000004</v>
      </c>
      <c r="D133" s="138"/>
      <c r="F133" s="116">
        <v>0.45214612500000001</v>
      </c>
      <c r="G133" s="116">
        <v>-12.387238792055625</v>
      </c>
      <c r="J133" s="1"/>
      <c r="K133" s="1"/>
      <c r="L133" s="1"/>
      <c r="M133" s="1"/>
      <c r="N133" s="1"/>
      <c r="O133" s="1"/>
      <c r="P133" s="1"/>
      <c r="Q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102">
        <v>55</v>
      </c>
      <c r="B134" s="102" t="s">
        <v>140</v>
      </c>
      <c r="C134" s="114">
        <v>6.04</v>
      </c>
      <c r="D134" s="137"/>
      <c r="F134" s="103">
        <v>0.47061221874999998</v>
      </c>
      <c r="G134" s="114">
        <v>-12.25509165490959</v>
      </c>
      <c r="J134" s="1"/>
      <c r="K134" s="1"/>
      <c r="L134" s="1"/>
      <c r="M134" s="1"/>
      <c r="N134" s="1"/>
      <c r="O134" s="1"/>
      <c r="P134" s="1"/>
      <c r="Q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115">
        <v>56</v>
      </c>
      <c r="B135" s="115" t="s">
        <v>141</v>
      </c>
      <c r="C135" s="116">
        <v>6.2270000000000003</v>
      </c>
      <c r="D135" s="138"/>
      <c r="F135" s="116">
        <v>0.46642546875000002</v>
      </c>
      <c r="G135" s="116">
        <v>-12.869569136966392</v>
      </c>
      <c r="J135" s="1"/>
      <c r="K135" s="1"/>
      <c r="L135" s="1"/>
      <c r="M135" s="1"/>
      <c r="N135" s="1"/>
      <c r="O135" s="1"/>
      <c r="P135" s="1"/>
      <c r="Q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102">
        <v>57</v>
      </c>
      <c r="B136" s="102" t="s">
        <v>60</v>
      </c>
      <c r="C136" s="114">
        <v>1.5009999999999999</v>
      </c>
      <c r="D136" s="137"/>
      <c r="F136" s="103">
        <v>10.098096999999999</v>
      </c>
      <c r="G136" s="114">
        <v>-21.718515321496731</v>
      </c>
      <c r="J136" s="1"/>
      <c r="K136" s="1"/>
      <c r="L136" s="1"/>
      <c r="M136" s="1"/>
      <c r="N136" s="1"/>
      <c r="O136" s="1"/>
      <c r="P136" s="1"/>
      <c r="Q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115">
        <v>58</v>
      </c>
      <c r="B137" s="115" t="s">
        <v>104</v>
      </c>
      <c r="C137" s="116">
        <v>1.663</v>
      </c>
      <c r="D137" s="138"/>
      <c r="F137" s="116">
        <v>0.80595775000000003</v>
      </c>
      <c r="G137" s="116">
        <v>-15.763192114110668</v>
      </c>
      <c r="J137" s="1"/>
      <c r="K137" s="1"/>
      <c r="L137" s="1"/>
      <c r="M137" s="1"/>
      <c r="N137" s="1"/>
      <c r="O137" s="1"/>
      <c r="P137" s="1"/>
      <c r="Q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102">
        <v>59</v>
      </c>
      <c r="B138" s="102" t="s">
        <v>142</v>
      </c>
      <c r="C138" s="114">
        <v>6.2140000000000004</v>
      </c>
      <c r="D138" s="137"/>
      <c r="F138" s="103">
        <v>0.398742125</v>
      </c>
      <c r="G138" s="114">
        <v>-15.28061632339872</v>
      </c>
      <c r="J138" s="1"/>
      <c r="K138" s="1"/>
      <c r="L138" s="1"/>
      <c r="M138" s="1"/>
      <c r="N138" s="1"/>
      <c r="O138" s="1"/>
      <c r="P138" s="1"/>
      <c r="Q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115">
        <v>60</v>
      </c>
      <c r="B139" s="115" t="s">
        <v>143</v>
      </c>
      <c r="C139" s="116">
        <v>6.1150000000000002</v>
      </c>
      <c r="D139" s="138"/>
      <c r="F139" s="116">
        <v>0.45123790624999999</v>
      </c>
      <c r="G139" s="116">
        <v>-16.574439747366551</v>
      </c>
      <c r="J139" s="1"/>
      <c r="K139" s="1"/>
      <c r="L139" s="1"/>
      <c r="M139" s="1"/>
      <c r="N139" s="1"/>
      <c r="O139" s="1"/>
      <c r="P139" s="1"/>
      <c r="Q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102">
        <v>61</v>
      </c>
      <c r="B140" s="102" t="s">
        <v>144</v>
      </c>
      <c r="C140" s="114">
        <v>5.8940000000000001</v>
      </c>
      <c r="D140" s="137"/>
      <c r="F140" s="103">
        <v>0.42679121874999998</v>
      </c>
      <c r="G140" s="114">
        <v>-15.851874027860545</v>
      </c>
      <c r="J140" s="1"/>
      <c r="K140" s="1"/>
      <c r="L140" s="1"/>
      <c r="M140" s="1"/>
      <c r="N140" s="1"/>
      <c r="O140" s="1"/>
      <c r="P140" s="1"/>
      <c r="Q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115">
        <v>62</v>
      </c>
      <c r="B141" s="115" t="s">
        <v>145</v>
      </c>
      <c r="C141" s="116">
        <v>6.0359999999999996</v>
      </c>
      <c r="D141" s="138"/>
      <c r="F141" s="116">
        <v>0.59603181250000004</v>
      </c>
      <c r="G141" s="116">
        <v>-15.214780990750061</v>
      </c>
      <c r="J141" s="1"/>
      <c r="K141" s="1"/>
      <c r="L141" s="1"/>
      <c r="M141" s="1"/>
      <c r="N141" s="1"/>
      <c r="O141" s="1"/>
      <c r="P141" s="1"/>
      <c r="Q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102">
        <v>63</v>
      </c>
      <c r="B142" s="102" t="s">
        <v>146</v>
      </c>
      <c r="C142" s="114">
        <v>5.7050000000000001</v>
      </c>
      <c r="D142" s="137"/>
      <c r="F142" s="103">
        <v>0.47858209374999999</v>
      </c>
      <c r="G142" s="114">
        <v>-14.93420984740499</v>
      </c>
      <c r="J142" s="1"/>
      <c r="K142" s="1"/>
      <c r="L142" s="1"/>
      <c r="M142" s="1"/>
      <c r="N142" s="1"/>
      <c r="O142" s="1"/>
      <c r="P142" s="1"/>
      <c r="Q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115">
        <v>64</v>
      </c>
      <c r="B143" s="115" t="s">
        <v>147</v>
      </c>
      <c r="C143" s="116">
        <v>6.27</v>
      </c>
      <c r="D143" s="138"/>
      <c r="F143" s="116">
        <v>0.50381190625000005</v>
      </c>
      <c r="G143" s="116">
        <v>-14.354653020388694</v>
      </c>
      <c r="J143" s="1"/>
      <c r="K143" s="1"/>
      <c r="L143" s="1"/>
      <c r="M143" s="1"/>
      <c r="N143" s="1"/>
      <c r="O143" s="1"/>
      <c r="P143" s="1"/>
      <c r="Q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102">
        <v>65</v>
      </c>
      <c r="B144" s="102" t="s">
        <v>148</v>
      </c>
      <c r="C144" s="114">
        <v>6.3559999999999999</v>
      </c>
      <c r="D144" s="137"/>
      <c r="F144" s="103">
        <v>0.41023631249999998</v>
      </c>
      <c r="G144" s="114">
        <v>-14.931540536934854</v>
      </c>
      <c r="J144" s="1"/>
      <c r="K144" s="1"/>
      <c r="L144" s="1"/>
      <c r="M144" s="1"/>
      <c r="N144" s="1"/>
      <c r="O144" s="1"/>
      <c r="P144" s="1"/>
      <c r="Q144" s="1"/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115">
        <v>66</v>
      </c>
      <c r="B145" s="115" t="s">
        <v>149</v>
      </c>
      <c r="C145" s="116">
        <v>5.9980000000000002</v>
      </c>
      <c r="D145" s="138"/>
      <c r="F145" s="116">
        <v>0.39421556250000001</v>
      </c>
      <c r="G145" s="116">
        <v>-15.165165561586536</v>
      </c>
      <c r="J145" s="1"/>
      <c r="K145" s="1"/>
      <c r="L145" s="1"/>
      <c r="M145" s="1"/>
      <c r="N145" s="1"/>
      <c r="O145" s="1"/>
      <c r="P145" s="1"/>
      <c r="Q145" s="1"/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102">
        <v>67</v>
      </c>
      <c r="B146" s="102" t="s">
        <v>150</v>
      </c>
      <c r="C146" s="114">
        <v>6.532</v>
      </c>
      <c r="D146" s="137"/>
      <c r="F146" s="103">
        <v>0.47949359375</v>
      </c>
      <c r="G146" s="114">
        <v>-15.722922509844526</v>
      </c>
      <c r="J146" s="1"/>
      <c r="K146" s="1"/>
      <c r="L146" s="1"/>
      <c r="M146" s="1"/>
      <c r="N146" s="1"/>
      <c r="O146" s="1"/>
      <c r="P146" s="1"/>
      <c r="Q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115">
        <v>68</v>
      </c>
      <c r="B147" s="115" t="s">
        <v>151</v>
      </c>
      <c r="C147" s="116">
        <v>6.048</v>
      </c>
      <c r="D147" s="138"/>
      <c r="F147" s="116">
        <v>0.53462668749999998</v>
      </c>
      <c r="G147" s="116">
        <v>-14.59147212635224</v>
      </c>
      <c r="J147" s="1"/>
      <c r="K147" s="1"/>
      <c r="L147" s="1"/>
      <c r="M147" s="1"/>
      <c r="N147" s="1"/>
      <c r="O147" s="1"/>
      <c r="P147" s="1"/>
      <c r="Q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102">
        <v>69</v>
      </c>
      <c r="B148" s="102" t="s">
        <v>152</v>
      </c>
      <c r="C148" s="114">
        <v>5.9550000000000001</v>
      </c>
      <c r="D148" s="137"/>
      <c r="F148" s="103">
        <v>0.51485321875000001</v>
      </c>
      <c r="G148" s="114">
        <v>-14.666942058708081</v>
      </c>
      <c r="J148" s="1"/>
      <c r="K148" s="1"/>
      <c r="L148" s="1"/>
      <c r="M148" s="1"/>
      <c r="N148" s="1"/>
      <c r="O148" s="1"/>
      <c r="P148" s="1"/>
      <c r="Q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115">
        <v>70</v>
      </c>
      <c r="B149" s="115" t="s">
        <v>153</v>
      </c>
      <c r="C149" s="116">
        <v>6.4489999999999998</v>
      </c>
      <c r="D149" s="138"/>
      <c r="F149" s="116">
        <v>0.52980237500000005</v>
      </c>
      <c r="G149" s="116">
        <v>-14.792095119828319</v>
      </c>
      <c r="J149" s="1"/>
      <c r="K149" s="1"/>
      <c r="L149" s="1"/>
      <c r="M149" s="1"/>
      <c r="N149" s="1"/>
      <c r="O149" s="1"/>
      <c r="P149" s="1"/>
      <c r="Q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">
      <c r="A150" s="102">
        <v>71</v>
      </c>
      <c r="B150" s="102" t="s">
        <v>72</v>
      </c>
      <c r="C150" s="114">
        <v>1.113</v>
      </c>
      <c r="D150" s="137"/>
      <c r="F150" s="103">
        <v>7.5119034999999998</v>
      </c>
      <c r="G150" s="114">
        <v>-21.552743135956234</v>
      </c>
      <c r="J150" s="1"/>
      <c r="K150" s="1"/>
      <c r="L150" s="1"/>
      <c r="M150" s="1"/>
      <c r="N150" s="1"/>
      <c r="O150" s="1"/>
      <c r="P150" s="1"/>
      <c r="Q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">
      <c r="A151" s="140">
        <v>72</v>
      </c>
      <c r="B151" s="140" t="s">
        <v>117</v>
      </c>
      <c r="C151" s="132">
        <v>1.7150000000000001</v>
      </c>
      <c r="D151" s="141"/>
      <c r="F151" s="132">
        <v>0.82613412500000005</v>
      </c>
      <c r="G151" s="132">
        <v>-15.449017808971698</v>
      </c>
      <c r="J151" s="1"/>
      <c r="K151" s="1"/>
      <c r="L151" s="1"/>
      <c r="M151" s="1"/>
      <c r="N151" s="1"/>
      <c r="O151" s="1"/>
      <c r="P151" s="1"/>
      <c r="Q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5">
      <c r="I152" s="7"/>
      <c r="J152" s="7"/>
      <c r="K152" s="7"/>
      <c r="L152" s="1"/>
      <c r="M152" s="1"/>
      <c r="N152" s="1"/>
      <c r="O152" s="1"/>
      <c r="Q152" s="1"/>
      <c r="U152"/>
      <c r="AB152" s="1"/>
    </row>
    <row r="153" spans="1:28" ht="11.25" customHeight="1" x14ac:dyDescent="0.25">
      <c r="I153" s="7"/>
      <c r="J153" s="7"/>
      <c r="K153" s="7"/>
      <c r="L153" s="1"/>
      <c r="M153" s="1"/>
      <c r="N153" s="1"/>
      <c r="O153" s="1"/>
      <c r="Q153" s="1"/>
      <c r="U153"/>
      <c r="AB153" s="1"/>
    </row>
    <row r="154" spans="1:28" ht="11.25" customHeight="1" x14ac:dyDescent="0.25">
      <c r="I154" s="10"/>
      <c r="L154" s="7"/>
      <c r="Q154" s="1"/>
      <c r="U154"/>
      <c r="AB154" s="1"/>
    </row>
    <row r="155" spans="1:28" ht="11.25" customHeight="1" x14ac:dyDescent="0.25">
      <c r="I155" s="10"/>
      <c r="L155" s="7"/>
      <c r="Q155" s="1"/>
      <c r="U155"/>
      <c r="AB155" s="1"/>
    </row>
    <row r="156" spans="1:28" ht="11.25" customHeight="1" x14ac:dyDescent="0.25">
      <c r="I156" s="10"/>
      <c r="L156" s="7"/>
      <c r="Q156" s="1"/>
      <c r="U156"/>
      <c r="AB156" s="1"/>
    </row>
    <row r="157" spans="1:28" ht="11.25" customHeight="1" x14ac:dyDescent="0.25">
      <c r="I157" s="10"/>
      <c r="L157" s="7"/>
      <c r="Q157" s="1"/>
      <c r="U157"/>
      <c r="AB157" s="1"/>
    </row>
    <row r="158" spans="1:28" ht="11.25" customHeight="1" x14ac:dyDescent="0.25">
      <c r="I158" s="10"/>
      <c r="L158" s="7"/>
      <c r="Q158" s="1"/>
      <c r="U158"/>
      <c r="AB158" s="1"/>
    </row>
    <row r="159" spans="1:28" ht="11.25" customHeight="1" x14ac:dyDescent="0.25">
      <c r="I159" s="10"/>
      <c r="L159" s="7"/>
      <c r="Q159" s="1"/>
      <c r="U159"/>
      <c r="AB159" s="1"/>
    </row>
    <row r="160" spans="1:28" ht="11.25" customHeight="1" x14ac:dyDescent="0.25">
      <c r="I160" s="10"/>
      <c r="L160" s="7"/>
      <c r="Q160" s="1"/>
      <c r="U160"/>
      <c r="AB160" s="1"/>
    </row>
    <row r="161" spans="9:28" ht="11.25" customHeight="1" x14ac:dyDescent="0.25">
      <c r="I161" s="10"/>
      <c r="L161" s="7"/>
      <c r="Q161" s="1"/>
      <c r="U161"/>
      <c r="AB161" s="1"/>
    </row>
    <row r="162" spans="9:28" ht="11.25" customHeight="1" x14ac:dyDescent="0.25">
      <c r="I162" s="10"/>
      <c r="L162" s="7"/>
      <c r="Q162" s="1"/>
      <c r="U162"/>
      <c r="AB162" s="1"/>
    </row>
    <row r="163" spans="9:28" ht="11.25" customHeight="1" x14ac:dyDescent="0.25">
      <c r="I163" s="10"/>
      <c r="L163" s="7"/>
      <c r="Q163" s="1"/>
      <c r="U163"/>
      <c r="AB163" s="1"/>
    </row>
    <row r="164" spans="9:28" ht="11.25" customHeight="1" x14ac:dyDescent="0.25">
      <c r="I164" s="10"/>
      <c r="L164" s="7"/>
      <c r="Q164" s="1"/>
      <c r="U164"/>
      <c r="AB164" s="1"/>
    </row>
    <row r="165" spans="9:28" ht="11.25" customHeight="1" x14ac:dyDescent="0.25">
      <c r="I165" s="10"/>
      <c r="L165" s="7"/>
      <c r="Q165" s="1"/>
      <c r="U165"/>
      <c r="AB165" s="1"/>
    </row>
    <row r="166" spans="9:28" ht="11.25" customHeight="1" x14ac:dyDescent="0.25">
      <c r="I166" s="10"/>
      <c r="L166" s="7"/>
      <c r="Q166" s="1"/>
      <c r="U166"/>
      <c r="AB166" s="1"/>
    </row>
    <row r="167" spans="9:28" ht="11.25" customHeight="1" x14ac:dyDescent="0.25">
      <c r="I167" s="10"/>
      <c r="L167" s="7"/>
      <c r="Q167" s="1"/>
      <c r="U167"/>
      <c r="AB167" s="1"/>
    </row>
    <row r="168" spans="9:28" ht="11.25" customHeight="1" x14ac:dyDescent="0.25">
      <c r="I168" s="10"/>
      <c r="L168" s="7"/>
      <c r="Q168" s="1"/>
      <c r="U168"/>
      <c r="AB168" s="1"/>
    </row>
    <row r="169" spans="9:28" ht="11.25" customHeight="1" x14ac:dyDescent="0.25">
      <c r="I169" s="10"/>
      <c r="L169" s="7"/>
      <c r="Q169" s="1"/>
      <c r="U169"/>
      <c r="AB169" s="1"/>
    </row>
    <row r="170" spans="9:28" ht="11.25" customHeight="1" x14ac:dyDescent="0.25">
      <c r="I170" s="10"/>
      <c r="L170" s="7"/>
      <c r="Q170" s="1"/>
      <c r="U170"/>
      <c r="AB170" s="1"/>
    </row>
    <row r="171" spans="9:28" ht="11.25" customHeight="1" x14ac:dyDescent="0.25">
      <c r="I171" s="10"/>
      <c r="L171" s="7"/>
      <c r="Q171" s="1"/>
      <c r="U171"/>
      <c r="AB171" s="1"/>
    </row>
    <row r="172" spans="9:28" ht="11.25" customHeight="1" x14ac:dyDescent="0.25">
      <c r="I172" s="10"/>
      <c r="L172" s="7"/>
      <c r="Q172" s="1"/>
      <c r="U172"/>
      <c r="AB172" s="1"/>
    </row>
    <row r="173" spans="9:28" ht="11.25" customHeight="1" x14ac:dyDescent="0.25">
      <c r="I173" s="10"/>
      <c r="L173" s="7"/>
      <c r="Q173" s="1"/>
      <c r="U173"/>
      <c r="AB173" s="1"/>
    </row>
    <row r="174" spans="9:28" ht="11.25" customHeight="1" x14ac:dyDescent="0.25">
      <c r="I174" s="10"/>
      <c r="L174" s="7"/>
      <c r="Q174" s="1"/>
      <c r="U174"/>
      <c r="AB174" s="1"/>
    </row>
    <row r="175" spans="9:28" ht="11.25" customHeight="1" x14ac:dyDescent="0.25">
      <c r="I175" s="10"/>
      <c r="L175" s="7"/>
      <c r="Q175" s="1"/>
      <c r="U175"/>
      <c r="AB175" s="1"/>
    </row>
    <row r="176" spans="9:28" ht="11.25" customHeight="1" x14ac:dyDescent="0.25">
      <c r="I176" s="10"/>
      <c r="L176" s="7"/>
      <c r="Q176" s="1"/>
      <c r="U176"/>
      <c r="AB176" s="1"/>
    </row>
    <row r="177" spans="9:28" ht="11.25" customHeight="1" x14ac:dyDescent="0.25">
      <c r="I177" s="10"/>
      <c r="L177" s="7"/>
      <c r="Q177" s="1"/>
      <c r="U177"/>
      <c r="AB177" s="1"/>
    </row>
    <row r="178" spans="9:28" ht="11.25" customHeight="1" x14ac:dyDescent="0.25">
      <c r="I178" s="10"/>
      <c r="L178" s="7"/>
      <c r="Q178" s="1"/>
      <c r="U178"/>
      <c r="AB178" s="1"/>
    </row>
    <row r="179" spans="9:28" ht="11.25" customHeight="1" x14ac:dyDescent="0.25">
      <c r="I179" s="10"/>
      <c r="L179" s="7"/>
      <c r="Q179" s="1"/>
      <c r="U179"/>
      <c r="AB179" s="1"/>
    </row>
    <row r="180" spans="9:28" ht="11.25" customHeight="1" x14ac:dyDescent="0.25">
      <c r="I180" s="10"/>
      <c r="L180" s="7"/>
      <c r="Q180" s="1"/>
      <c r="U180"/>
      <c r="AB180" s="1"/>
    </row>
    <row r="181" spans="9:28" ht="11.25" customHeight="1" x14ac:dyDescent="0.25">
      <c r="I181" s="10"/>
      <c r="L181" s="7"/>
      <c r="Q181" s="1"/>
      <c r="U181"/>
      <c r="AB181" s="1"/>
    </row>
    <row r="182" spans="9:28" ht="11.25" customHeight="1" x14ac:dyDescent="0.25">
      <c r="I182" s="10"/>
      <c r="L182" s="7"/>
      <c r="Q182" s="1"/>
      <c r="U182"/>
      <c r="AB182" s="1"/>
    </row>
    <row r="183" spans="9:28" ht="11.25" customHeight="1" x14ac:dyDescent="0.25">
      <c r="I183" s="10"/>
      <c r="L183" s="7"/>
      <c r="Q183" s="1"/>
      <c r="U183"/>
      <c r="AB183" s="1"/>
    </row>
    <row r="184" spans="9:28" ht="11.25" customHeight="1" x14ac:dyDescent="0.25">
      <c r="I184" s="10"/>
      <c r="L184" s="7"/>
      <c r="Q184" s="1"/>
      <c r="U184"/>
      <c r="AB184" s="1"/>
    </row>
    <row r="185" spans="9:28" ht="11.25" customHeight="1" x14ac:dyDescent="0.25">
      <c r="I185" s="10"/>
      <c r="L185" s="7"/>
      <c r="Q185" s="1"/>
      <c r="U185"/>
      <c r="AB185" s="1"/>
    </row>
    <row r="186" spans="9:28" ht="11.25" customHeight="1" x14ac:dyDescent="0.25">
      <c r="I186" s="10"/>
      <c r="L186" s="7"/>
      <c r="Q186" s="1"/>
      <c r="U186"/>
      <c r="AB186" s="1"/>
    </row>
    <row r="187" spans="9:28" ht="11.25" customHeight="1" x14ac:dyDescent="0.25">
      <c r="I187" s="10"/>
      <c r="L187" s="7"/>
      <c r="Q187" s="1"/>
      <c r="U187"/>
      <c r="AB187" s="1"/>
    </row>
    <row r="188" spans="9:28" ht="11.25" customHeight="1" x14ac:dyDescent="0.25">
      <c r="I188" s="10"/>
      <c r="L188" s="7"/>
      <c r="Q188" s="1"/>
      <c r="U188"/>
      <c r="AB188" s="1"/>
    </row>
    <row r="189" spans="9:28" ht="11.25" customHeight="1" x14ac:dyDescent="0.25">
      <c r="I189" s="10"/>
      <c r="L189" s="7"/>
      <c r="Q189" s="1"/>
      <c r="U189"/>
      <c r="AB189" s="1"/>
    </row>
    <row r="190" spans="9:28" ht="11.25" customHeight="1" x14ac:dyDescent="0.25">
      <c r="I190" s="10"/>
      <c r="L190" s="7"/>
      <c r="Q190" s="1"/>
      <c r="U190"/>
      <c r="AB190" s="1"/>
    </row>
    <row r="191" spans="9:28" ht="11.25" customHeight="1" x14ac:dyDescent="0.25">
      <c r="I191" s="10"/>
      <c r="L191" s="7"/>
      <c r="Q191" s="1"/>
      <c r="U191"/>
      <c r="AB191" s="1"/>
    </row>
    <row r="192" spans="9:28" ht="11.25" customHeight="1" x14ac:dyDescent="0.25">
      <c r="I192" s="10"/>
      <c r="L192" s="7"/>
      <c r="Q192" s="1"/>
      <c r="U192"/>
      <c r="AB192" s="1"/>
    </row>
    <row r="193" spans="9:28" ht="11.25" customHeight="1" x14ac:dyDescent="0.25">
      <c r="I193" s="10"/>
      <c r="L193" s="7"/>
      <c r="Q193" s="1"/>
      <c r="U193"/>
      <c r="AB193" s="1"/>
    </row>
    <row r="194" spans="9:28" ht="11.25" customHeight="1" x14ac:dyDescent="0.25">
      <c r="I194" s="10"/>
      <c r="L194" s="7"/>
      <c r="Q194" s="1"/>
      <c r="U194"/>
      <c r="AB194" s="1"/>
    </row>
    <row r="195" spans="9:28" ht="11.25" customHeight="1" x14ac:dyDescent="0.25">
      <c r="I195" s="10"/>
      <c r="L195" s="7"/>
      <c r="Q195" s="1"/>
      <c r="U195"/>
      <c r="AB195" s="1"/>
    </row>
    <row r="196" spans="9:28" ht="11.25" customHeight="1" x14ac:dyDescent="0.25">
      <c r="I196" s="10"/>
      <c r="L196" s="7"/>
      <c r="Q196" s="1"/>
      <c r="U196"/>
      <c r="AB196" s="1"/>
    </row>
    <row r="197" spans="9:28" ht="11.25" customHeight="1" x14ac:dyDescent="0.25">
      <c r="I197" s="10"/>
      <c r="L197" s="7"/>
      <c r="Q197" s="1"/>
      <c r="U197"/>
      <c r="AB197" s="1"/>
    </row>
    <row r="198" spans="9:28" ht="11.25" customHeight="1" x14ac:dyDescent="0.25">
      <c r="I198" s="10"/>
      <c r="L198" s="7"/>
      <c r="Q198" s="1"/>
      <c r="U198"/>
      <c r="AB198" s="1"/>
    </row>
    <row r="199" spans="9:28" ht="11.25" customHeight="1" x14ac:dyDescent="0.25">
      <c r="I199" s="10"/>
      <c r="L199" s="7"/>
      <c r="Q199" s="1"/>
      <c r="U199"/>
      <c r="AB199" s="1"/>
    </row>
    <row r="200" spans="9:28" ht="11.25" customHeight="1" x14ac:dyDescent="0.25">
      <c r="I200" s="10"/>
      <c r="L200" s="7"/>
      <c r="Q200" s="1"/>
      <c r="U200"/>
      <c r="AB200" s="1"/>
    </row>
    <row r="201" spans="9:28" ht="11.25" customHeight="1" x14ac:dyDescent="0.25">
      <c r="I201" s="10"/>
      <c r="L201" s="7"/>
      <c r="Q201" s="1"/>
      <c r="U201"/>
      <c r="AB201" s="1"/>
    </row>
    <row r="202" spans="9:28" ht="11.25" customHeight="1" x14ac:dyDescent="0.25">
      <c r="I202" s="10"/>
      <c r="L202" s="7"/>
    </row>
    <row r="203" spans="9:28" ht="11.25" customHeight="1" x14ac:dyDescent="0.25">
      <c r="I203" s="10"/>
      <c r="L203" s="7"/>
    </row>
  </sheetData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203"/>
  <sheetViews>
    <sheetView topLeftCell="A14" zoomScale="85" zoomScaleNormal="85" workbookViewId="0">
      <selection activeCell="A39" sqref="A39:XFD78"/>
    </sheetView>
  </sheetViews>
  <sheetFormatPr defaultColWidth="9.140625" defaultRowHeight="11.25" customHeight="1" x14ac:dyDescent="0.25"/>
  <cols>
    <col min="1" max="1" width="12" style="1" customWidth="1"/>
    <col min="2" max="2" width="25.28515625" style="101" customWidth="1"/>
    <col min="3" max="3" width="10.85546875" style="1" customWidth="1"/>
    <col min="4" max="4" width="8.28515625" style="1" customWidth="1"/>
    <col min="5" max="5" width="14" style="1" bestFit="1" customWidth="1"/>
    <col min="6" max="6" width="10.7109375" style="1" customWidth="1"/>
    <col min="7" max="7" width="11.42578125" style="1" bestFit="1" customWidth="1"/>
    <col min="8" max="8" width="9" style="1" customWidth="1"/>
    <col min="9" max="9" width="9.5703125" style="1" customWidth="1"/>
    <col min="10" max="10" width="11.42578125" style="10" customWidth="1"/>
    <col min="11" max="12" width="9.42578125" style="10" customWidth="1"/>
    <col min="13" max="14" width="10" style="7" customWidth="1"/>
    <col min="15" max="15" width="13" style="7" customWidth="1"/>
    <col min="16" max="16" width="9.140625" style="7"/>
    <col min="17" max="17" width="9.5703125" style="7" bestFit="1" customWidth="1"/>
    <col min="18" max="18" width="9.140625" style="1"/>
    <col min="19" max="19" width="9.5703125" style="1" bestFit="1" customWidth="1"/>
    <col min="20" max="21" width="9.140625" style="1"/>
    <col min="26" max="26" width="8.85546875" customWidth="1"/>
    <col min="27" max="28" width="8.7109375" customWidth="1"/>
    <col min="29" max="16384" width="9.140625" style="1"/>
  </cols>
  <sheetData>
    <row r="2" spans="1:19" s="1" customFormat="1" ht="45" customHeight="1" x14ac:dyDescent="0.65">
      <c r="B2" s="2" t="s">
        <v>0</v>
      </c>
      <c r="C2" s="3"/>
      <c r="D2" s="3"/>
      <c r="E2" s="3"/>
      <c r="F2" s="3"/>
      <c r="G2" s="4"/>
      <c r="H2" s="4"/>
      <c r="I2" s="4"/>
      <c r="J2" s="5"/>
      <c r="K2" s="5"/>
      <c r="L2" s="6"/>
      <c r="M2" s="7"/>
      <c r="N2" s="7"/>
      <c r="O2" s="7"/>
      <c r="P2" s="7"/>
      <c r="Q2" s="7"/>
    </row>
    <row r="3" spans="1:19" s="1" customFormat="1" ht="11.25" customHeight="1" x14ac:dyDescent="0.2">
      <c r="B3" s="8" t="s">
        <v>1</v>
      </c>
      <c r="C3" s="9"/>
      <c r="D3" s="9"/>
      <c r="E3" s="9"/>
      <c r="F3" s="9"/>
      <c r="G3" s="133">
        <v>44634</v>
      </c>
      <c r="J3" s="10"/>
      <c r="K3" s="10"/>
      <c r="L3" s="10"/>
      <c r="M3" s="7"/>
      <c r="N3" s="7"/>
      <c r="O3" s="7"/>
      <c r="P3" s="7"/>
      <c r="Q3" s="7"/>
    </row>
    <row r="4" spans="1:19" s="1" customFormat="1" ht="11.25" customHeight="1" x14ac:dyDescent="0.2">
      <c r="B4" s="8" t="s">
        <v>2</v>
      </c>
      <c r="C4" s="9"/>
      <c r="D4" s="9"/>
      <c r="E4" s="9"/>
      <c r="F4" s="9"/>
      <c r="G4" s="1" t="s">
        <v>3</v>
      </c>
      <c r="J4" s="10"/>
      <c r="K4" s="10"/>
      <c r="L4" s="10"/>
      <c r="M4" s="7"/>
      <c r="N4" s="7"/>
      <c r="O4" s="7"/>
      <c r="P4" s="7"/>
      <c r="Q4" s="7"/>
    </row>
    <row r="5" spans="1:19" s="1" customFormat="1" ht="11.25" customHeight="1" x14ac:dyDescent="0.25">
      <c r="B5" s="8" t="s">
        <v>4</v>
      </c>
      <c r="C5" s="9"/>
      <c r="D5" s="9"/>
      <c r="E5" s="9"/>
      <c r="F5" s="9"/>
      <c r="G5" s="163">
        <v>44634</v>
      </c>
      <c r="J5" s="10"/>
      <c r="K5" s="10"/>
      <c r="L5" s="10"/>
      <c r="M5" s="11"/>
      <c r="N5" s="11"/>
      <c r="O5" s="7"/>
      <c r="P5" s="7"/>
      <c r="Q5" s="7"/>
    </row>
    <row r="6" spans="1:19" s="1" customFormat="1" ht="11.25" customHeight="1" x14ac:dyDescent="0.2">
      <c r="B6" s="8" t="s">
        <v>5</v>
      </c>
      <c r="C6" s="9"/>
      <c r="D6" s="9"/>
      <c r="E6" s="9"/>
      <c r="F6" s="9"/>
      <c r="G6" s="1" t="s">
        <v>6</v>
      </c>
      <c r="J6" s="10"/>
      <c r="K6" s="10"/>
      <c r="L6" s="10"/>
      <c r="M6" s="7"/>
      <c r="N6" s="7"/>
      <c r="O6" s="7"/>
      <c r="P6" s="7"/>
      <c r="Q6" s="7"/>
      <c r="S6" s="12"/>
    </row>
    <row r="7" spans="1:19" s="1" customFormat="1" ht="11.25" customHeight="1" x14ac:dyDescent="0.2">
      <c r="B7" s="8" t="s">
        <v>7</v>
      </c>
      <c r="C7" s="9"/>
      <c r="D7" s="9"/>
      <c r="E7" s="9"/>
      <c r="F7" s="9"/>
      <c r="G7" s="9" t="s">
        <v>53</v>
      </c>
      <c r="J7" s="10"/>
      <c r="K7" s="10"/>
      <c r="L7" s="10"/>
      <c r="M7" s="7"/>
      <c r="N7" s="7"/>
      <c r="O7" s="7"/>
      <c r="P7" s="7"/>
      <c r="Q7" s="7"/>
    </row>
    <row r="8" spans="1:19" s="1" customFormat="1" ht="11.25" customHeight="1" x14ac:dyDescent="0.2">
      <c r="B8" s="8" t="s">
        <v>8</v>
      </c>
      <c r="C8" s="9"/>
      <c r="D8" s="9"/>
      <c r="E8" s="9"/>
      <c r="F8" s="9"/>
      <c r="G8" s="9" t="s">
        <v>9</v>
      </c>
      <c r="J8" s="10"/>
      <c r="K8" s="13"/>
      <c r="L8" s="7"/>
      <c r="M8" s="14"/>
      <c r="N8" s="15"/>
      <c r="O8" s="7"/>
      <c r="P8" s="7"/>
      <c r="Q8" s="7"/>
    </row>
    <row r="9" spans="1:19" s="1" customFormat="1" ht="11.25" customHeight="1" x14ac:dyDescent="0.25">
      <c r="A9" s="16" t="s">
        <v>10</v>
      </c>
      <c r="B9" s="17"/>
      <c r="C9" s="18" t="s">
        <v>11</v>
      </c>
      <c r="D9" s="19"/>
      <c r="E9" s="18" t="s">
        <v>12</v>
      </c>
      <c r="F9" s="20"/>
      <c r="G9" s="21" t="s">
        <v>13</v>
      </c>
      <c r="H9" s="22" t="s">
        <v>14</v>
      </c>
      <c r="I9" s="23" t="s">
        <v>14</v>
      </c>
      <c r="J9" s="24" t="s">
        <v>14</v>
      </c>
      <c r="K9" s="25"/>
      <c r="L9" s="7"/>
      <c r="M9" s="14"/>
      <c r="N9" s="15"/>
    </row>
    <row r="10" spans="1:19" s="1" customFormat="1" ht="11.25" customHeight="1" x14ac:dyDescent="0.25">
      <c r="A10" s="26"/>
      <c r="B10" s="27"/>
      <c r="C10" s="28" t="s">
        <v>14</v>
      </c>
      <c r="D10" s="29" t="s">
        <v>15</v>
      </c>
      <c r="E10" s="28" t="s">
        <v>14</v>
      </c>
      <c r="F10" s="30" t="s">
        <v>15</v>
      </c>
      <c r="G10" s="31" t="s">
        <v>16</v>
      </c>
      <c r="H10" s="31" t="s">
        <v>17</v>
      </c>
      <c r="I10" s="32" t="s">
        <v>18</v>
      </c>
      <c r="J10" s="33" t="s">
        <v>19</v>
      </c>
      <c r="K10" s="25"/>
      <c r="L10" s="7"/>
      <c r="M10" s="14"/>
      <c r="N10" s="15"/>
    </row>
    <row r="11" spans="1:19" s="1" customFormat="1" ht="11.25" customHeight="1" x14ac:dyDescent="0.25">
      <c r="A11" s="34"/>
      <c r="B11" s="35" t="s">
        <v>20</v>
      </c>
      <c r="C11" s="36">
        <v>-26.6</v>
      </c>
      <c r="D11" s="37"/>
      <c r="E11" s="38">
        <v>-21.3</v>
      </c>
      <c r="F11" s="39"/>
      <c r="G11" s="40"/>
      <c r="H11" s="41">
        <v>72.53</v>
      </c>
      <c r="I11" s="41">
        <v>6.51</v>
      </c>
      <c r="J11" s="42">
        <f>H11/I11</f>
        <v>11.141321044546851</v>
      </c>
      <c r="K11" s="25"/>
      <c r="L11" s="7"/>
      <c r="M11" s="14"/>
      <c r="N11" s="15"/>
    </row>
    <row r="12" spans="1:19" s="1" customFormat="1" ht="11.25" customHeight="1" x14ac:dyDescent="0.25">
      <c r="A12" s="43"/>
      <c r="B12" s="44" t="s">
        <v>21</v>
      </c>
      <c r="C12" s="45"/>
      <c r="D12" s="46"/>
      <c r="E12" s="47"/>
      <c r="F12" s="48"/>
      <c r="G12" s="40"/>
      <c r="H12" s="49">
        <v>20</v>
      </c>
      <c r="I12" s="49">
        <v>46.65</v>
      </c>
      <c r="J12" s="50">
        <f>H12/I12</f>
        <v>0.4287245444801715</v>
      </c>
      <c r="K12" s="10"/>
      <c r="L12" s="10"/>
    </row>
    <row r="13" spans="1:19" s="1" customFormat="1" ht="11.25" customHeight="1" x14ac:dyDescent="0.25">
      <c r="A13" s="43"/>
      <c r="B13" s="44">
        <v>2704</v>
      </c>
      <c r="C13" s="45"/>
      <c r="D13" s="46"/>
      <c r="E13" s="47"/>
      <c r="F13" s="48"/>
      <c r="G13" s="51"/>
      <c r="H13" s="49">
        <v>3.3479999999999999</v>
      </c>
      <c r="I13" s="49"/>
      <c r="J13" s="50"/>
      <c r="K13" s="10"/>
      <c r="L13" s="10"/>
    </row>
    <row r="14" spans="1:19" s="1" customFormat="1" ht="11.25" customHeight="1" x14ac:dyDescent="0.25">
      <c r="A14" s="43"/>
      <c r="B14" s="44" t="s">
        <v>22</v>
      </c>
      <c r="C14" s="52">
        <v>-25.95</v>
      </c>
      <c r="D14" s="53">
        <f>AVERAGE(G33:G37,G51,G65,G79)</f>
        <v>-21.741794611370487</v>
      </c>
      <c r="E14" s="54">
        <v>2.08</v>
      </c>
      <c r="F14" s="55"/>
      <c r="G14" s="51"/>
      <c r="H14" s="49">
        <v>44.65</v>
      </c>
      <c r="I14" s="49">
        <v>2.83</v>
      </c>
      <c r="J14" s="50">
        <f>H14/I14</f>
        <v>15.777385159010599</v>
      </c>
      <c r="K14" s="10"/>
      <c r="L14" s="10"/>
    </row>
    <row r="15" spans="1:19" s="1" customFormat="1" ht="11.25" customHeight="1" x14ac:dyDescent="0.25">
      <c r="A15" s="43"/>
      <c r="B15" s="44" t="s">
        <v>23</v>
      </c>
      <c r="C15" s="56">
        <v>-18.3</v>
      </c>
      <c r="D15" s="57"/>
      <c r="E15" s="54"/>
      <c r="F15" s="58"/>
      <c r="G15" s="59"/>
      <c r="H15" s="60"/>
      <c r="I15" s="60"/>
      <c r="J15" s="59"/>
      <c r="K15" s="10"/>
      <c r="L15" s="10"/>
    </row>
    <row r="16" spans="1:19" s="1" customFormat="1" ht="11.25" customHeight="1" x14ac:dyDescent="0.25">
      <c r="A16" s="43"/>
      <c r="B16" s="44" t="s">
        <v>24</v>
      </c>
      <c r="C16" s="52">
        <v>-25.49</v>
      </c>
      <c r="D16" s="57"/>
      <c r="E16" s="61"/>
      <c r="F16" s="62"/>
      <c r="G16" s="59"/>
      <c r="H16" s="60"/>
      <c r="I16" s="60"/>
      <c r="J16" s="59"/>
      <c r="K16" s="10"/>
      <c r="L16" s="10"/>
    </row>
    <row r="17" spans="1:20" s="1" customFormat="1" ht="11.25" customHeight="1" x14ac:dyDescent="0.25">
      <c r="A17" s="43"/>
      <c r="B17" s="44" t="s">
        <v>25</v>
      </c>
      <c r="C17" s="45">
        <v>-10.8</v>
      </c>
      <c r="D17" s="57"/>
      <c r="E17" s="61"/>
      <c r="F17" s="62"/>
      <c r="G17" s="59"/>
      <c r="H17" s="60"/>
      <c r="I17" s="60"/>
      <c r="J17" s="59"/>
      <c r="K17" s="10"/>
      <c r="L17" s="10"/>
    </row>
    <row r="18" spans="1:20" s="1" customFormat="1" ht="11.25" customHeight="1" x14ac:dyDescent="0.25">
      <c r="A18" s="43"/>
      <c r="B18" s="44" t="s">
        <v>26</v>
      </c>
      <c r="C18" s="45">
        <v>-24.91</v>
      </c>
      <c r="D18" s="57"/>
      <c r="E18" s="61"/>
      <c r="F18" s="62"/>
      <c r="G18" s="59"/>
      <c r="H18" s="60"/>
      <c r="I18" s="60"/>
      <c r="J18" s="59"/>
      <c r="K18" s="10"/>
      <c r="L18" s="10"/>
    </row>
    <row r="19" spans="1:20" s="1" customFormat="1" ht="11.25" customHeight="1" x14ac:dyDescent="0.25">
      <c r="A19" s="43"/>
      <c r="B19" s="6" t="s">
        <v>27</v>
      </c>
      <c r="C19" s="45"/>
      <c r="D19" s="57"/>
      <c r="E19" s="63">
        <v>2.7</v>
      </c>
      <c r="F19" s="62"/>
      <c r="G19" s="59"/>
      <c r="H19" s="60"/>
      <c r="I19" s="60"/>
      <c r="J19" s="59"/>
      <c r="K19" s="10"/>
      <c r="L19" s="10"/>
    </row>
    <row r="20" spans="1:20" s="1" customFormat="1" ht="11.25" customHeight="1" x14ac:dyDescent="0.25">
      <c r="A20" s="43"/>
      <c r="B20" s="6" t="s">
        <v>28</v>
      </c>
      <c r="C20" s="45"/>
      <c r="D20" s="57"/>
      <c r="E20" s="63">
        <v>180</v>
      </c>
      <c r="F20" s="62"/>
      <c r="G20" s="59"/>
      <c r="H20" s="60"/>
      <c r="I20" s="60"/>
      <c r="J20" s="59"/>
      <c r="K20" s="10"/>
      <c r="L20" s="10"/>
    </row>
    <row r="21" spans="1:20" s="1" customFormat="1" ht="11.25" customHeight="1" x14ac:dyDescent="0.25">
      <c r="A21" s="43"/>
      <c r="B21" s="6" t="s">
        <v>29</v>
      </c>
      <c r="C21" s="45"/>
      <c r="D21" s="57"/>
      <c r="E21" s="63">
        <v>-1.8</v>
      </c>
      <c r="F21" s="62"/>
      <c r="G21" s="59"/>
      <c r="H21" s="60"/>
      <c r="I21" s="60"/>
      <c r="J21" s="59"/>
      <c r="K21" s="10"/>
      <c r="L21" s="10"/>
    </row>
    <row r="22" spans="1:20" s="1" customFormat="1" ht="11.25" customHeight="1" x14ac:dyDescent="0.25">
      <c r="A22" s="43"/>
      <c r="B22" s="44" t="s">
        <v>30</v>
      </c>
      <c r="C22" s="64"/>
      <c r="D22" s="65"/>
      <c r="E22" s="66">
        <v>0.4</v>
      </c>
      <c r="F22" s="55" t="e">
        <f>AVERAGE(E40,E70)</f>
        <v>#DIV/0!</v>
      </c>
      <c r="G22" s="59"/>
      <c r="H22" s="67"/>
      <c r="I22" s="67"/>
      <c r="J22" s="59"/>
      <c r="K22" s="10"/>
      <c r="L22" s="10"/>
    </row>
    <row r="23" spans="1:20" s="1" customFormat="1" ht="11.25" customHeight="1" x14ac:dyDescent="0.25">
      <c r="A23" s="43"/>
      <c r="B23" s="44" t="s">
        <v>31</v>
      </c>
      <c r="C23" s="68"/>
      <c r="D23" s="65"/>
      <c r="E23" s="66">
        <v>20.3</v>
      </c>
      <c r="F23" s="55" t="e">
        <f>AVERAGE(E41,E71)</f>
        <v>#DIV/0!</v>
      </c>
      <c r="G23" s="59"/>
      <c r="H23" s="67"/>
      <c r="I23" s="67"/>
      <c r="J23" s="59"/>
      <c r="K23" s="69"/>
      <c r="L23" s="69"/>
      <c r="M23" s="7"/>
      <c r="N23" s="7"/>
      <c r="O23" s="7"/>
      <c r="P23" s="7"/>
      <c r="Q23" s="7"/>
    </row>
    <row r="24" spans="1:20" s="1" customFormat="1" ht="11.25" customHeight="1" x14ac:dyDescent="0.25">
      <c r="A24" s="43"/>
      <c r="B24" s="44" t="s">
        <v>32</v>
      </c>
      <c r="C24" s="70"/>
      <c r="D24" s="57"/>
      <c r="E24" s="58">
        <v>4.7</v>
      </c>
      <c r="F24" s="55"/>
      <c r="G24" s="59"/>
      <c r="H24" s="67"/>
      <c r="I24" s="67"/>
      <c r="J24" s="59"/>
      <c r="K24" s="69"/>
      <c r="L24" s="69"/>
      <c r="M24" s="7"/>
      <c r="N24" s="7"/>
      <c r="O24" s="7"/>
      <c r="P24" s="7"/>
      <c r="Q24" s="7"/>
    </row>
    <row r="25" spans="1:20" customFormat="1" ht="11.25" customHeight="1" x14ac:dyDescent="0.25">
      <c r="A25" s="34"/>
      <c r="B25" s="71" t="s">
        <v>33</v>
      </c>
      <c r="C25" s="72"/>
      <c r="D25" s="71" t="s">
        <v>34</v>
      </c>
      <c r="E25" s="71"/>
      <c r="F25" s="72"/>
      <c r="G25" s="73"/>
      <c r="H25" s="72"/>
      <c r="I25" s="72"/>
      <c r="J25" s="74"/>
      <c r="K25" s="58"/>
      <c r="L25" s="58"/>
      <c r="O25" s="67"/>
      <c r="P25" s="67"/>
      <c r="Q25" s="67"/>
      <c r="R25" s="67"/>
    </row>
    <row r="26" spans="1:20" customFormat="1" ht="11.25" customHeight="1" x14ac:dyDescent="0.25">
      <c r="A26" s="75" t="s">
        <v>35</v>
      </c>
      <c r="B26" s="58">
        <v>1</v>
      </c>
      <c r="C26" s="76" t="s">
        <v>52</v>
      </c>
      <c r="D26" s="55">
        <f>C14-D14</f>
        <v>-4.2082053886295121</v>
      </c>
      <c r="E26" s="58"/>
      <c r="F26" s="58"/>
      <c r="G26" s="64" t="s">
        <v>235</v>
      </c>
      <c r="H26" s="58">
        <v>6.0444000000000004</v>
      </c>
      <c r="I26" s="58"/>
      <c r="J26" s="77"/>
      <c r="K26" s="58"/>
      <c r="L26" s="58"/>
      <c r="O26" s="67"/>
      <c r="P26" s="67"/>
      <c r="Q26" s="67"/>
      <c r="R26" s="67"/>
    </row>
    <row r="27" spans="1:20" customFormat="1" ht="11.25" customHeight="1" x14ac:dyDescent="0.25">
      <c r="A27" s="75" t="s">
        <v>37</v>
      </c>
      <c r="B27" s="58"/>
      <c r="C27" s="76"/>
      <c r="D27" s="78"/>
      <c r="E27" s="58"/>
      <c r="F27" s="58"/>
      <c r="G27" s="64"/>
      <c r="H27" s="58"/>
      <c r="I27" s="58"/>
      <c r="J27" s="77"/>
      <c r="K27" s="58"/>
      <c r="L27" s="58"/>
      <c r="O27" s="67"/>
      <c r="P27" s="67"/>
      <c r="Q27" s="67"/>
      <c r="R27" s="67"/>
    </row>
    <row r="28" spans="1:20" customFormat="1" ht="11.25" customHeight="1" x14ac:dyDescent="0.25">
      <c r="A28" s="79" t="s">
        <v>38</v>
      </c>
      <c r="B28" s="58">
        <v>6.6321000000000005E-2</v>
      </c>
      <c r="C28" s="76" t="s">
        <v>36</v>
      </c>
      <c r="D28" s="78">
        <v>0</v>
      </c>
      <c r="E28" s="54"/>
      <c r="F28" s="58"/>
      <c r="G28" s="64"/>
      <c r="H28" s="58"/>
      <c r="I28" s="58"/>
      <c r="J28" s="77"/>
      <c r="K28" s="58"/>
      <c r="L28" s="58"/>
      <c r="O28" s="67"/>
      <c r="P28" s="67"/>
      <c r="Q28" s="67"/>
      <c r="R28" s="67"/>
    </row>
    <row r="29" spans="1:20" customFormat="1" ht="11.25" customHeight="1" x14ac:dyDescent="0.25">
      <c r="A29" s="79" t="s">
        <v>39</v>
      </c>
      <c r="B29" s="58"/>
      <c r="C29" s="54"/>
      <c r="D29" s="80"/>
      <c r="E29" s="80"/>
      <c r="F29" s="80"/>
      <c r="G29" s="81"/>
      <c r="H29" s="80"/>
      <c r="I29" s="80"/>
      <c r="J29" s="82"/>
      <c r="K29" s="58"/>
      <c r="L29" s="58"/>
      <c r="O29" s="67"/>
      <c r="P29" s="67"/>
      <c r="Q29" s="83"/>
      <c r="R29" s="67"/>
    </row>
    <row r="30" spans="1:20" s="1" customFormat="1" ht="11.25" customHeight="1" x14ac:dyDescent="0.2">
      <c r="A30" s="84"/>
      <c r="B30" s="85"/>
      <c r="C30" s="54"/>
      <c r="D30" s="54"/>
      <c r="E30" s="54"/>
      <c r="F30" s="54"/>
      <c r="G30" s="86"/>
      <c r="H30" s="54"/>
      <c r="I30" s="61"/>
      <c r="J30" s="44"/>
      <c r="K30" s="69"/>
      <c r="L30" s="69"/>
      <c r="M30" s="7"/>
      <c r="N30" s="7"/>
      <c r="O30" s="7"/>
      <c r="P30" s="7"/>
      <c r="Q30" s="7"/>
    </row>
    <row r="31" spans="1:20" s="1" customFormat="1" ht="12" customHeight="1" x14ac:dyDescent="0.2">
      <c r="A31" s="87"/>
      <c r="B31" s="88"/>
      <c r="C31" s="87"/>
      <c r="D31" s="87"/>
      <c r="E31" s="87"/>
      <c r="F31" s="87"/>
      <c r="G31" s="87"/>
      <c r="H31" s="87"/>
      <c r="I31" s="89"/>
      <c r="J31" s="90"/>
      <c r="K31" s="7"/>
      <c r="L31" s="7"/>
      <c r="M31" s="7"/>
      <c r="N31" s="7"/>
      <c r="O31" s="7"/>
      <c r="P31" s="7"/>
    </row>
    <row r="32" spans="1:20" s="1" customFormat="1" ht="11.25" customHeight="1" x14ac:dyDescent="0.2">
      <c r="A32" s="92"/>
      <c r="B32" s="91" t="s">
        <v>40</v>
      </c>
      <c r="C32" s="92" t="s">
        <v>54</v>
      </c>
      <c r="D32" s="92" t="s">
        <v>234</v>
      </c>
      <c r="E32" s="92" t="s">
        <v>41</v>
      </c>
      <c r="F32" s="92" t="s">
        <v>69</v>
      </c>
      <c r="G32" s="121" t="s">
        <v>42</v>
      </c>
      <c r="H32" s="93" t="s">
        <v>43</v>
      </c>
      <c r="I32" s="94" t="s">
        <v>44</v>
      </c>
      <c r="J32" s="94" t="s">
        <v>45</v>
      </c>
      <c r="K32" s="94" t="s">
        <v>46</v>
      </c>
      <c r="L32" s="94" t="s">
        <v>47</v>
      </c>
      <c r="M32" s="94" t="s">
        <v>38</v>
      </c>
      <c r="N32" s="168" t="s">
        <v>38</v>
      </c>
      <c r="O32" s="94" t="s">
        <v>48</v>
      </c>
      <c r="P32" s="94" t="s">
        <v>49</v>
      </c>
      <c r="Q32" s="94" t="s">
        <v>39</v>
      </c>
      <c r="R32" s="94" t="s">
        <v>39</v>
      </c>
      <c r="S32" s="94" t="s">
        <v>50</v>
      </c>
      <c r="T32" s="94" t="s">
        <v>51</v>
      </c>
    </row>
    <row r="33" spans="1:20" s="109" customFormat="1" ht="11.25" customHeight="1" x14ac:dyDescent="0.2">
      <c r="A33" s="127">
        <v>25</v>
      </c>
      <c r="B33" s="127" t="s">
        <v>55</v>
      </c>
      <c r="C33" s="128">
        <v>1.3839999999999999</v>
      </c>
      <c r="E33" s="147" t="s">
        <v>73</v>
      </c>
      <c r="F33" s="128">
        <v>9.38246</v>
      </c>
      <c r="G33" s="128">
        <v>-21.82922561361071</v>
      </c>
      <c r="H33" s="122">
        <f>$B$26*G33+$D$26</f>
        <v>-26.037431002240222</v>
      </c>
      <c r="I33" s="105" t="e">
        <f t="shared" ref="I33:I74" si="0">$B$27*E33+$D$27</f>
        <v>#VALUE!</v>
      </c>
      <c r="J33" s="106">
        <f t="shared" ref="J33:J74" si="1">(F33)/C33</f>
        <v>6.7792341040462434</v>
      </c>
      <c r="K33" s="106">
        <f>H$14</f>
        <v>44.65</v>
      </c>
      <c r="L33" s="106">
        <f>I$14</f>
        <v>2.83</v>
      </c>
      <c r="M33" s="106">
        <f t="shared" ref="M33:M36" si="2">C33*(K33/100)</f>
        <v>0.61795599999999995</v>
      </c>
      <c r="N33" s="169">
        <f t="shared" ref="N33:N73" si="3">F33*$B$28+$D$28</f>
        <v>0.62225412966000004</v>
      </c>
      <c r="O33" s="110">
        <f t="shared" ref="O33:O38" si="4">N33/C33*100</f>
        <v>44.960558501445092</v>
      </c>
      <c r="P33" s="106">
        <f t="shared" ref="P33:P73" si="5">D33/C33</f>
        <v>0</v>
      </c>
      <c r="Q33" s="106">
        <f t="shared" ref="Q33:Q36" si="6">C33*(L33/100)</f>
        <v>3.9167199999999999E-2</v>
      </c>
      <c r="R33" s="107">
        <f t="shared" ref="R33:R74" si="7">D33*$B$29+$D$29</f>
        <v>0</v>
      </c>
      <c r="S33" s="108">
        <f t="shared" ref="S33:S74" si="8">R33/C33*100</f>
        <v>0</v>
      </c>
      <c r="T33" s="105" t="e">
        <f t="shared" ref="T33:T74" si="9">N33/R33</f>
        <v>#DIV/0!</v>
      </c>
    </row>
    <row r="34" spans="1:20" s="109" customFormat="1" ht="11.25" customHeight="1" x14ac:dyDescent="0.2">
      <c r="A34" s="127">
        <v>26</v>
      </c>
      <c r="B34" s="127" t="s">
        <v>56</v>
      </c>
      <c r="C34" s="128">
        <v>1.71</v>
      </c>
      <c r="E34" s="147" t="s">
        <v>73</v>
      </c>
      <c r="F34" s="128">
        <v>11.394083</v>
      </c>
      <c r="G34" s="128">
        <v>-21.745456666855585</v>
      </c>
      <c r="H34" s="122">
        <f t="shared" ref="H34:H74" si="10">$B$26*G34+$D$26</f>
        <v>-25.953662055485097</v>
      </c>
      <c r="I34" s="105" t="e">
        <f t="shared" si="0"/>
        <v>#VALUE!</v>
      </c>
      <c r="J34" s="106">
        <f t="shared" si="1"/>
        <v>6.6632064327485381</v>
      </c>
      <c r="K34" s="106">
        <f t="shared" ref="K34:L36" si="11">H$14</f>
        <v>44.65</v>
      </c>
      <c r="L34" s="106">
        <f t="shared" si="11"/>
        <v>2.83</v>
      </c>
      <c r="M34" s="106">
        <f t="shared" si="2"/>
        <v>0.76351499999999994</v>
      </c>
      <c r="N34" s="169">
        <f t="shared" si="3"/>
        <v>0.75566697864300003</v>
      </c>
      <c r="O34" s="110">
        <f t="shared" si="4"/>
        <v>44.191051382631578</v>
      </c>
      <c r="P34" s="106">
        <f t="shared" si="5"/>
        <v>0</v>
      </c>
      <c r="Q34" s="106">
        <f t="shared" si="6"/>
        <v>4.8393000000000005E-2</v>
      </c>
      <c r="R34" s="107">
        <f t="shared" si="7"/>
        <v>0</v>
      </c>
      <c r="S34" s="108">
        <f t="shared" si="8"/>
        <v>0</v>
      </c>
      <c r="T34" s="105" t="e">
        <f t="shared" si="9"/>
        <v>#DIV/0!</v>
      </c>
    </row>
    <row r="35" spans="1:20" s="109" customFormat="1" ht="11.25" customHeight="1" x14ac:dyDescent="0.2">
      <c r="A35" s="127">
        <v>27</v>
      </c>
      <c r="B35" s="127" t="s">
        <v>57</v>
      </c>
      <c r="C35" s="128">
        <v>1.5529999999999999</v>
      </c>
      <c r="E35" s="147" t="s">
        <v>73</v>
      </c>
      <c r="F35" s="128">
        <v>10.426011000000001</v>
      </c>
      <c r="G35" s="128">
        <v>-21.863061157962463</v>
      </c>
      <c r="H35" s="122">
        <f t="shared" si="10"/>
        <v>-26.071266546591975</v>
      </c>
      <c r="I35" s="105" t="e">
        <f t="shared" si="0"/>
        <v>#VALUE!</v>
      </c>
      <c r="J35" s="106">
        <f t="shared" si="1"/>
        <v>6.7134649066323258</v>
      </c>
      <c r="K35" s="106">
        <f t="shared" si="11"/>
        <v>44.65</v>
      </c>
      <c r="L35" s="106">
        <f t="shared" si="11"/>
        <v>2.83</v>
      </c>
      <c r="M35" s="106">
        <f t="shared" si="2"/>
        <v>0.69341449999999993</v>
      </c>
      <c r="N35" s="169">
        <f t="shared" si="3"/>
        <v>0.69146347553100007</v>
      </c>
      <c r="O35" s="110">
        <f t="shared" si="4"/>
        <v>44.524370607276246</v>
      </c>
      <c r="P35" s="106">
        <f t="shared" si="5"/>
        <v>0</v>
      </c>
      <c r="Q35" s="106">
        <f t="shared" si="6"/>
        <v>4.39499E-2</v>
      </c>
      <c r="R35" s="107">
        <f t="shared" si="7"/>
        <v>0</v>
      </c>
      <c r="S35" s="108">
        <f t="shared" si="8"/>
        <v>0</v>
      </c>
      <c r="T35" s="105" t="e">
        <f t="shared" si="9"/>
        <v>#DIV/0!</v>
      </c>
    </row>
    <row r="36" spans="1:20" s="109" customFormat="1" ht="11.25" customHeight="1" x14ac:dyDescent="0.2">
      <c r="A36" s="127">
        <v>28</v>
      </c>
      <c r="B36" s="127" t="s">
        <v>58</v>
      </c>
      <c r="C36" s="128">
        <v>1.022</v>
      </c>
      <c r="E36" s="147" t="s">
        <v>73</v>
      </c>
      <c r="F36" s="128">
        <v>6.9432345</v>
      </c>
      <c r="G36" s="128">
        <v>-21.740993554307469</v>
      </c>
      <c r="H36" s="122">
        <f t="shared" si="10"/>
        <v>-25.949198942936981</v>
      </c>
      <c r="I36" s="105" t="e">
        <f t="shared" si="0"/>
        <v>#VALUE!</v>
      </c>
      <c r="J36" s="106">
        <f t="shared" si="1"/>
        <v>6.7937715264187863</v>
      </c>
      <c r="K36" s="106">
        <f t="shared" si="11"/>
        <v>44.65</v>
      </c>
      <c r="L36" s="106">
        <f t="shared" si="11"/>
        <v>2.83</v>
      </c>
      <c r="M36" s="106">
        <f t="shared" si="2"/>
        <v>0.45632300000000003</v>
      </c>
      <c r="N36" s="169">
        <f t="shared" si="3"/>
        <v>0.46048225527450004</v>
      </c>
      <c r="O36" s="110">
        <f t="shared" si="4"/>
        <v>45.056972140362042</v>
      </c>
      <c r="P36" s="106">
        <f t="shared" si="5"/>
        <v>0</v>
      </c>
      <c r="Q36" s="106">
        <f t="shared" si="6"/>
        <v>2.8922600000000003E-2</v>
      </c>
      <c r="R36" s="107">
        <f t="shared" si="7"/>
        <v>0</v>
      </c>
      <c r="S36" s="108">
        <f t="shared" si="8"/>
        <v>0</v>
      </c>
      <c r="T36" s="105" t="e">
        <f t="shared" si="9"/>
        <v>#DIV/0!</v>
      </c>
    </row>
    <row r="37" spans="1:20" s="109" customFormat="1" ht="11.25" customHeight="1" x14ac:dyDescent="0.2">
      <c r="A37" s="127">
        <v>29</v>
      </c>
      <c r="B37" s="127" t="s">
        <v>59</v>
      </c>
      <c r="C37" s="128">
        <v>1.254</v>
      </c>
      <c r="E37" s="147" t="s">
        <v>73</v>
      </c>
      <c r="F37" s="128">
        <v>8.4723819999999996</v>
      </c>
      <c r="G37" s="128">
        <v>-21.832526636271215</v>
      </c>
      <c r="H37" s="122">
        <f t="shared" si="10"/>
        <v>-26.040732024900727</v>
      </c>
      <c r="I37" s="105" t="e">
        <f t="shared" si="0"/>
        <v>#VALUE!</v>
      </c>
      <c r="J37" s="106">
        <f t="shared" si="1"/>
        <v>6.7562854864433808</v>
      </c>
      <c r="K37" s="106">
        <f t="shared" ref="K37" si="12">H$14</f>
        <v>44.65</v>
      </c>
      <c r="L37" s="106">
        <f t="shared" ref="L37" si="13">I$14</f>
        <v>2.83</v>
      </c>
      <c r="M37" s="106">
        <f t="shared" ref="M37:M38" si="14">C37*(K37/100)</f>
        <v>0.55991100000000005</v>
      </c>
      <c r="N37" s="169">
        <f t="shared" ref="N37" si="15">F37*$B$28+$D$28</f>
        <v>0.56189684662200001</v>
      </c>
      <c r="O37" s="110">
        <f t="shared" ref="O37" si="16">N37/C37*100</f>
        <v>44.808360974641147</v>
      </c>
      <c r="P37" s="106">
        <f t="shared" ref="P37" si="17">D37/C37</f>
        <v>0</v>
      </c>
      <c r="Q37" s="106">
        <f t="shared" ref="Q37" si="18">C37*(L37/100)</f>
        <v>3.5488200000000004E-2</v>
      </c>
      <c r="R37" s="107">
        <f t="shared" si="7"/>
        <v>0</v>
      </c>
      <c r="S37" s="108">
        <f t="shared" si="8"/>
        <v>0</v>
      </c>
      <c r="T37" s="105" t="e">
        <f t="shared" si="9"/>
        <v>#DIV/0!</v>
      </c>
    </row>
    <row r="38" spans="1:20" s="151" customFormat="1" ht="11.25" customHeight="1" x14ac:dyDescent="0.2">
      <c r="A38" s="149">
        <v>30</v>
      </c>
      <c r="B38" s="149" t="s">
        <v>78</v>
      </c>
      <c r="C38" s="150">
        <v>3.2160000000000002</v>
      </c>
      <c r="E38" s="152" t="s">
        <v>73</v>
      </c>
      <c r="F38" s="150">
        <v>1.5864233750000001</v>
      </c>
      <c r="G38" s="150">
        <v>-15.561396952722093</v>
      </c>
      <c r="H38" s="153">
        <f t="shared" si="10"/>
        <v>-19.769602341351607</v>
      </c>
      <c r="I38" s="154" t="e">
        <f t="shared" si="0"/>
        <v>#VALUE!</v>
      </c>
      <c r="J38" s="155">
        <f t="shared" si="1"/>
        <v>0.49329085043532339</v>
      </c>
      <c r="K38" s="155">
        <f>$H$13</f>
        <v>3.3479999999999999</v>
      </c>
      <c r="L38" s="155"/>
      <c r="M38" s="155">
        <f t="shared" si="14"/>
        <v>0.10767167999999999</v>
      </c>
      <c r="N38" s="170">
        <f t="shared" si="3"/>
        <v>0.10521318465337501</v>
      </c>
      <c r="O38" s="157">
        <f t="shared" si="4"/>
        <v>3.2715542491721079</v>
      </c>
      <c r="P38" s="155">
        <f t="shared" si="5"/>
        <v>0</v>
      </c>
      <c r="Q38" s="155"/>
      <c r="R38" s="156">
        <f t="shared" si="7"/>
        <v>0</v>
      </c>
      <c r="S38" s="158">
        <f t="shared" si="8"/>
        <v>0</v>
      </c>
      <c r="T38" s="154" t="e">
        <f t="shared" si="9"/>
        <v>#DIV/0!</v>
      </c>
    </row>
    <row r="39" spans="1:20" s="100" customFormat="1" ht="11.25" customHeight="1" x14ac:dyDescent="0.2">
      <c r="A39" s="102">
        <v>31</v>
      </c>
      <c r="B39" s="102" t="s">
        <v>79</v>
      </c>
      <c r="C39" s="114">
        <v>6.3940000000000001</v>
      </c>
      <c r="D39" s="165">
        <f>C39-$H$26</f>
        <v>0.34959999999999969</v>
      </c>
      <c r="E39" s="144" t="s">
        <v>73</v>
      </c>
      <c r="F39" s="103">
        <v>0.20551514062500001</v>
      </c>
      <c r="G39" s="114">
        <v>-21.372610850406229</v>
      </c>
      <c r="H39" s="123">
        <f t="shared" si="10"/>
        <v>-25.580816239035741</v>
      </c>
      <c r="I39" s="95" t="e">
        <f t="shared" si="0"/>
        <v>#VALUE!</v>
      </c>
      <c r="J39" s="96">
        <f t="shared" si="1"/>
        <v>3.2141873729277445E-2</v>
      </c>
      <c r="K39" s="96"/>
      <c r="L39" s="96"/>
      <c r="M39" s="96"/>
      <c r="N39" s="171">
        <f t="shared" si="3"/>
        <v>1.3629969641390627E-2</v>
      </c>
      <c r="O39" s="98">
        <f>N39/D39*100</f>
        <v>3.8987327349515559</v>
      </c>
      <c r="P39" s="96">
        <f t="shared" si="5"/>
        <v>5.4676258992805704E-2</v>
      </c>
      <c r="Q39" s="96"/>
      <c r="R39" s="97">
        <f t="shared" si="7"/>
        <v>0</v>
      </c>
      <c r="S39" s="99">
        <f t="shared" si="8"/>
        <v>0</v>
      </c>
      <c r="T39" s="95" t="e">
        <f t="shared" si="9"/>
        <v>#DIV/0!</v>
      </c>
    </row>
    <row r="40" spans="1:20" s="100" customFormat="1" ht="11.25" customHeight="1" x14ac:dyDescent="0.2">
      <c r="A40" s="115">
        <v>32</v>
      </c>
      <c r="B40" s="115" t="s">
        <v>80</v>
      </c>
      <c r="C40" s="116">
        <v>6.0670000000000002</v>
      </c>
      <c r="D40" s="165">
        <f t="shared" ref="D40:D50" si="19">C40-$H$26</f>
        <v>2.2599999999999731E-2</v>
      </c>
      <c r="E40" s="145" t="s">
        <v>73</v>
      </c>
      <c r="F40" s="116">
        <v>0.18674604687499999</v>
      </c>
      <c r="G40" s="116">
        <v>-20.996081638819536</v>
      </c>
      <c r="H40" s="123">
        <f t="shared" si="10"/>
        <v>-25.204287027449048</v>
      </c>
      <c r="I40" s="95" t="e">
        <f t="shared" si="0"/>
        <v>#VALUE!</v>
      </c>
      <c r="J40" s="96">
        <f t="shared" si="1"/>
        <v>3.0780624175869454E-2</v>
      </c>
      <c r="K40" s="96"/>
      <c r="L40" s="96"/>
      <c r="M40" s="96"/>
      <c r="N40" s="171">
        <f t="shared" si="3"/>
        <v>1.2385184574796875E-2</v>
      </c>
      <c r="O40" s="98">
        <f t="shared" ref="O40:O50" si="20">N40/D40*100</f>
        <v>54.80170165839391</v>
      </c>
      <c r="P40" s="96">
        <f t="shared" si="5"/>
        <v>3.7250700510960493E-3</v>
      </c>
      <c r="Q40" s="96"/>
      <c r="R40" s="97">
        <f t="shared" si="7"/>
        <v>0</v>
      </c>
      <c r="S40" s="99">
        <f t="shared" si="8"/>
        <v>0</v>
      </c>
      <c r="T40" s="95" t="e">
        <f t="shared" si="9"/>
        <v>#DIV/0!</v>
      </c>
    </row>
    <row r="41" spans="1:20" s="100" customFormat="1" ht="11.25" customHeight="1" x14ac:dyDescent="0.2">
      <c r="A41" s="102">
        <v>33</v>
      </c>
      <c r="B41" s="102" t="s">
        <v>81</v>
      </c>
      <c r="C41" s="114">
        <v>6.2350000000000003</v>
      </c>
      <c r="D41" s="165">
        <f t="shared" si="19"/>
        <v>0.19059999999999988</v>
      </c>
      <c r="E41" s="144" t="s">
        <v>73</v>
      </c>
      <c r="F41" s="103">
        <v>0.19499195312500001</v>
      </c>
      <c r="G41" s="114">
        <v>-21.349519231491229</v>
      </c>
      <c r="H41" s="123">
        <f t="shared" si="10"/>
        <v>-25.557724620120741</v>
      </c>
      <c r="I41" s="95" t="e">
        <f t="shared" si="0"/>
        <v>#VALUE!</v>
      </c>
      <c r="J41" s="96">
        <f t="shared" si="1"/>
        <v>3.1273769546912591E-2</v>
      </c>
      <c r="K41" s="96"/>
      <c r="L41" s="96"/>
      <c r="M41" s="96"/>
      <c r="N41" s="171">
        <f t="shared" si="3"/>
        <v>1.2932061323203126E-2</v>
      </c>
      <c r="O41" s="98">
        <f t="shared" si="20"/>
        <v>6.7849219953846447</v>
      </c>
      <c r="P41" s="96">
        <f t="shared" si="5"/>
        <v>3.0569366479550903E-2</v>
      </c>
      <c r="Q41" s="96"/>
      <c r="R41" s="97">
        <f t="shared" si="7"/>
        <v>0</v>
      </c>
      <c r="S41" s="99">
        <f t="shared" si="8"/>
        <v>0</v>
      </c>
      <c r="T41" s="95" t="e">
        <f t="shared" si="9"/>
        <v>#DIV/0!</v>
      </c>
    </row>
    <row r="42" spans="1:20" s="7" customFormat="1" ht="11.25" customHeight="1" x14ac:dyDescent="0.2">
      <c r="A42" s="115">
        <v>34</v>
      </c>
      <c r="B42" s="115" t="s">
        <v>82</v>
      </c>
      <c r="C42" s="116">
        <v>6.7990000000000004</v>
      </c>
      <c r="D42" s="165">
        <f t="shared" si="19"/>
        <v>0.75459999999999994</v>
      </c>
      <c r="E42" s="145" t="s">
        <v>73</v>
      </c>
      <c r="F42" s="116">
        <v>0.54136724999999997</v>
      </c>
      <c r="G42" s="116">
        <v>-21.247020801305119</v>
      </c>
      <c r="H42" s="123">
        <f t="shared" si="10"/>
        <v>-25.455226189934631</v>
      </c>
      <c r="I42" s="95" t="e">
        <f t="shared" si="0"/>
        <v>#VALUE!</v>
      </c>
      <c r="J42" s="96">
        <f t="shared" si="1"/>
        <v>7.9624540373584338E-2</v>
      </c>
      <c r="K42" s="96"/>
      <c r="L42" s="96"/>
      <c r="M42" s="96"/>
      <c r="N42" s="171">
        <f t="shared" si="3"/>
        <v>3.5904017387249999E-2</v>
      </c>
      <c r="O42" s="98">
        <f t="shared" si="20"/>
        <v>4.7580197968791413</v>
      </c>
      <c r="P42" s="96">
        <f t="shared" si="5"/>
        <v>0.11098690983968229</v>
      </c>
      <c r="Q42" s="96"/>
      <c r="R42" s="97">
        <f t="shared" si="7"/>
        <v>0</v>
      </c>
      <c r="S42" s="99">
        <f t="shared" si="8"/>
        <v>0</v>
      </c>
      <c r="T42" s="95" t="e">
        <f t="shared" si="9"/>
        <v>#DIV/0!</v>
      </c>
    </row>
    <row r="43" spans="1:20" s="100" customFormat="1" ht="11.25" customHeight="1" x14ac:dyDescent="0.2">
      <c r="A43" s="102">
        <v>35</v>
      </c>
      <c r="B43" s="102" t="s">
        <v>83</v>
      </c>
      <c r="C43" s="114">
        <v>6.4409999999999998</v>
      </c>
      <c r="D43" s="165">
        <f t="shared" si="19"/>
        <v>0.3965999999999994</v>
      </c>
      <c r="E43" s="144" t="s">
        <v>73</v>
      </c>
      <c r="F43" s="103">
        <v>0.54405281250000004</v>
      </c>
      <c r="G43" s="114">
        <v>-21.401672282954227</v>
      </c>
      <c r="H43" s="123">
        <f t="shared" si="10"/>
        <v>-25.609877671583739</v>
      </c>
      <c r="I43" s="95" t="e">
        <f t="shared" si="0"/>
        <v>#VALUE!</v>
      </c>
      <c r="J43" s="96">
        <f t="shared" si="1"/>
        <v>8.4467134373544486E-2</v>
      </c>
      <c r="K43" s="96"/>
      <c r="L43" s="96"/>
      <c r="M43" s="96"/>
      <c r="N43" s="171">
        <f t="shared" si="3"/>
        <v>3.6082126577812505E-2</v>
      </c>
      <c r="O43" s="98">
        <f t="shared" si="20"/>
        <v>9.0978634840677159</v>
      </c>
      <c r="P43" s="96">
        <f t="shared" si="5"/>
        <v>6.1574289706567212E-2</v>
      </c>
      <c r="Q43" s="96"/>
      <c r="R43" s="97">
        <f t="shared" si="7"/>
        <v>0</v>
      </c>
      <c r="S43" s="99">
        <f t="shared" si="8"/>
        <v>0</v>
      </c>
      <c r="T43" s="95" t="e">
        <f t="shared" si="9"/>
        <v>#DIV/0!</v>
      </c>
    </row>
    <row r="44" spans="1:20" s="100" customFormat="1" ht="11.25" customHeight="1" x14ac:dyDescent="0.2">
      <c r="A44" s="115">
        <v>36</v>
      </c>
      <c r="B44" s="115" t="s">
        <v>84</v>
      </c>
      <c r="C44" s="116">
        <v>6.4080000000000004</v>
      </c>
      <c r="D44" s="165">
        <f t="shared" si="19"/>
        <v>0.36359999999999992</v>
      </c>
      <c r="E44" s="145" t="s">
        <v>73</v>
      </c>
      <c r="F44" s="116">
        <v>0.64340068750000001</v>
      </c>
      <c r="G44" s="116">
        <v>-21.38784288556462</v>
      </c>
      <c r="H44" s="123">
        <f t="shared" si="10"/>
        <v>-25.596048274194132</v>
      </c>
      <c r="I44" s="95" t="e">
        <f t="shared" si="0"/>
        <v>#VALUE!</v>
      </c>
      <c r="J44" s="96">
        <f t="shared" si="1"/>
        <v>0.10040585010923844</v>
      </c>
      <c r="K44" s="96"/>
      <c r="L44" s="96"/>
      <c r="M44" s="96"/>
      <c r="N44" s="171">
        <f t="shared" si="3"/>
        <v>4.2670976995687504E-2</v>
      </c>
      <c r="O44" s="98">
        <f t="shared" si="20"/>
        <v>11.73569224303837</v>
      </c>
      <c r="P44" s="96">
        <f t="shared" si="5"/>
        <v>5.6741573033707852E-2</v>
      </c>
      <c r="Q44" s="96"/>
      <c r="R44" s="97">
        <f t="shared" si="7"/>
        <v>0</v>
      </c>
      <c r="S44" s="99">
        <f t="shared" si="8"/>
        <v>0</v>
      </c>
      <c r="T44" s="95" t="e">
        <f t="shared" si="9"/>
        <v>#DIV/0!</v>
      </c>
    </row>
    <row r="45" spans="1:20" s="100" customFormat="1" ht="11.25" customHeight="1" x14ac:dyDescent="0.2">
      <c r="A45" s="102">
        <v>37</v>
      </c>
      <c r="B45" s="102" t="s">
        <v>85</v>
      </c>
      <c r="C45" s="114">
        <v>6.0880000000000001</v>
      </c>
      <c r="D45" s="165">
        <f t="shared" si="19"/>
        <v>4.3599999999999639E-2</v>
      </c>
      <c r="E45" s="144" t="s">
        <v>73</v>
      </c>
      <c r="F45" s="103">
        <v>0.34163900000000003</v>
      </c>
      <c r="G45" s="114">
        <v>-17.686355294239839</v>
      </c>
      <c r="H45" s="123">
        <f t="shared" si="10"/>
        <v>-21.894560682869351</v>
      </c>
      <c r="I45" s="95" t="e">
        <f t="shared" si="0"/>
        <v>#VALUE!</v>
      </c>
      <c r="J45" s="96">
        <f t="shared" si="1"/>
        <v>5.6116787122207627E-2</v>
      </c>
      <c r="K45" s="96"/>
      <c r="L45" s="96"/>
      <c r="M45" s="96"/>
      <c r="N45" s="171">
        <f t="shared" si="3"/>
        <v>2.2657840119000003E-2</v>
      </c>
      <c r="O45" s="98">
        <f t="shared" si="20"/>
        <v>51.967523208716038</v>
      </c>
      <c r="P45" s="96">
        <f t="shared" si="5"/>
        <v>7.1616294349539488E-3</v>
      </c>
      <c r="Q45" s="96"/>
      <c r="R45" s="97">
        <f t="shared" si="7"/>
        <v>0</v>
      </c>
      <c r="S45" s="99">
        <f t="shared" si="8"/>
        <v>0</v>
      </c>
      <c r="T45" s="95" t="e">
        <f t="shared" si="9"/>
        <v>#DIV/0!</v>
      </c>
    </row>
    <row r="46" spans="1:20" s="100" customFormat="1" ht="11.25" customHeight="1" x14ac:dyDescent="0.2">
      <c r="A46" s="115">
        <v>38</v>
      </c>
      <c r="B46" s="115" t="s">
        <v>86</v>
      </c>
      <c r="C46" s="116">
        <v>6.2060000000000004</v>
      </c>
      <c r="D46" s="165">
        <f t="shared" si="19"/>
        <v>0.16159999999999997</v>
      </c>
      <c r="E46" s="145" t="s">
        <v>73</v>
      </c>
      <c r="F46" s="116">
        <v>0.157727375</v>
      </c>
      <c r="G46" s="116">
        <v>-22.656835423928303</v>
      </c>
      <c r="H46" s="123">
        <f t="shared" si="10"/>
        <v>-26.865040812557815</v>
      </c>
      <c r="I46" s="95" t="e">
        <f t="shared" si="0"/>
        <v>#VALUE!</v>
      </c>
      <c r="J46" s="96">
        <f t="shared" si="1"/>
        <v>2.5415303738317754E-2</v>
      </c>
      <c r="K46" s="96"/>
      <c r="L46" s="96"/>
      <c r="M46" s="96"/>
      <c r="N46" s="171">
        <f t="shared" si="3"/>
        <v>1.0460637237375002E-2</v>
      </c>
      <c r="O46" s="98">
        <f t="shared" si="20"/>
        <v>6.4731666072865126</v>
      </c>
      <c r="P46" s="96">
        <f t="shared" si="5"/>
        <v>2.6039316790203021E-2</v>
      </c>
      <c r="Q46" s="96"/>
      <c r="R46" s="97">
        <f t="shared" si="7"/>
        <v>0</v>
      </c>
      <c r="S46" s="99">
        <f t="shared" si="8"/>
        <v>0</v>
      </c>
      <c r="T46" s="95" t="e">
        <f t="shared" si="9"/>
        <v>#DIV/0!</v>
      </c>
    </row>
    <row r="47" spans="1:20" s="100" customFormat="1" ht="11.25" customHeight="1" x14ac:dyDescent="0.2">
      <c r="A47" s="102">
        <v>39</v>
      </c>
      <c r="B47" s="102" t="s">
        <v>87</v>
      </c>
      <c r="C47" s="114">
        <v>6.2779999999999996</v>
      </c>
      <c r="D47" s="165">
        <f t="shared" si="19"/>
        <v>0.23359999999999914</v>
      </c>
      <c r="E47" s="144" t="s">
        <v>73</v>
      </c>
      <c r="F47" s="103">
        <v>0.15683582812499999</v>
      </c>
      <c r="G47" s="114">
        <v>-22.861625989794994</v>
      </c>
      <c r="H47" s="123">
        <f t="shared" si="10"/>
        <v>-27.069831378424507</v>
      </c>
      <c r="I47" s="95" t="e">
        <f t="shared" si="0"/>
        <v>#VALUE!</v>
      </c>
      <c r="J47" s="96">
        <f t="shared" si="1"/>
        <v>2.4981813973399172E-2</v>
      </c>
      <c r="K47" s="96"/>
      <c r="L47" s="96"/>
      <c r="M47" s="96"/>
      <c r="N47" s="171">
        <f t="shared" si="3"/>
        <v>1.0401508957078125E-2</v>
      </c>
      <c r="O47" s="98">
        <f t="shared" si="20"/>
        <v>4.4527007521738717</v>
      </c>
      <c r="P47" s="96">
        <f t="shared" si="5"/>
        <v>3.7209302325581263E-2</v>
      </c>
      <c r="Q47" s="96"/>
      <c r="R47" s="97">
        <f t="shared" si="7"/>
        <v>0</v>
      </c>
      <c r="S47" s="99">
        <f t="shared" si="8"/>
        <v>0</v>
      </c>
      <c r="T47" s="95" t="e">
        <f t="shared" si="9"/>
        <v>#DIV/0!</v>
      </c>
    </row>
    <row r="48" spans="1:20" s="100" customFormat="1" ht="11.25" customHeight="1" x14ac:dyDescent="0.2">
      <c r="A48" s="115">
        <v>40</v>
      </c>
      <c r="B48" s="115" t="s">
        <v>88</v>
      </c>
      <c r="C48" s="116">
        <v>6.08</v>
      </c>
      <c r="D48" s="165">
        <f t="shared" si="19"/>
        <v>3.5599999999999632E-2</v>
      </c>
      <c r="E48" s="145" t="s">
        <v>73</v>
      </c>
      <c r="F48" s="116">
        <v>0.14710037500000001</v>
      </c>
      <c r="G48" s="116">
        <v>-25.094970560930072</v>
      </c>
      <c r="H48" s="123">
        <f t="shared" si="10"/>
        <v>-29.303175949559584</v>
      </c>
      <c r="I48" s="95" t="e">
        <f t="shared" si="0"/>
        <v>#VALUE!</v>
      </c>
      <c r="J48" s="96">
        <f t="shared" si="1"/>
        <v>2.4194140624999999E-2</v>
      </c>
      <c r="K48" s="96"/>
      <c r="L48" s="96"/>
      <c r="M48" s="96"/>
      <c r="N48" s="171">
        <f t="shared" ref="N48" si="21">F48*$B$28+$D$28</f>
        <v>9.755843970375001E-3</v>
      </c>
      <c r="O48" s="98">
        <f t="shared" si="20"/>
        <v>27.404056096559277</v>
      </c>
      <c r="P48" s="96">
        <f t="shared" ref="P48" si="22">D48/C48</f>
        <v>5.8552631578946759E-3</v>
      </c>
      <c r="Q48" s="96"/>
      <c r="R48" s="97">
        <f t="shared" si="7"/>
        <v>0</v>
      </c>
      <c r="S48" s="99">
        <f t="shared" si="8"/>
        <v>0</v>
      </c>
      <c r="T48" s="95" t="e">
        <f t="shared" si="9"/>
        <v>#DIV/0!</v>
      </c>
    </row>
    <row r="49" spans="1:20" s="100" customFormat="1" ht="11.25" customHeight="1" x14ac:dyDescent="0.2">
      <c r="A49" s="102">
        <v>41</v>
      </c>
      <c r="B49" s="102" t="s">
        <v>89</v>
      </c>
      <c r="C49" s="114">
        <v>6.5410000000000004</v>
      </c>
      <c r="D49" s="165">
        <f t="shared" si="19"/>
        <v>0.49659999999999993</v>
      </c>
      <c r="E49" s="144" t="s">
        <v>73</v>
      </c>
      <c r="F49" s="103">
        <v>0.2811078125</v>
      </c>
      <c r="G49" s="114">
        <v>-22.683131080679189</v>
      </c>
      <c r="H49" s="123">
        <f t="shared" si="10"/>
        <v>-26.891336469308701</v>
      </c>
      <c r="I49" s="95" t="e">
        <f t="shared" si="0"/>
        <v>#VALUE!</v>
      </c>
      <c r="J49" s="96">
        <f t="shared" si="1"/>
        <v>4.2976274652193849E-2</v>
      </c>
      <c r="K49" s="96"/>
      <c r="L49" s="96"/>
      <c r="M49" s="96"/>
      <c r="N49" s="171">
        <f>F49*$B$28+$D$28</f>
        <v>1.8643351232812501E-2</v>
      </c>
      <c r="O49" s="98">
        <f t="shared" si="20"/>
        <v>3.7541987983915637</v>
      </c>
      <c r="P49" s="96">
        <f t="shared" si="5"/>
        <v>7.5921112979666708E-2</v>
      </c>
      <c r="Q49" s="96"/>
      <c r="R49" s="97">
        <f t="shared" si="7"/>
        <v>0</v>
      </c>
      <c r="S49" s="99">
        <f t="shared" si="8"/>
        <v>0</v>
      </c>
      <c r="T49" s="95" t="e">
        <f t="shared" si="9"/>
        <v>#DIV/0!</v>
      </c>
    </row>
    <row r="50" spans="1:20" s="100" customFormat="1" ht="11.25" customHeight="1" x14ac:dyDescent="0.2">
      <c r="A50" s="115">
        <v>42</v>
      </c>
      <c r="B50" s="115" t="s">
        <v>90</v>
      </c>
      <c r="C50" s="116">
        <v>6.2480000000000002</v>
      </c>
      <c r="D50" s="165">
        <f t="shared" si="19"/>
        <v>0.20359999999999978</v>
      </c>
      <c r="E50" s="145" t="s">
        <v>73</v>
      </c>
      <c r="F50" s="116">
        <v>0.12085517968749999</v>
      </c>
      <c r="G50" s="116">
        <v>-25.514904469503538</v>
      </c>
      <c r="H50" s="123">
        <f t="shared" si="10"/>
        <v>-29.72310985813305</v>
      </c>
      <c r="I50" s="95" t="e">
        <f t="shared" si="0"/>
        <v>#VALUE!</v>
      </c>
      <c r="J50" s="96">
        <f t="shared" si="1"/>
        <v>1.9343018515925094E-2</v>
      </c>
      <c r="K50" s="96"/>
      <c r="L50" s="96"/>
      <c r="M50" s="96"/>
      <c r="N50" s="171">
        <f t="shared" si="3"/>
        <v>8.0152363720546876E-3</v>
      </c>
      <c r="O50" s="98">
        <f t="shared" si="20"/>
        <v>3.9367565678068255</v>
      </c>
      <c r="P50" s="96">
        <f t="shared" si="5"/>
        <v>3.2586427656850159E-2</v>
      </c>
      <c r="Q50" s="96"/>
      <c r="R50" s="97">
        <f t="shared" si="7"/>
        <v>0</v>
      </c>
      <c r="S50" s="99">
        <f t="shared" si="8"/>
        <v>0</v>
      </c>
      <c r="T50" s="95" t="e">
        <f t="shared" si="9"/>
        <v>#DIV/0!</v>
      </c>
    </row>
    <row r="51" spans="1:20" s="109" customFormat="1" ht="11.25" customHeight="1" x14ac:dyDescent="0.2">
      <c r="A51" s="127">
        <v>43</v>
      </c>
      <c r="B51" s="127" t="s">
        <v>70</v>
      </c>
      <c r="C51" s="128">
        <v>0.77400000000000002</v>
      </c>
      <c r="E51" s="147" t="s">
        <v>73</v>
      </c>
      <c r="F51" s="128">
        <v>5.3125855</v>
      </c>
      <c r="G51" s="128">
        <v>-21.651133243936574</v>
      </c>
      <c r="H51" s="122">
        <f t="shared" si="10"/>
        <v>-25.859338632566086</v>
      </c>
      <c r="I51" s="105" t="e">
        <f t="shared" si="0"/>
        <v>#VALUE!</v>
      </c>
      <c r="J51" s="106">
        <f t="shared" si="1"/>
        <v>6.8638055555555555</v>
      </c>
      <c r="K51" s="106">
        <f t="shared" ref="K51" si="23">H$14</f>
        <v>44.65</v>
      </c>
      <c r="L51" s="106">
        <f t="shared" ref="L51" si="24">I$14</f>
        <v>2.83</v>
      </c>
      <c r="M51" s="106">
        <f t="shared" ref="M51:M52" si="25">C51*(K51/100)</f>
        <v>0.34559100000000004</v>
      </c>
      <c r="N51" s="169">
        <f t="shared" ref="N51:N52" si="26">F51*$B$28+$D$28</f>
        <v>0.3523359829455</v>
      </c>
      <c r="O51" s="110">
        <f t="shared" ref="O51" si="27">N51/C51*100</f>
        <v>45.521444825000003</v>
      </c>
      <c r="P51" s="106">
        <f t="shared" ref="P51" si="28">D51/C51</f>
        <v>0</v>
      </c>
      <c r="Q51" s="106">
        <f t="shared" ref="Q51" si="29">C51*(L51/100)</f>
        <v>2.1904200000000002E-2</v>
      </c>
      <c r="R51" s="107">
        <f t="shared" si="7"/>
        <v>0</v>
      </c>
      <c r="S51" s="108">
        <f t="shared" si="8"/>
        <v>0</v>
      </c>
      <c r="T51" s="105" t="e">
        <f t="shared" si="9"/>
        <v>#DIV/0!</v>
      </c>
    </row>
    <row r="52" spans="1:20" s="151" customFormat="1" ht="11.25" customHeight="1" x14ac:dyDescent="0.2">
      <c r="A52" s="149">
        <v>44</v>
      </c>
      <c r="B52" s="149" t="s">
        <v>91</v>
      </c>
      <c r="C52" s="150">
        <v>2.37</v>
      </c>
      <c r="E52" s="152" t="s">
        <v>73</v>
      </c>
      <c r="F52" s="150">
        <v>1.1253442499999999</v>
      </c>
      <c r="G52" s="150">
        <v>-15.47686414529579</v>
      </c>
      <c r="H52" s="153">
        <f>$B$26*G52+$D$26</f>
        <v>-19.685069533925301</v>
      </c>
      <c r="I52" s="154" t="e">
        <f>$B$27*E52+$D$27</f>
        <v>#VALUE!</v>
      </c>
      <c r="J52" s="155">
        <f>(F52)/C52</f>
        <v>0.47482879746835438</v>
      </c>
      <c r="K52" s="155">
        <f>$H$13</f>
        <v>3.3479999999999999</v>
      </c>
      <c r="L52" s="155"/>
      <c r="M52" s="155">
        <f t="shared" si="25"/>
        <v>7.934759999999999E-2</v>
      </c>
      <c r="N52" s="170">
        <f t="shared" si="26"/>
        <v>7.4633956004250004E-2</v>
      </c>
      <c r="O52" s="157">
        <f>N52/C52*100</f>
        <v>3.1491120676898734</v>
      </c>
      <c r="P52" s="155">
        <f>D52/C52</f>
        <v>0</v>
      </c>
      <c r="Q52" s="155"/>
      <c r="R52" s="156">
        <f>D52*$B$29+$D$29</f>
        <v>0</v>
      </c>
      <c r="S52" s="158">
        <f>R52/C52*100</f>
        <v>0</v>
      </c>
      <c r="T52" s="154" t="e">
        <f>N52/R52</f>
        <v>#DIV/0!</v>
      </c>
    </row>
    <row r="53" spans="1:20" s="100" customFormat="1" ht="11.25" customHeight="1" x14ac:dyDescent="0.2">
      <c r="A53" s="102">
        <v>45</v>
      </c>
      <c r="B53" s="102" t="s">
        <v>92</v>
      </c>
      <c r="C53" s="114">
        <v>6.1539999999999999</v>
      </c>
      <c r="D53" s="165">
        <f t="shared" ref="D53:D64" si="30">C53-$H$26</f>
        <v>0.10959999999999948</v>
      </c>
      <c r="E53" s="144" t="s">
        <v>73</v>
      </c>
      <c r="F53" s="103">
        <v>0.178611390625</v>
      </c>
      <c r="G53" s="114">
        <v>-23.29689610993556</v>
      </c>
      <c r="H53" s="123">
        <f t="shared" si="10"/>
        <v>-27.505101498565072</v>
      </c>
      <c r="I53" s="95" t="e">
        <f t="shared" si="0"/>
        <v>#VALUE!</v>
      </c>
      <c r="J53" s="96">
        <f t="shared" si="1"/>
        <v>2.9023625385927853E-2</v>
      </c>
      <c r="K53" s="96"/>
      <c r="L53" s="96"/>
      <c r="M53" s="96"/>
      <c r="N53" s="171">
        <f t="shared" ref="N53:N54" si="31">F53*$B$28+$D$28</f>
        <v>1.1845686037640626E-2</v>
      </c>
      <c r="O53" s="98">
        <f t="shared" ref="O53:O64" si="32">N53/D53*100</f>
        <v>10.808107698577265</v>
      </c>
      <c r="P53" s="96">
        <f t="shared" ref="P53:P54" si="33">D53/C53</f>
        <v>1.7809554761130886E-2</v>
      </c>
      <c r="Q53" s="96"/>
      <c r="R53" s="97">
        <f t="shared" si="7"/>
        <v>0</v>
      </c>
      <c r="S53" s="99">
        <f t="shared" si="8"/>
        <v>0</v>
      </c>
      <c r="T53" s="95" t="e">
        <f t="shared" si="9"/>
        <v>#DIV/0!</v>
      </c>
    </row>
    <row r="54" spans="1:20" s="100" customFormat="1" ht="11.25" customHeight="1" x14ac:dyDescent="0.2">
      <c r="A54" s="115">
        <v>46</v>
      </c>
      <c r="B54" s="115" t="s">
        <v>93</v>
      </c>
      <c r="C54" s="116">
        <v>6.0650000000000004</v>
      </c>
      <c r="D54" s="165">
        <f t="shared" si="30"/>
        <v>2.0599999999999952E-2</v>
      </c>
      <c r="E54" s="145" t="s">
        <v>73</v>
      </c>
      <c r="F54" s="116">
        <v>0.18546467187499999</v>
      </c>
      <c r="G54" s="116">
        <v>-23.072296226884237</v>
      </c>
      <c r="H54" s="123">
        <f t="shared" si="10"/>
        <v>-27.280501615513749</v>
      </c>
      <c r="I54" s="95" t="e">
        <f t="shared" si="0"/>
        <v>#VALUE!</v>
      </c>
      <c r="J54" s="96">
        <f t="shared" si="1"/>
        <v>3.0579500721352015E-2</v>
      </c>
      <c r="K54" s="96"/>
      <c r="L54" s="96"/>
      <c r="M54" s="96"/>
      <c r="N54" s="171">
        <f t="shared" si="31"/>
        <v>1.2300202503421875E-2</v>
      </c>
      <c r="O54" s="98">
        <f t="shared" si="32"/>
        <v>59.709720890397591</v>
      </c>
      <c r="P54" s="96">
        <f t="shared" si="33"/>
        <v>3.3965375103050207E-3</v>
      </c>
      <c r="Q54" s="96"/>
      <c r="R54" s="97">
        <f t="shared" si="7"/>
        <v>0</v>
      </c>
      <c r="S54" s="99">
        <f t="shared" si="8"/>
        <v>0</v>
      </c>
      <c r="T54" s="95" t="e">
        <f t="shared" si="9"/>
        <v>#DIV/0!</v>
      </c>
    </row>
    <row r="55" spans="1:20" s="100" customFormat="1" ht="11.25" customHeight="1" x14ac:dyDescent="0.2">
      <c r="A55" s="102">
        <v>47</v>
      </c>
      <c r="B55" s="102" t="s">
        <v>94</v>
      </c>
      <c r="C55" s="114">
        <v>6.3929999999999998</v>
      </c>
      <c r="D55" s="165">
        <f t="shared" si="30"/>
        <v>0.34859999999999935</v>
      </c>
      <c r="E55" s="144" t="s">
        <v>73</v>
      </c>
      <c r="F55" s="103">
        <v>0.18906603124999999</v>
      </c>
      <c r="G55" s="114">
        <v>-23.323396549965114</v>
      </c>
      <c r="H55" s="123">
        <f t="shared" si="10"/>
        <v>-27.531601938594626</v>
      </c>
      <c r="I55" s="95" t="e">
        <f t="shared" si="0"/>
        <v>#VALUE!</v>
      </c>
      <c r="J55" s="96">
        <f t="shared" si="1"/>
        <v>2.9573913851087125E-2</v>
      </c>
      <c r="K55" s="96"/>
      <c r="L55" s="96"/>
      <c r="M55" s="96"/>
      <c r="N55" s="171">
        <f t="shared" si="3"/>
        <v>1.2539048258531251E-2</v>
      </c>
      <c r="O55" s="98">
        <f t="shared" si="32"/>
        <v>3.5969731091598609</v>
      </c>
      <c r="P55" s="96">
        <f t="shared" si="5"/>
        <v>5.4528390427029463E-2</v>
      </c>
      <c r="Q55" s="96"/>
      <c r="R55" s="97">
        <f t="shared" si="7"/>
        <v>0</v>
      </c>
      <c r="S55" s="99">
        <f t="shared" si="8"/>
        <v>0</v>
      </c>
      <c r="T55" s="95" t="e">
        <f t="shared" si="9"/>
        <v>#DIV/0!</v>
      </c>
    </row>
    <row r="56" spans="1:20" s="100" customFormat="1" ht="11.25" customHeight="1" x14ac:dyDescent="0.2">
      <c r="A56" s="115">
        <v>48</v>
      </c>
      <c r="B56" s="115" t="s">
        <v>95</v>
      </c>
      <c r="C56" s="116">
        <v>6.1689999999999996</v>
      </c>
      <c r="D56" s="165">
        <f t="shared" si="30"/>
        <v>0.12459999999999916</v>
      </c>
      <c r="E56" s="145" t="s">
        <v>73</v>
      </c>
      <c r="F56" s="116">
        <v>0.19684798437500001</v>
      </c>
      <c r="G56" s="116">
        <v>-22.669881085745381</v>
      </c>
      <c r="H56" s="123">
        <f t="shared" si="10"/>
        <v>-26.878086474374893</v>
      </c>
      <c r="I56" s="95" t="e">
        <f t="shared" si="0"/>
        <v>#VALUE!</v>
      </c>
      <c r="J56" s="96">
        <f t="shared" si="1"/>
        <v>3.1909221004214623E-2</v>
      </c>
      <c r="K56" s="96"/>
      <c r="L56" s="96"/>
      <c r="M56" s="96"/>
      <c r="N56" s="171">
        <f t="shared" si="3"/>
        <v>1.3055155171734377E-2</v>
      </c>
      <c r="O56" s="98">
        <f t="shared" si="32"/>
        <v>10.477652625790101</v>
      </c>
      <c r="P56" s="96">
        <f t="shared" si="5"/>
        <v>2.0197763008591208E-2</v>
      </c>
      <c r="Q56" s="96"/>
      <c r="R56" s="97">
        <f t="shared" si="7"/>
        <v>0</v>
      </c>
      <c r="S56" s="99">
        <f t="shared" si="8"/>
        <v>0</v>
      </c>
      <c r="T56" s="95" t="e">
        <f t="shared" si="9"/>
        <v>#DIV/0!</v>
      </c>
    </row>
    <row r="57" spans="1:20" s="100" customFormat="1" ht="11.25" customHeight="1" x14ac:dyDescent="0.2">
      <c r="A57" s="102">
        <v>49</v>
      </c>
      <c r="B57" s="102" t="s">
        <v>96</v>
      </c>
      <c r="C57" s="114">
        <v>6.1369999999999996</v>
      </c>
      <c r="D57" s="165">
        <f t="shared" si="30"/>
        <v>9.2599999999999127E-2</v>
      </c>
      <c r="E57" s="144" t="s">
        <v>73</v>
      </c>
      <c r="F57" s="103">
        <v>0.209286703125</v>
      </c>
      <c r="G57" s="114">
        <v>-22.82616300721531</v>
      </c>
      <c r="H57" s="123">
        <f t="shared" si="10"/>
        <v>-27.034368395844822</v>
      </c>
      <c r="I57" s="95" t="e">
        <f t="shared" si="0"/>
        <v>#VALUE!</v>
      </c>
      <c r="J57" s="96">
        <f t="shared" si="1"/>
        <v>3.4102444700179244E-2</v>
      </c>
      <c r="K57" s="96"/>
      <c r="L57" s="96"/>
      <c r="M57" s="96"/>
      <c r="N57" s="171">
        <f t="shared" si="3"/>
        <v>1.3880103437953126E-2</v>
      </c>
      <c r="O57" s="98">
        <f t="shared" si="32"/>
        <v>14.989312567984078</v>
      </c>
      <c r="P57" s="96">
        <f t="shared" si="5"/>
        <v>1.508880560534449E-2</v>
      </c>
      <c r="Q57" s="96"/>
      <c r="R57" s="97">
        <f t="shared" si="7"/>
        <v>0</v>
      </c>
      <c r="S57" s="99">
        <f t="shared" si="8"/>
        <v>0</v>
      </c>
      <c r="T57" s="95" t="e">
        <f t="shared" si="9"/>
        <v>#DIV/0!</v>
      </c>
    </row>
    <row r="58" spans="1:20" s="100" customFormat="1" ht="11.25" customHeight="1" x14ac:dyDescent="0.2">
      <c r="A58" s="102">
        <v>50</v>
      </c>
      <c r="B58" s="102" t="s">
        <v>97</v>
      </c>
      <c r="C58" s="103">
        <v>6.2229999999999999</v>
      </c>
      <c r="D58" s="165">
        <f t="shared" si="30"/>
        <v>0.17859999999999943</v>
      </c>
      <c r="E58" s="148" t="s">
        <v>73</v>
      </c>
      <c r="F58" s="103">
        <v>0.41627187500000001</v>
      </c>
      <c r="G58" s="103">
        <v>-21.055778335260865</v>
      </c>
      <c r="H58" s="123">
        <f t="shared" si="10"/>
        <v>-25.263983723890377</v>
      </c>
      <c r="I58" s="95" t="e">
        <f t="shared" si="0"/>
        <v>#VALUE!</v>
      </c>
      <c r="J58" s="96">
        <f t="shared" si="1"/>
        <v>6.6892475494134671E-2</v>
      </c>
      <c r="K58" s="96"/>
      <c r="L58" s="96"/>
      <c r="M58" s="96"/>
      <c r="N58" s="171">
        <f t="shared" si="3"/>
        <v>2.7607567021875001E-2</v>
      </c>
      <c r="O58" s="98">
        <f t="shared" si="32"/>
        <v>15.457764289963658</v>
      </c>
      <c r="P58" s="96">
        <f t="shared" si="5"/>
        <v>2.8699983930580014E-2</v>
      </c>
      <c r="Q58" s="96"/>
      <c r="R58" s="97">
        <f t="shared" si="7"/>
        <v>0</v>
      </c>
      <c r="S58" s="99">
        <f t="shared" si="8"/>
        <v>0</v>
      </c>
      <c r="T58" s="95" t="e">
        <f t="shared" si="9"/>
        <v>#DIV/0!</v>
      </c>
    </row>
    <row r="59" spans="1:20" s="100" customFormat="1" ht="11.25" customHeight="1" x14ac:dyDescent="0.2">
      <c r="A59" s="102">
        <v>51</v>
      </c>
      <c r="B59" s="102" t="s">
        <v>98</v>
      </c>
      <c r="C59" s="114">
        <v>6.2060000000000004</v>
      </c>
      <c r="D59" s="165">
        <f t="shared" si="30"/>
        <v>0.16159999999999997</v>
      </c>
      <c r="E59" s="144" t="s">
        <v>73</v>
      </c>
      <c r="F59" s="103">
        <v>0.245857734375</v>
      </c>
      <c r="G59" s="114">
        <v>-22.562436146474557</v>
      </c>
      <c r="H59" s="123">
        <f t="shared" si="10"/>
        <v>-26.770641535104069</v>
      </c>
      <c r="I59" s="95" t="e">
        <f t="shared" si="0"/>
        <v>#VALUE!</v>
      </c>
      <c r="J59" s="96">
        <f t="shared" si="1"/>
        <v>3.9616135091040929E-2</v>
      </c>
      <c r="K59" s="96"/>
      <c r="L59" s="96"/>
      <c r="M59" s="96"/>
      <c r="N59" s="171">
        <f t="shared" si="3"/>
        <v>1.6305530801484378E-2</v>
      </c>
      <c r="O59" s="98">
        <f t="shared" si="32"/>
        <v>10.090056189037364</v>
      </c>
      <c r="P59" s="96">
        <f t="shared" si="5"/>
        <v>2.6039316790203021E-2</v>
      </c>
      <c r="Q59" s="96"/>
      <c r="R59" s="97">
        <f t="shared" si="7"/>
        <v>0</v>
      </c>
      <c r="S59" s="99">
        <f t="shared" si="8"/>
        <v>0</v>
      </c>
      <c r="T59" s="95" t="e">
        <f t="shared" si="9"/>
        <v>#DIV/0!</v>
      </c>
    </row>
    <row r="60" spans="1:20" s="100" customFormat="1" ht="11.25" customHeight="1" x14ac:dyDescent="0.2">
      <c r="A60" s="115">
        <v>52</v>
      </c>
      <c r="B60" s="115" t="s">
        <v>99</v>
      </c>
      <c r="C60" s="116">
        <v>6.1219999999999999</v>
      </c>
      <c r="D60" s="165">
        <f t="shared" si="30"/>
        <v>7.7599999999999447E-2</v>
      </c>
      <c r="E60" s="145" t="s">
        <v>73</v>
      </c>
      <c r="F60" s="116">
        <v>0.260729984375</v>
      </c>
      <c r="G60" s="116">
        <v>-22.835532306747837</v>
      </c>
      <c r="H60" s="123">
        <f t="shared" si="10"/>
        <v>-27.043737695377349</v>
      </c>
      <c r="I60" s="95" t="e">
        <f t="shared" si="0"/>
        <v>#VALUE!</v>
      </c>
      <c r="J60" s="96">
        <f t="shared" si="1"/>
        <v>4.2589020642763806E-2</v>
      </c>
      <c r="K60" s="96"/>
      <c r="L60" s="96"/>
      <c r="M60" s="96"/>
      <c r="N60" s="171">
        <f t="shared" ref="N60" si="34">F60*$B$28+$D$28</f>
        <v>1.7291873293734376E-2</v>
      </c>
      <c r="O60" s="98">
        <f t="shared" si="32"/>
        <v>22.283341873369199</v>
      </c>
      <c r="P60" s="96">
        <f t="shared" ref="P60" si="35">D60/C60</f>
        <v>1.2675596210388673E-2</v>
      </c>
      <c r="Q60" s="96"/>
      <c r="R60" s="97">
        <f t="shared" si="7"/>
        <v>0</v>
      </c>
      <c r="S60" s="99">
        <f t="shared" si="8"/>
        <v>0</v>
      </c>
      <c r="T60" s="95" t="e">
        <f t="shared" si="9"/>
        <v>#DIV/0!</v>
      </c>
    </row>
    <row r="61" spans="1:20" s="100" customFormat="1" ht="11.25" customHeight="1" x14ac:dyDescent="0.2">
      <c r="A61" s="102">
        <v>53</v>
      </c>
      <c r="B61" s="102" t="s">
        <v>100</v>
      </c>
      <c r="C61" s="114">
        <v>6.1420000000000003</v>
      </c>
      <c r="D61" s="165">
        <f t="shared" si="30"/>
        <v>9.7599999999999909E-2</v>
      </c>
      <c r="E61" s="144" t="s">
        <v>73</v>
      </c>
      <c r="F61" s="103">
        <v>0.28164265625000001</v>
      </c>
      <c r="G61" s="114">
        <v>-22.093874778009809</v>
      </c>
      <c r="H61" s="123">
        <f t="shared" si="10"/>
        <v>-26.302080166639321</v>
      </c>
      <c r="I61" s="95" t="e">
        <f t="shared" si="0"/>
        <v>#VALUE!</v>
      </c>
      <c r="J61" s="96">
        <f t="shared" si="1"/>
        <v>4.5855202906219472E-2</v>
      </c>
      <c r="K61" s="96"/>
      <c r="L61" s="96"/>
      <c r="M61" s="96"/>
      <c r="N61" s="171">
        <f t="shared" si="3"/>
        <v>1.8678822605156253E-2</v>
      </c>
      <c r="O61" s="98">
        <f t="shared" si="32"/>
        <v>19.138137915119131</v>
      </c>
      <c r="P61" s="96">
        <f t="shared" si="5"/>
        <v>1.5890589384565272E-2</v>
      </c>
      <c r="Q61" s="96"/>
      <c r="R61" s="97">
        <f t="shared" si="7"/>
        <v>0</v>
      </c>
      <c r="S61" s="99">
        <f t="shared" si="8"/>
        <v>0</v>
      </c>
      <c r="T61" s="95" t="e">
        <f t="shared" si="9"/>
        <v>#DIV/0!</v>
      </c>
    </row>
    <row r="62" spans="1:20" s="100" customFormat="1" ht="11.25" customHeight="1" x14ac:dyDescent="0.2">
      <c r="A62" s="115">
        <v>54</v>
      </c>
      <c r="B62" s="115" t="s">
        <v>101</v>
      </c>
      <c r="C62" s="116">
        <v>6.1340000000000003</v>
      </c>
      <c r="D62" s="165">
        <f t="shared" si="30"/>
        <v>8.9599999999999902E-2</v>
      </c>
      <c r="E62" s="145" t="s">
        <v>73</v>
      </c>
      <c r="F62" s="116">
        <v>0.38989806249999998</v>
      </c>
      <c r="G62" s="116">
        <v>-21.060931477595478</v>
      </c>
      <c r="H62" s="123">
        <f t="shared" si="10"/>
        <v>-25.26913686622499</v>
      </c>
      <c r="I62" s="95" t="e">
        <f t="shared" si="0"/>
        <v>#VALUE!</v>
      </c>
      <c r="J62" s="96">
        <f t="shared" si="1"/>
        <v>6.3563427208999018E-2</v>
      </c>
      <c r="K62" s="96"/>
      <c r="L62" s="96"/>
      <c r="M62" s="96"/>
      <c r="N62" s="171">
        <f t="shared" si="3"/>
        <v>2.5858429403062499E-2</v>
      </c>
      <c r="O62" s="98">
        <f t="shared" si="32"/>
        <v>28.85985424448943</v>
      </c>
      <c r="P62" s="96">
        <f t="shared" si="5"/>
        <v>1.4607107923051825E-2</v>
      </c>
      <c r="Q62" s="96"/>
      <c r="R62" s="97">
        <f t="shared" si="7"/>
        <v>0</v>
      </c>
      <c r="S62" s="99">
        <f t="shared" si="8"/>
        <v>0</v>
      </c>
      <c r="T62" s="95" t="e">
        <f t="shared" si="9"/>
        <v>#DIV/0!</v>
      </c>
    </row>
    <row r="63" spans="1:20" s="100" customFormat="1" ht="11.25" customHeight="1" x14ac:dyDescent="0.2">
      <c r="A63" s="102">
        <v>55</v>
      </c>
      <c r="B63" s="102" t="s">
        <v>102</v>
      </c>
      <c r="C63" s="114">
        <v>6.4130000000000003</v>
      </c>
      <c r="D63" s="165">
        <f t="shared" si="30"/>
        <v>0.36859999999999982</v>
      </c>
      <c r="E63" s="144" t="s">
        <v>73</v>
      </c>
      <c r="F63" s="103">
        <v>0.4479169375</v>
      </c>
      <c r="G63" s="114">
        <v>-21.142440421854459</v>
      </c>
      <c r="H63" s="123">
        <f>$B$26*G63+$D$26</f>
        <v>-25.350645810483972</v>
      </c>
      <c r="I63" s="95" t="e">
        <f>$B$27*E63+$D$27</f>
        <v>#VALUE!</v>
      </c>
      <c r="J63" s="96">
        <f>(F63)/C63</f>
        <v>6.9845148526430686E-2</v>
      </c>
      <c r="K63" s="96"/>
      <c r="L63" s="96"/>
      <c r="M63" s="96"/>
      <c r="N63" s="171">
        <f>F63*$B$28+$D$28</f>
        <v>2.9706299211937501E-2</v>
      </c>
      <c r="O63" s="98">
        <f t="shared" si="32"/>
        <v>8.0592238773568958</v>
      </c>
      <c r="P63" s="96">
        <f>D63/C63</f>
        <v>5.7476999844066706E-2</v>
      </c>
      <c r="Q63" s="96"/>
      <c r="R63" s="97">
        <f>D63*$B$29+$D$29</f>
        <v>0</v>
      </c>
      <c r="S63" s="99">
        <f>R63/C63*100</f>
        <v>0</v>
      </c>
      <c r="T63" s="95" t="e">
        <f>N63/R63</f>
        <v>#DIV/0!</v>
      </c>
    </row>
    <row r="64" spans="1:20" s="100" customFormat="1" ht="11.25" customHeight="1" x14ac:dyDescent="0.2">
      <c r="A64" s="115">
        <v>56</v>
      </c>
      <c r="B64" s="115" t="s">
        <v>103</v>
      </c>
      <c r="C64" s="116">
        <v>6.0970000000000004</v>
      </c>
      <c r="D64" s="165">
        <f t="shared" si="30"/>
        <v>5.259999999999998E-2</v>
      </c>
      <c r="E64" s="145" t="s">
        <v>73</v>
      </c>
      <c r="F64" s="116">
        <v>0.40248540625000001</v>
      </c>
      <c r="G64" s="116">
        <v>-21.616876987918321</v>
      </c>
      <c r="H64" s="123">
        <f t="shared" si="10"/>
        <v>-25.825082376547833</v>
      </c>
      <c r="I64" s="95" t="e">
        <f t="shared" si="0"/>
        <v>#VALUE!</v>
      </c>
      <c r="J64" s="96">
        <f t="shared" si="1"/>
        <v>6.6013679883549281E-2</v>
      </c>
      <c r="K64" s="96"/>
      <c r="L64" s="96"/>
      <c r="M64" s="96"/>
      <c r="N64" s="171">
        <f t="shared" si="3"/>
        <v>2.6693234627906251E-2</v>
      </c>
      <c r="O64" s="98">
        <f t="shared" si="32"/>
        <v>50.747594349631676</v>
      </c>
      <c r="P64" s="96">
        <f t="shared" si="5"/>
        <v>8.6271937018205635E-3</v>
      </c>
      <c r="Q64" s="96"/>
      <c r="R64" s="97">
        <f t="shared" si="7"/>
        <v>0</v>
      </c>
      <c r="S64" s="99">
        <f t="shared" si="8"/>
        <v>0</v>
      </c>
      <c r="T64" s="95" t="e">
        <f t="shared" si="9"/>
        <v>#DIV/0!</v>
      </c>
    </row>
    <row r="65" spans="1:20" s="109" customFormat="1" ht="11.25" customHeight="1" x14ac:dyDescent="0.2">
      <c r="A65" s="127">
        <v>57</v>
      </c>
      <c r="B65" s="127" t="s">
        <v>60</v>
      </c>
      <c r="C65" s="128">
        <v>1.663</v>
      </c>
      <c r="E65" s="147" t="s">
        <v>73</v>
      </c>
      <c r="F65" s="128">
        <v>11.200150000000001</v>
      </c>
      <c r="G65" s="128">
        <v>-21.700802316440157</v>
      </c>
      <c r="H65" s="122">
        <f t="shared" si="10"/>
        <v>-25.909007705069669</v>
      </c>
      <c r="I65" s="105" t="e">
        <f t="shared" si="0"/>
        <v>#VALUE!</v>
      </c>
      <c r="J65" s="106">
        <f t="shared" si="1"/>
        <v>6.7349067949488877</v>
      </c>
      <c r="K65" s="106">
        <f t="shared" ref="K65" si="36">H$14</f>
        <v>44.65</v>
      </c>
      <c r="L65" s="106">
        <f t="shared" ref="L65" si="37">I$14</f>
        <v>2.83</v>
      </c>
      <c r="M65" s="106">
        <f t="shared" ref="M65:M66" si="38">C65*(K65/100)</f>
        <v>0.74252950000000006</v>
      </c>
      <c r="N65" s="169">
        <f t="shared" ref="N65:N66" si="39">F65*$B$28+$D$28</f>
        <v>0.74280514815000009</v>
      </c>
      <c r="O65" s="110">
        <f t="shared" ref="O65" si="40">N65/C65*100</f>
        <v>44.666575354780527</v>
      </c>
      <c r="P65" s="106">
        <f t="shared" ref="P65" si="41">D65/C65</f>
        <v>0</v>
      </c>
      <c r="Q65" s="106">
        <f t="shared" ref="Q65" si="42">C65*(L65/100)</f>
        <v>4.7062900000000005E-2</v>
      </c>
      <c r="R65" s="107">
        <f t="shared" si="7"/>
        <v>0</v>
      </c>
      <c r="S65" s="108">
        <f t="shared" si="8"/>
        <v>0</v>
      </c>
      <c r="T65" s="105" t="e">
        <f t="shared" si="9"/>
        <v>#DIV/0!</v>
      </c>
    </row>
    <row r="66" spans="1:20" s="151" customFormat="1" ht="11.25" customHeight="1" x14ac:dyDescent="0.2">
      <c r="A66" s="149">
        <v>58</v>
      </c>
      <c r="B66" s="149" t="s">
        <v>104</v>
      </c>
      <c r="C66" s="150">
        <v>2.9169999999999998</v>
      </c>
      <c r="E66" s="152" t="s">
        <v>73</v>
      </c>
      <c r="F66" s="150">
        <v>1.4289728749999999</v>
      </c>
      <c r="G66" s="150">
        <v>-15.523901497687138</v>
      </c>
      <c r="H66" s="153">
        <f t="shared" si="10"/>
        <v>-19.73210688631665</v>
      </c>
      <c r="I66" s="154" t="e">
        <f t="shared" si="0"/>
        <v>#VALUE!</v>
      </c>
      <c r="J66" s="155">
        <f t="shared" si="1"/>
        <v>0.48987757113472746</v>
      </c>
      <c r="K66" s="155">
        <f>$H$13</f>
        <v>3.3479999999999999</v>
      </c>
      <c r="L66" s="155"/>
      <c r="M66" s="155">
        <f t="shared" si="38"/>
        <v>9.7661159999999983E-2</v>
      </c>
      <c r="N66" s="170">
        <f t="shared" si="39"/>
        <v>9.4770910042874995E-2</v>
      </c>
      <c r="O66" s="157">
        <f t="shared" ref="O66" si="43">N66/C66*100</f>
        <v>3.2489170395226261</v>
      </c>
      <c r="P66" s="155">
        <f t="shared" ref="P66" si="44">D66/C66</f>
        <v>0</v>
      </c>
      <c r="Q66" s="155"/>
      <c r="R66" s="156">
        <f t="shared" si="7"/>
        <v>0</v>
      </c>
      <c r="S66" s="158">
        <f t="shared" si="8"/>
        <v>0</v>
      </c>
      <c r="T66" s="154" t="e">
        <f t="shared" si="9"/>
        <v>#DIV/0!</v>
      </c>
    </row>
    <row r="67" spans="1:20" s="100" customFormat="1" ht="11.25" customHeight="1" x14ac:dyDescent="0.2">
      <c r="A67" s="102">
        <v>59</v>
      </c>
      <c r="B67" s="102" t="s">
        <v>105</v>
      </c>
      <c r="C67" s="114">
        <v>6.5179999999999998</v>
      </c>
      <c r="D67" s="165">
        <f t="shared" ref="D67:D78" si="45">C67-$H$26</f>
        <v>0.47359999999999935</v>
      </c>
      <c r="E67" s="144" t="s">
        <v>73</v>
      </c>
      <c r="F67" s="103">
        <v>0.30509084375000001</v>
      </c>
      <c r="G67" s="114">
        <v>-21.710024251848537</v>
      </c>
      <c r="H67" s="123">
        <f t="shared" si="10"/>
        <v>-25.918229640478049</v>
      </c>
      <c r="I67" s="95" t="e">
        <f t="shared" si="0"/>
        <v>#VALUE!</v>
      </c>
      <c r="J67" s="96">
        <f t="shared" si="1"/>
        <v>4.6807432302853641E-2</v>
      </c>
      <c r="K67" s="96"/>
      <c r="L67" s="96"/>
      <c r="M67" s="96"/>
      <c r="N67" s="171">
        <f t="shared" si="3"/>
        <v>2.0233929848343751E-2</v>
      </c>
      <c r="O67" s="98">
        <f t="shared" ref="O67:O78" si="46">N67/D67*100</f>
        <v>4.2723669443293453</v>
      </c>
      <c r="P67" s="96">
        <f t="shared" si="5"/>
        <v>7.2660325253145044E-2</v>
      </c>
      <c r="Q67" s="96"/>
      <c r="R67" s="97">
        <f t="shared" si="7"/>
        <v>0</v>
      </c>
      <c r="S67" s="99">
        <f t="shared" si="8"/>
        <v>0</v>
      </c>
      <c r="T67" s="95" t="e">
        <f t="shared" si="9"/>
        <v>#DIV/0!</v>
      </c>
    </row>
    <row r="68" spans="1:20" s="100" customFormat="1" ht="11.25" customHeight="1" x14ac:dyDescent="0.2">
      <c r="A68" s="115">
        <v>60</v>
      </c>
      <c r="B68" s="115" t="s">
        <v>106</v>
      </c>
      <c r="C68" s="116">
        <v>6.1609999999999996</v>
      </c>
      <c r="D68" s="165">
        <f t="shared" si="45"/>
        <v>0.11659999999999915</v>
      </c>
      <c r="E68" s="145" t="s">
        <v>73</v>
      </c>
      <c r="F68" s="116">
        <v>0.27477709374999998</v>
      </c>
      <c r="G68" s="116">
        <v>-21.524716810337601</v>
      </c>
      <c r="H68" s="123">
        <f t="shared" si="10"/>
        <v>-25.732922198967113</v>
      </c>
      <c r="I68" s="95" t="e">
        <f t="shared" si="0"/>
        <v>#VALUE!</v>
      </c>
      <c r="J68" s="96">
        <f t="shared" si="1"/>
        <v>4.4599430895958449E-2</v>
      </c>
      <c r="K68" s="96"/>
      <c r="L68" s="96"/>
      <c r="M68" s="96"/>
      <c r="N68" s="171">
        <f t="shared" si="3"/>
        <v>1.822349163459375E-2</v>
      </c>
      <c r="O68" s="98">
        <f t="shared" si="46"/>
        <v>15.629066581984464</v>
      </c>
      <c r="P68" s="96">
        <f t="shared" si="5"/>
        <v>1.8925499107287642E-2</v>
      </c>
      <c r="Q68" s="96"/>
      <c r="R68" s="97">
        <f t="shared" si="7"/>
        <v>0</v>
      </c>
      <c r="S68" s="99">
        <f t="shared" si="8"/>
        <v>0</v>
      </c>
      <c r="T68" s="95" t="e">
        <f t="shared" si="9"/>
        <v>#DIV/0!</v>
      </c>
    </row>
    <row r="69" spans="1:20" s="100" customFormat="1" ht="11.25" customHeight="1" x14ac:dyDescent="0.2">
      <c r="A69" s="102">
        <v>61</v>
      </c>
      <c r="B69" s="102" t="s">
        <v>107</v>
      </c>
      <c r="C69" s="114">
        <v>6.17</v>
      </c>
      <c r="D69" s="165">
        <f t="shared" si="45"/>
        <v>0.12559999999999949</v>
      </c>
      <c r="E69" s="144" t="s">
        <v>73</v>
      </c>
      <c r="F69" s="103">
        <v>0.39468825000000002</v>
      </c>
      <c r="G69" s="114">
        <v>-21.639206841247958</v>
      </c>
      <c r="H69" s="123">
        <f t="shared" si="10"/>
        <v>-25.84741222987747</v>
      </c>
      <c r="I69" s="95" t="e">
        <f t="shared" si="0"/>
        <v>#VALUE!</v>
      </c>
      <c r="J69" s="96">
        <f t="shared" si="1"/>
        <v>6.3968922204213949E-2</v>
      </c>
      <c r="K69" s="96"/>
      <c r="L69" s="96"/>
      <c r="M69" s="96"/>
      <c r="N69" s="171">
        <f t="shared" si="3"/>
        <v>2.6176119428250003E-2</v>
      </c>
      <c r="O69" s="98">
        <f t="shared" si="46"/>
        <v>20.840859417396583</v>
      </c>
      <c r="P69" s="96">
        <f t="shared" si="5"/>
        <v>2.0356564019448863E-2</v>
      </c>
      <c r="Q69" s="96"/>
      <c r="R69" s="97">
        <f t="shared" si="7"/>
        <v>0</v>
      </c>
      <c r="S69" s="99">
        <f t="shared" si="8"/>
        <v>0</v>
      </c>
      <c r="T69" s="95" t="e">
        <f t="shared" si="9"/>
        <v>#DIV/0!</v>
      </c>
    </row>
    <row r="70" spans="1:20" s="100" customFormat="1" ht="11.25" customHeight="1" x14ac:dyDescent="0.2">
      <c r="A70" s="115">
        <v>62</v>
      </c>
      <c r="B70" s="115" t="s">
        <v>108</v>
      </c>
      <c r="C70" s="116">
        <v>6.218</v>
      </c>
      <c r="D70" s="165">
        <f t="shared" si="45"/>
        <v>0.17359999999999953</v>
      </c>
      <c r="E70" s="145" t="s">
        <v>73</v>
      </c>
      <c r="F70" s="116">
        <v>0.25411826562500001</v>
      </c>
      <c r="G70" s="116">
        <v>-23.941139796264519</v>
      </c>
      <c r="H70" s="123">
        <f t="shared" si="10"/>
        <v>-28.149345184894031</v>
      </c>
      <c r="I70" s="95" t="e">
        <f t="shared" si="0"/>
        <v>#VALUE!</v>
      </c>
      <c r="J70" s="96">
        <f t="shared" si="1"/>
        <v>4.0868167517690575E-2</v>
      </c>
      <c r="K70" s="96"/>
      <c r="L70" s="96"/>
      <c r="M70" s="96"/>
      <c r="N70" s="171">
        <f t="shared" si="3"/>
        <v>1.6853377494515626E-2</v>
      </c>
      <c r="O70" s="98">
        <f t="shared" si="46"/>
        <v>9.7081667595136345</v>
      </c>
      <c r="P70" s="96">
        <f t="shared" si="5"/>
        <v>2.791894499839169E-2</v>
      </c>
      <c r="Q70" s="96"/>
      <c r="R70" s="97">
        <f t="shared" si="7"/>
        <v>0</v>
      </c>
      <c r="S70" s="99">
        <f t="shared" si="8"/>
        <v>0</v>
      </c>
      <c r="T70" s="95" t="e">
        <f t="shared" si="9"/>
        <v>#DIV/0!</v>
      </c>
    </row>
    <row r="71" spans="1:20" s="100" customFormat="1" ht="11.25" customHeight="1" x14ac:dyDescent="0.2">
      <c r="A71" s="102">
        <v>63</v>
      </c>
      <c r="B71" s="102" t="s">
        <v>109</v>
      </c>
      <c r="C71" s="114">
        <v>6.2460000000000004</v>
      </c>
      <c r="D71" s="165">
        <f t="shared" si="45"/>
        <v>0.2016</v>
      </c>
      <c r="E71" s="144" t="s">
        <v>73</v>
      </c>
      <c r="F71" s="103">
        <v>0.22573460937500001</v>
      </c>
      <c r="G71" s="114">
        <v>-24.200793345436796</v>
      </c>
      <c r="H71" s="123">
        <f t="shared" si="10"/>
        <v>-28.408998734066309</v>
      </c>
      <c r="I71" s="95" t="e">
        <f t="shared" si="0"/>
        <v>#VALUE!</v>
      </c>
      <c r="J71" s="96">
        <f t="shared" si="1"/>
        <v>3.6140667527217417E-2</v>
      </c>
      <c r="K71" s="96"/>
      <c r="L71" s="96"/>
      <c r="M71" s="96"/>
      <c r="N71" s="171">
        <f t="shared" si="3"/>
        <v>1.4970945028359377E-2</v>
      </c>
      <c r="O71" s="98">
        <f t="shared" si="46"/>
        <v>7.4260640021623887</v>
      </c>
      <c r="P71" s="96">
        <f t="shared" si="5"/>
        <v>3.2276657060518729E-2</v>
      </c>
      <c r="Q71" s="96"/>
      <c r="R71" s="97">
        <f t="shared" si="7"/>
        <v>0</v>
      </c>
      <c r="S71" s="99">
        <f t="shared" si="8"/>
        <v>0</v>
      </c>
      <c r="T71" s="95" t="e">
        <f t="shared" si="9"/>
        <v>#DIV/0!</v>
      </c>
    </row>
    <row r="72" spans="1:20" s="100" customFormat="1" ht="11.25" customHeight="1" x14ac:dyDescent="0.2">
      <c r="A72" s="115">
        <v>64</v>
      </c>
      <c r="B72" s="115" t="s">
        <v>110</v>
      </c>
      <c r="C72" s="116">
        <v>6.0170000000000003</v>
      </c>
      <c r="D72" s="165">
        <f t="shared" si="45"/>
        <v>-2.7400000000000091E-2</v>
      </c>
      <c r="E72" s="145" t="s">
        <v>73</v>
      </c>
      <c r="F72" s="116">
        <v>0.19942431250000001</v>
      </c>
      <c r="G72" s="116">
        <v>-23.521653576350104</v>
      </c>
      <c r="H72" s="123">
        <f t="shared" si="10"/>
        <v>-27.729858964979616</v>
      </c>
      <c r="I72" s="95" t="e">
        <f t="shared" si="0"/>
        <v>#VALUE!</v>
      </c>
      <c r="J72" s="96">
        <f t="shared" si="1"/>
        <v>3.3143478893136111E-2</v>
      </c>
      <c r="K72" s="96"/>
      <c r="L72" s="96"/>
      <c r="M72" s="96"/>
      <c r="N72" s="171">
        <f t="shared" ref="N72" si="47">F72*$B$28+$D$28</f>
        <v>1.3226019829312501E-2</v>
      </c>
      <c r="O72" s="98">
        <f t="shared" si="46"/>
        <v>-48.270145362454222</v>
      </c>
      <c r="P72" s="96">
        <f t="shared" ref="P72" si="48">D72/C72</f>
        <v>-4.5537643343859218E-3</v>
      </c>
      <c r="Q72" s="96"/>
      <c r="R72" s="97">
        <f t="shared" si="7"/>
        <v>0</v>
      </c>
      <c r="S72" s="99">
        <f t="shared" si="8"/>
        <v>0</v>
      </c>
      <c r="T72" s="95" t="e">
        <f t="shared" si="9"/>
        <v>#DIV/0!</v>
      </c>
    </row>
    <row r="73" spans="1:20" s="100" customFormat="1" ht="11.25" customHeight="1" x14ac:dyDescent="0.2">
      <c r="A73" s="102">
        <v>65</v>
      </c>
      <c r="B73" s="102" t="s">
        <v>111</v>
      </c>
      <c r="C73" s="114">
        <v>6.4359999999999999</v>
      </c>
      <c r="D73" s="165">
        <f t="shared" si="45"/>
        <v>0.3915999999999995</v>
      </c>
      <c r="E73" s="144" t="s">
        <v>73</v>
      </c>
      <c r="F73" s="103">
        <v>0.41919006250000002</v>
      </c>
      <c r="G73" s="114">
        <v>-25.776483945480475</v>
      </c>
      <c r="H73" s="123">
        <f t="shared" si="10"/>
        <v>-29.984689334109987</v>
      </c>
      <c r="I73" s="95" t="e">
        <f t="shared" si="0"/>
        <v>#VALUE!</v>
      </c>
      <c r="J73" s="96">
        <f t="shared" si="1"/>
        <v>6.5132079319453084E-2</v>
      </c>
      <c r="K73" s="96"/>
      <c r="L73" s="96"/>
      <c r="M73" s="96"/>
      <c r="N73" s="171">
        <f t="shared" si="3"/>
        <v>2.7801104135062503E-2</v>
      </c>
      <c r="O73" s="98">
        <f t="shared" si="46"/>
        <v>7.0993626494031004</v>
      </c>
      <c r="P73" s="96">
        <f t="shared" si="5"/>
        <v>6.0845245494095632E-2</v>
      </c>
      <c r="Q73" s="96"/>
      <c r="R73" s="97">
        <f t="shared" si="7"/>
        <v>0</v>
      </c>
      <c r="S73" s="99">
        <f t="shared" si="8"/>
        <v>0</v>
      </c>
      <c r="T73" s="95" t="e">
        <f t="shared" si="9"/>
        <v>#DIV/0!</v>
      </c>
    </row>
    <row r="74" spans="1:20" s="100" customFormat="1" ht="11.25" customHeight="1" x14ac:dyDescent="0.2">
      <c r="A74" s="102">
        <v>66</v>
      </c>
      <c r="B74" s="102" t="s">
        <v>112</v>
      </c>
      <c r="C74" s="103">
        <v>5.8019999999999996</v>
      </c>
      <c r="D74" s="165">
        <f t="shared" si="45"/>
        <v>-0.24240000000000084</v>
      </c>
      <c r="E74" s="148" t="s">
        <v>73</v>
      </c>
      <c r="F74" s="103">
        <v>0.35754681249999998</v>
      </c>
      <c r="G74" s="103">
        <v>-25.441088657082048</v>
      </c>
      <c r="H74" s="123">
        <f t="shared" si="10"/>
        <v>-29.64929404571156</v>
      </c>
      <c r="I74" s="95" t="e">
        <f t="shared" si="0"/>
        <v>#VALUE!</v>
      </c>
      <c r="J74" s="96">
        <f t="shared" si="1"/>
        <v>6.1624752240606685E-2</v>
      </c>
      <c r="K74" s="96"/>
      <c r="L74" s="96"/>
      <c r="M74" s="96"/>
      <c r="N74" s="171">
        <f t="shared" ref="N74" si="49">F74*$B$28+$D$28</f>
        <v>2.3712862151812501E-2</v>
      </c>
      <c r="O74" s="98">
        <f t="shared" si="46"/>
        <v>-9.7825338910117239</v>
      </c>
      <c r="P74" s="96">
        <f t="shared" ref="P74" si="50">D74/C74</f>
        <v>-4.1778697001034273E-2</v>
      </c>
      <c r="Q74" s="96"/>
      <c r="R74" s="97">
        <f t="shared" si="7"/>
        <v>0</v>
      </c>
      <c r="S74" s="99">
        <f t="shared" si="8"/>
        <v>0</v>
      </c>
      <c r="T74" s="95" t="e">
        <f t="shared" si="9"/>
        <v>#DIV/0!</v>
      </c>
    </row>
    <row r="75" spans="1:20" s="100" customFormat="1" ht="11.25" customHeight="1" x14ac:dyDescent="0.2">
      <c r="A75" s="102">
        <v>67</v>
      </c>
      <c r="B75" s="102" t="s">
        <v>113</v>
      </c>
      <c r="C75" s="114">
        <v>6.0789999999999997</v>
      </c>
      <c r="D75" s="165">
        <f t="shared" si="45"/>
        <v>3.4599999999999298E-2</v>
      </c>
      <c r="E75" s="144" t="s">
        <v>73</v>
      </c>
      <c r="F75" s="103">
        <v>0.33316343749999999</v>
      </c>
      <c r="G75" s="114">
        <v>-25.243500692679351</v>
      </c>
      <c r="H75" s="123">
        <f t="shared" ref="H75:H80" si="51">$B$26*G75+$D$26</f>
        <v>-29.451706081308863</v>
      </c>
      <c r="I75" s="95" t="e">
        <f t="shared" ref="I75:I80" si="52">$B$27*E75+$D$27</f>
        <v>#VALUE!</v>
      </c>
      <c r="J75" s="96">
        <f t="shared" ref="J75:J80" si="53">(F75)/C75</f>
        <v>5.4805632094094427E-2</v>
      </c>
      <c r="K75" s="96"/>
      <c r="L75" s="96"/>
      <c r="M75" s="96"/>
      <c r="N75" s="171">
        <f t="shared" ref="N75:N80" si="54">F75*$B$28+$D$28</f>
        <v>2.20957323384375E-2</v>
      </c>
      <c r="O75" s="98">
        <f t="shared" si="46"/>
        <v>63.860498087970953</v>
      </c>
      <c r="P75" s="96">
        <f t="shared" ref="P75:P80" si="55">D75/C75</f>
        <v>5.6917256127651424E-3</v>
      </c>
      <c r="Q75" s="96"/>
      <c r="R75" s="97">
        <f t="shared" ref="R75:R80" si="56">D75*$B$29+$D$29</f>
        <v>0</v>
      </c>
      <c r="S75" s="99">
        <f t="shared" ref="S75:S80" si="57">R75/C75*100</f>
        <v>0</v>
      </c>
      <c r="T75" s="95" t="e">
        <f t="shared" ref="T75:T80" si="58">N75/R75</f>
        <v>#DIV/0!</v>
      </c>
    </row>
    <row r="76" spans="1:20" s="100" customFormat="1" ht="11.25" customHeight="1" x14ac:dyDescent="0.2">
      <c r="A76" s="115">
        <v>68</v>
      </c>
      <c r="B76" s="115" t="s">
        <v>114</v>
      </c>
      <c r="C76" s="116">
        <v>6.157</v>
      </c>
      <c r="D76" s="165">
        <f t="shared" si="45"/>
        <v>0.11259999999999959</v>
      </c>
      <c r="E76" s="145" t="s">
        <v>73</v>
      </c>
      <c r="F76" s="116">
        <v>0.1115143984375</v>
      </c>
      <c r="G76" s="116">
        <v>-26.834767033922478</v>
      </c>
      <c r="H76" s="123">
        <f t="shared" si="51"/>
        <v>-31.042972422551991</v>
      </c>
      <c r="I76" s="95" t="e">
        <f t="shared" si="52"/>
        <v>#VALUE!</v>
      </c>
      <c r="J76" s="96">
        <f t="shared" si="53"/>
        <v>1.8111807444778302E-2</v>
      </c>
      <c r="K76" s="96"/>
      <c r="L76" s="96"/>
      <c r="M76" s="96"/>
      <c r="N76" s="171">
        <f t="shared" si="54"/>
        <v>7.3957464187734377E-3</v>
      </c>
      <c r="O76" s="98">
        <f t="shared" si="46"/>
        <v>6.5681584536176425</v>
      </c>
      <c r="P76" s="96">
        <f t="shared" si="55"/>
        <v>1.8288127334740879E-2</v>
      </c>
      <c r="Q76" s="96"/>
      <c r="R76" s="97">
        <f t="shared" si="56"/>
        <v>0</v>
      </c>
      <c r="S76" s="99">
        <f t="shared" si="57"/>
        <v>0</v>
      </c>
      <c r="T76" s="95" t="e">
        <f t="shared" si="58"/>
        <v>#DIV/0!</v>
      </c>
    </row>
    <row r="77" spans="1:20" s="100" customFormat="1" ht="11.25" customHeight="1" x14ac:dyDescent="0.2">
      <c r="A77" s="102">
        <v>69</v>
      </c>
      <c r="B77" s="102" t="s">
        <v>115</v>
      </c>
      <c r="C77" s="114">
        <v>6.29</v>
      </c>
      <c r="D77" s="165">
        <f t="shared" si="45"/>
        <v>0.2455999999999996</v>
      </c>
      <c r="E77" s="144" t="s">
        <v>73</v>
      </c>
      <c r="F77" s="103">
        <v>0.15364295312500001</v>
      </c>
      <c r="G77" s="114">
        <v>-25.155054941051773</v>
      </c>
      <c r="H77" s="123">
        <f t="shared" si="51"/>
        <v>-29.363260329681285</v>
      </c>
      <c r="I77" s="95" t="e">
        <f t="shared" si="52"/>
        <v>#VALUE!</v>
      </c>
      <c r="J77" s="96">
        <f t="shared" si="53"/>
        <v>2.442654262718601E-2</v>
      </c>
      <c r="K77" s="96"/>
      <c r="L77" s="96"/>
      <c r="M77" s="96"/>
      <c r="N77" s="171">
        <f t="shared" si="54"/>
        <v>1.0189754294203126E-2</v>
      </c>
      <c r="O77" s="98">
        <f t="shared" si="46"/>
        <v>4.1489227582260355</v>
      </c>
      <c r="P77" s="96">
        <f t="shared" si="55"/>
        <v>3.9046104928457802E-2</v>
      </c>
      <c r="Q77" s="96"/>
      <c r="R77" s="97">
        <f t="shared" si="56"/>
        <v>0</v>
      </c>
      <c r="S77" s="99">
        <f t="shared" si="57"/>
        <v>0</v>
      </c>
      <c r="T77" s="95" t="e">
        <f t="shared" si="58"/>
        <v>#DIV/0!</v>
      </c>
    </row>
    <row r="78" spans="1:20" s="100" customFormat="1" ht="11.25" customHeight="1" x14ac:dyDescent="0.2">
      <c r="A78" s="102">
        <v>70</v>
      </c>
      <c r="B78" s="102" t="s">
        <v>116</v>
      </c>
      <c r="C78" s="103">
        <v>6.2329999999999997</v>
      </c>
      <c r="D78" s="165">
        <f t="shared" si="45"/>
        <v>0.18859999999999921</v>
      </c>
      <c r="E78" s="148" t="s">
        <v>73</v>
      </c>
      <c r="F78" s="103">
        <v>0.11693025781249999</v>
      </c>
      <c r="G78" s="103">
        <v>-26.378869376798928</v>
      </c>
      <c r="H78" s="123">
        <f t="shared" si="51"/>
        <v>-30.58707476542844</v>
      </c>
      <c r="I78" s="95" t="e">
        <f t="shared" si="52"/>
        <v>#VALUE!</v>
      </c>
      <c r="J78" s="96">
        <f t="shared" si="53"/>
        <v>1.8759868091208085E-2</v>
      </c>
      <c r="K78" s="96"/>
      <c r="L78" s="96"/>
      <c r="M78" s="96"/>
      <c r="N78" s="171">
        <f t="shared" si="54"/>
        <v>7.7549316283828124E-3</v>
      </c>
      <c r="O78" s="98">
        <f t="shared" si="46"/>
        <v>4.1118407361520912</v>
      </c>
      <c r="P78" s="96">
        <f t="shared" si="55"/>
        <v>3.0258302583025705E-2</v>
      </c>
      <c r="Q78" s="96"/>
      <c r="R78" s="97">
        <f t="shared" si="56"/>
        <v>0</v>
      </c>
      <c r="S78" s="99">
        <f t="shared" si="57"/>
        <v>0</v>
      </c>
      <c r="T78" s="95" t="e">
        <f t="shared" si="58"/>
        <v>#DIV/0!</v>
      </c>
    </row>
    <row r="79" spans="1:20" s="109" customFormat="1" ht="11.25" customHeight="1" x14ac:dyDescent="0.2">
      <c r="A79" s="127">
        <v>71</v>
      </c>
      <c r="B79" s="127" t="s">
        <v>72</v>
      </c>
      <c r="C79" s="128">
        <v>1.9139999999999999</v>
      </c>
      <c r="E79" s="147" t="s">
        <v>73</v>
      </c>
      <c r="F79" s="128">
        <v>12.889695</v>
      </c>
      <c r="G79" s="128">
        <v>-21.571157701579718</v>
      </c>
      <c r="H79" s="122">
        <f t="shared" si="51"/>
        <v>-25.77936309020923</v>
      </c>
      <c r="I79" s="105" t="e">
        <f t="shared" si="52"/>
        <v>#VALUE!</v>
      </c>
      <c r="J79" s="106">
        <f t="shared" si="53"/>
        <v>6.7344278996865201</v>
      </c>
      <c r="K79" s="106">
        <f t="shared" ref="K79" si="59">H$14</f>
        <v>44.65</v>
      </c>
      <c r="L79" s="106">
        <f t="shared" ref="L79" si="60">I$14</f>
        <v>2.83</v>
      </c>
      <c r="M79" s="106">
        <f t="shared" ref="M79:M80" si="61">C79*(K79/100)</f>
        <v>0.85460099999999994</v>
      </c>
      <c r="N79" s="169">
        <f t="shared" si="54"/>
        <v>0.85485746209500002</v>
      </c>
      <c r="O79" s="110">
        <f t="shared" ref="O79:O80" si="62">N79/C79*100</f>
        <v>44.663399273510976</v>
      </c>
      <c r="P79" s="106">
        <f t="shared" si="55"/>
        <v>0</v>
      </c>
      <c r="Q79" s="106">
        <f t="shared" ref="Q79" si="63">C79*(L79/100)</f>
        <v>5.4166200000000005E-2</v>
      </c>
      <c r="R79" s="107">
        <f t="shared" si="56"/>
        <v>0</v>
      </c>
      <c r="S79" s="108">
        <f t="shared" si="57"/>
        <v>0</v>
      </c>
      <c r="T79" s="105" t="e">
        <f t="shared" si="58"/>
        <v>#DIV/0!</v>
      </c>
    </row>
    <row r="80" spans="1:20" s="151" customFormat="1" ht="11.25" customHeight="1" x14ac:dyDescent="0.2">
      <c r="A80" s="159">
        <v>72</v>
      </c>
      <c r="B80" s="159" t="s">
        <v>117</v>
      </c>
      <c r="C80" s="160">
        <v>2.6429999999999998</v>
      </c>
      <c r="E80" s="161" t="s">
        <v>73</v>
      </c>
      <c r="F80" s="160">
        <v>1.2695743749999999</v>
      </c>
      <c r="G80" s="160">
        <v>-15.225321009404269</v>
      </c>
      <c r="H80" s="153">
        <f t="shared" si="51"/>
        <v>-19.433526398033781</v>
      </c>
      <c r="I80" s="154" t="e">
        <f t="shared" si="52"/>
        <v>#VALUE!</v>
      </c>
      <c r="J80" s="155">
        <f t="shared" si="53"/>
        <v>0.48035352818766552</v>
      </c>
      <c r="K80" s="155">
        <f>$H$13</f>
        <v>3.3479999999999999</v>
      </c>
      <c r="L80" s="155"/>
      <c r="M80" s="155">
        <f t="shared" si="61"/>
        <v>8.8487639999999979E-2</v>
      </c>
      <c r="N80" s="170">
        <f t="shared" si="54"/>
        <v>8.4199442124374996E-2</v>
      </c>
      <c r="O80" s="157">
        <f t="shared" si="62"/>
        <v>3.1857526342934164</v>
      </c>
      <c r="P80" s="155">
        <f t="shared" si="55"/>
        <v>0</v>
      </c>
      <c r="Q80" s="155"/>
      <c r="R80" s="156">
        <f t="shared" si="56"/>
        <v>0</v>
      </c>
      <c r="S80" s="158">
        <f t="shared" si="57"/>
        <v>0</v>
      </c>
      <c r="T80" s="154" t="e">
        <f t="shared" si="58"/>
        <v>#DIV/0!</v>
      </c>
    </row>
    <row r="81" spans="1:28" s="100" customFormat="1" ht="11.25" customHeight="1" x14ac:dyDescent="0.2">
      <c r="A81" s="129"/>
      <c r="B81" s="129"/>
      <c r="C81" s="120"/>
      <c r="D81" s="139"/>
      <c r="E81" s="1"/>
      <c r="F81" s="104"/>
      <c r="G81" s="120"/>
      <c r="H81" s="123"/>
      <c r="I81" s="95"/>
      <c r="J81" s="96"/>
      <c r="K81" s="96"/>
      <c r="L81" s="96"/>
      <c r="M81" s="96"/>
      <c r="N81" s="97"/>
      <c r="O81" s="98"/>
      <c r="P81" s="96"/>
      <c r="Q81" s="96"/>
      <c r="R81" s="97"/>
      <c r="S81" s="99"/>
      <c r="T81" s="95"/>
    </row>
    <row r="82" spans="1:28" s="100" customFormat="1" ht="11.25" customHeight="1" x14ac:dyDescent="0.2">
      <c r="A82" s="102"/>
      <c r="B82" s="102"/>
      <c r="C82" s="103"/>
      <c r="D82" s="103"/>
      <c r="E82" s="103"/>
      <c r="H82" s="123"/>
      <c r="I82" s="95"/>
      <c r="J82" s="96"/>
      <c r="M82" s="96"/>
      <c r="N82" s="97"/>
      <c r="O82" s="98"/>
      <c r="P82" s="96"/>
      <c r="Q82" s="96"/>
      <c r="R82" s="97"/>
      <c r="S82" s="99"/>
      <c r="T82" s="95"/>
    </row>
    <row r="83" spans="1:28" ht="11.25" customHeight="1" x14ac:dyDescent="0.2">
      <c r="A83" s="129"/>
      <c r="B83" s="129"/>
      <c r="C83" s="120"/>
      <c r="D83" s="104"/>
      <c r="E83" s="120"/>
      <c r="F83" s="114"/>
      <c r="V83" s="1"/>
      <c r="W83" s="1"/>
      <c r="X83" s="1"/>
      <c r="Y83" s="1"/>
      <c r="Z83" s="1"/>
      <c r="AA83" s="1"/>
      <c r="AB83" s="1"/>
    </row>
    <row r="84" spans="1:28" ht="11.25" customHeight="1" x14ac:dyDescent="0.25">
      <c r="A84" s="1" t="s">
        <v>71</v>
      </c>
      <c r="H84" s="123">
        <f>STDEV(H86:H90,H92,H94,H96)</f>
        <v>9.9723127373485779E-2</v>
      </c>
      <c r="I84" s="123" t="e">
        <f>STDEV(I86:I95)</f>
        <v>#VALUE!</v>
      </c>
      <c r="J84" s="96"/>
      <c r="K84" s="1"/>
      <c r="L84" s="1"/>
      <c r="M84" s="96"/>
      <c r="N84" s="97"/>
      <c r="O84" s="123">
        <f>STDEV(O86:O90,O92,O94,O96)</f>
        <v>0.39562094571688677</v>
      </c>
      <c r="P84" s="96"/>
      <c r="Q84" s="96"/>
      <c r="R84" s="97"/>
      <c r="S84" s="123">
        <f>STDEV(S86:S95)</f>
        <v>0</v>
      </c>
      <c r="T84" s="123" t="e">
        <f>STDEV(T86:T95)</f>
        <v>#DIV/0!</v>
      </c>
    </row>
    <row r="85" spans="1:28" ht="11.25" customHeight="1" x14ac:dyDescent="0.25">
      <c r="H85" s="124"/>
      <c r="I85" s="124"/>
      <c r="J85"/>
      <c r="K85" s="1"/>
      <c r="L85" s="1"/>
      <c r="M85" s="1"/>
      <c r="N85" s="1"/>
      <c r="O85" s="124"/>
      <c r="P85" s="1"/>
      <c r="Q85" s="1"/>
      <c r="S85" s="124"/>
      <c r="T85" s="124"/>
      <c r="V85" s="1"/>
      <c r="W85" s="1"/>
      <c r="X85" s="1"/>
      <c r="Y85" s="1"/>
      <c r="Z85" s="1"/>
      <c r="AA85" s="1"/>
      <c r="AB85" s="1"/>
    </row>
    <row r="86" spans="1:28" s="109" customFormat="1" ht="11.25" customHeight="1" x14ac:dyDescent="0.2">
      <c r="A86" s="127">
        <v>25</v>
      </c>
      <c r="B86" s="127" t="s">
        <v>55</v>
      </c>
      <c r="C86" s="128">
        <v>1.3839999999999999</v>
      </c>
      <c r="E86" s="147" t="s">
        <v>73</v>
      </c>
      <c r="F86" s="128">
        <v>9.38246</v>
      </c>
      <c r="G86" s="128">
        <v>-21.82922561361071</v>
      </c>
      <c r="H86" s="122">
        <f>$B$26*G86+$D$26</f>
        <v>-26.037431002240222</v>
      </c>
      <c r="I86" s="105" t="e">
        <f t="shared" ref="I86:I92" si="64">$B$27*E86+$D$27</f>
        <v>#VALUE!</v>
      </c>
      <c r="J86" s="106">
        <f t="shared" ref="J86:J92" si="65">(F86)/C86</f>
        <v>6.7792341040462434</v>
      </c>
      <c r="K86" s="106">
        <f>H$14</f>
        <v>44.65</v>
      </c>
      <c r="L86" s="106">
        <f>I$14</f>
        <v>2.83</v>
      </c>
      <c r="M86" s="106">
        <f t="shared" ref="M86:M97" si="66">C86*(K86/100)</f>
        <v>0.61795599999999995</v>
      </c>
      <c r="N86" s="107">
        <f t="shared" ref="N86:N97" si="67">F86*$B$28+$D$28</f>
        <v>0.62225412966000004</v>
      </c>
      <c r="O86" s="110">
        <f t="shared" ref="O86:O92" si="68">N86/C86*100</f>
        <v>44.960558501445092</v>
      </c>
      <c r="P86" s="106">
        <f t="shared" ref="P86:P92" si="69">D86/C86</f>
        <v>0</v>
      </c>
      <c r="Q86" s="106">
        <f t="shared" ref="Q86:Q90" si="70">C86*(L86/100)</f>
        <v>3.9167199999999999E-2</v>
      </c>
      <c r="R86" s="107">
        <f t="shared" ref="R86:R92" si="71">D86*$B$29+$D$29</f>
        <v>0</v>
      </c>
      <c r="S86" s="108">
        <f t="shared" ref="S86:S92" si="72">R86/C86*100</f>
        <v>0</v>
      </c>
      <c r="T86" s="105" t="e">
        <f t="shared" ref="T86:T92" si="73">N86/R86</f>
        <v>#DIV/0!</v>
      </c>
    </row>
    <row r="87" spans="1:28" s="109" customFormat="1" ht="11.25" customHeight="1" x14ac:dyDescent="0.2">
      <c r="A87" s="127">
        <v>26</v>
      </c>
      <c r="B87" s="127" t="s">
        <v>56</v>
      </c>
      <c r="C87" s="128">
        <v>1.71</v>
      </c>
      <c r="E87" s="147" t="s">
        <v>73</v>
      </c>
      <c r="F87" s="128">
        <v>11.394083</v>
      </c>
      <c r="G87" s="128">
        <v>-21.745456666855585</v>
      </c>
      <c r="H87" s="122">
        <f t="shared" ref="H87:H92" si="74">$B$26*G87+$D$26</f>
        <v>-25.953662055485097</v>
      </c>
      <c r="I87" s="105" t="e">
        <f t="shared" si="64"/>
        <v>#VALUE!</v>
      </c>
      <c r="J87" s="106">
        <f t="shared" si="65"/>
        <v>6.6632064327485381</v>
      </c>
      <c r="K87" s="106">
        <f t="shared" ref="K87:K90" si="75">H$14</f>
        <v>44.65</v>
      </c>
      <c r="L87" s="106">
        <f t="shared" ref="L87:L90" si="76">I$14</f>
        <v>2.83</v>
      </c>
      <c r="M87" s="106">
        <f t="shared" si="66"/>
        <v>0.76351499999999994</v>
      </c>
      <c r="N87" s="107">
        <f t="shared" si="67"/>
        <v>0.75566697864300003</v>
      </c>
      <c r="O87" s="110">
        <f t="shared" si="68"/>
        <v>44.191051382631578</v>
      </c>
      <c r="P87" s="106">
        <f t="shared" si="69"/>
        <v>0</v>
      </c>
      <c r="Q87" s="106">
        <f t="shared" si="70"/>
        <v>4.8393000000000005E-2</v>
      </c>
      <c r="R87" s="107">
        <f t="shared" si="71"/>
        <v>0</v>
      </c>
      <c r="S87" s="108">
        <f t="shared" si="72"/>
        <v>0</v>
      </c>
      <c r="T87" s="105" t="e">
        <f t="shared" si="73"/>
        <v>#DIV/0!</v>
      </c>
    </row>
    <row r="88" spans="1:28" s="109" customFormat="1" ht="11.25" customHeight="1" x14ac:dyDescent="0.2">
      <c r="A88" s="127">
        <v>27</v>
      </c>
      <c r="B88" s="127" t="s">
        <v>57</v>
      </c>
      <c r="C88" s="128">
        <v>1.5529999999999999</v>
      </c>
      <c r="E88" s="147" t="s">
        <v>73</v>
      </c>
      <c r="F88" s="128">
        <v>10.426011000000001</v>
      </c>
      <c r="G88" s="128">
        <v>-21.863061157962463</v>
      </c>
      <c r="H88" s="122">
        <f t="shared" si="74"/>
        <v>-26.071266546591975</v>
      </c>
      <c r="I88" s="105" t="e">
        <f t="shared" si="64"/>
        <v>#VALUE!</v>
      </c>
      <c r="J88" s="106">
        <f t="shared" si="65"/>
        <v>6.7134649066323258</v>
      </c>
      <c r="K88" s="106">
        <f t="shared" si="75"/>
        <v>44.65</v>
      </c>
      <c r="L88" s="106">
        <f t="shared" si="76"/>
        <v>2.83</v>
      </c>
      <c r="M88" s="106">
        <f t="shared" si="66"/>
        <v>0.69341449999999993</v>
      </c>
      <c r="N88" s="107">
        <f t="shared" si="67"/>
        <v>0.69146347553100007</v>
      </c>
      <c r="O88" s="110">
        <f t="shared" si="68"/>
        <v>44.524370607276246</v>
      </c>
      <c r="P88" s="106">
        <f t="shared" si="69"/>
        <v>0</v>
      </c>
      <c r="Q88" s="106">
        <f t="shared" si="70"/>
        <v>4.39499E-2</v>
      </c>
      <c r="R88" s="107">
        <f t="shared" si="71"/>
        <v>0</v>
      </c>
      <c r="S88" s="108">
        <f t="shared" si="72"/>
        <v>0</v>
      </c>
      <c r="T88" s="105" t="e">
        <f t="shared" si="73"/>
        <v>#DIV/0!</v>
      </c>
    </row>
    <row r="89" spans="1:28" s="109" customFormat="1" ht="11.25" customHeight="1" x14ac:dyDescent="0.2">
      <c r="A89" s="127">
        <v>28</v>
      </c>
      <c r="B89" s="127" t="s">
        <v>58</v>
      </c>
      <c r="C89" s="128">
        <v>1.022</v>
      </c>
      <c r="E89" s="147" t="s">
        <v>73</v>
      </c>
      <c r="F89" s="128">
        <v>6.9432345</v>
      </c>
      <c r="G89" s="128">
        <v>-21.740993554307469</v>
      </c>
      <c r="H89" s="122">
        <f t="shared" si="74"/>
        <v>-25.949198942936981</v>
      </c>
      <c r="I89" s="105" t="e">
        <f t="shared" si="64"/>
        <v>#VALUE!</v>
      </c>
      <c r="J89" s="106">
        <f t="shared" si="65"/>
        <v>6.7937715264187863</v>
      </c>
      <c r="K89" s="106">
        <f t="shared" si="75"/>
        <v>44.65</v>
      </c>
      <c r="L89" s="106">
        <f t="shared" si="76"/>
        <v>2.83</v>
      </c>
      <c r="M89" s="106">
        <f t="shared" si="66"/>
        <v>0.45632300000000003</v>
      </c>
      <c r="N89" s="107">
        <f t="shared" si="67"/>
        <v>0.46048225527450004</v>
      </c>
      <c r="O89" s="110">
        <f t="shared" si="68"/>
        <v>45.056972140362042</v>
      </c>
      <c r="P89" s="106">
        <f t="shared" si="69"/>
        <v>0</v>
      </c>
      <c r="Q89" s="106">
        <f t="shared" si="70"/>
        <v>2.8922600000000003E-2</v>
      </c>
      <c r="R89" s="107">
        <f t="shared" si="71"/>
        <v>0</v>
      </c>
      <c r="S89" s="108">
        <f t="shared" si="72"/>
        <v>0</v>
      </c>
      <c r="T89" s="105" t="e">
        <f t="shared" si="73"/>
        <v>#DIV/0!</v>
      </c>
    </row>
    <row r="90" spans="1:28" s="109" customFormat="1" ht="11.25" customHeight="1" x14ac:dyDescent="0.2">
      <c r="A90" s="127">
        <v>29</v>
      </c>
      <c r="B90" s="127" t="s">
        <v>59</v>
      </c>
      <c r="C90" s="128">
        <v>1.254</v>
      </c>
      <c r="E90" s="147" t="s">
        <v>73</v>
      </c>
      <c r="F90" s="128">
        <v>8.4723819999999996</v>
      </c>
      <c r="G90" s="128">
        <v>-21.832526636271215</v>
      </c>
      <c r="H90" s="122">
        <f t="shared" si="74"/>
        <v>-26.040732024900727</v>
      </c>
      <c r="I90" s="105" t="e">
        <f t="shared" si="64"/>
        <v>#VALUE!</v>
      </c>
      <c r="J90" s="106">
        <f t="shared" si="65"/>
        <v>6.7562854864433808</v>
      </c>
      <c r="K90" s="106">
        <f t="shared" si="75"/>
        <v>44.65</v>
      </c>
      <c r="L90" s="106">
        <f t="shared" si="76"/>
        <v>2.83</v>
      </c>
      <c r="M90" s="106">
        <f t="shared" si="66"/>
        <v>0.55991100000000005</v>
      </c>
      <c r="N90" s="107">
        <f t="shared" si="67"/>
        <v>0.56189684662200001</v>
      </c>
      <c r="O90" s="110">
        <f t="shared" si="68"/>
        <v>44.808360974641147</v>
      </c>
      <c r="P90" s="106">
        <f t="shared" si="69"/>
        <v>0</v>
      </c>
      <c r="Q90" s="106">
        <f t="shared" si="70"/>
        <v>3.5488200000000004E-2</v>
      </c>
      <c r="R90" s="107">
        <f t="shared" si="71"/>
        <v>0</v>
      </c>
      <c r="S90" s="108">
        <f t="shared" si="72"/>
        <v>0</v>
      </c>
      <c r="T90" s="105" t="e">
        <f t="shared" si="73"/>
        <v>#DIV/0!</v>
      </c>
    </row>
    <row r="91" spans="1:28" s="151" customFormat="1" ht="11.25" customHeight="1" x14ac:dyDescent="0.2">
      <c r="A91" s="149">
        <v>30</v>
      </c>
      <c r="B91" s="149" t="s">
        <v>78</v>
      </c>
      <c r="C91" s="150">
        <v>3.2160000000000002</v>
      </c>
      <c r="E91" s="152" t="s">
        <v>73</v>
      </c>
      <c r="F91" s="150">
        <v>1.5864233750000001</v>
      </c>
      <c r="G91" s="150">
        <v>-15.561396952722093</v>
      </c>
      <c r="H91" s="153">
        <f t="shared" si="74"/>
        <v>-19.769602341351607</v>
      </c>
      <c r="I91" s="154" t="e">
        <f t="shared" si="64"/>
        <v>#VALUE!</v>
      </c>
      <c r="J91" s="155">
        <f t="shared" si="65"/>
        <v>0.49329085043532339</v>
      </c>
      <c r="K91" s="155">
        <f>$H$13</f>
        <v>3.3479999999999999</v>
      </c>
      <c r="L91" s="155"/>
      <c r="M91" s="155">
        <f t="shared" si="66"/>
        <v>0.10767167999999999</v>
      </c>
      <c r="N91" s="156">
        <f t="shared" si="67"/>
        <v>0.10521318465337501</v>
      </c>
      <c r="O91" s="157">
        <f t="shared" si="68"/>
        <v>3.2715542491721079</v>
      </c>
      <c r="P91" s="155">
        <f t="shared" si="69"/>
        <v>0</v>
      </c>
      <c r="Q91" s="155"/>
      <c r="R91" s="156">
        <f t="shared" si="71"/>
        <v>0</v>
      </c>
      <c r="S91" s="158">
        <f t="shared" si="72"/>
        <v>0</v>
      </c>
      <c r="T91" s="154" t="e">
        <f t="shared" si="73"/>
        <v>#DIV/0!</v>
      </c>
    </row>
    <row r="92" spans="1:28" s="109" customFormat="1" ht="11.25" customHeight="1" x14ac:dyDescent="0.2">
      <c r="A92" s="127">
        <v>43</v>
      </c>
      <c r="B92" s="127" t="s">
        <v>70</v>
      </c>
      <c r="C92" s="128">
        <v>0.77400000000000002</v>
      </c>
      <c r="E92" s="147" t="s">
        <v>73</v>
      </c>
      <c r="F92" s="128">
        <v>5.3125855</v>
      </c>
      <c r="G92" s="128">
        <v>-21.651133243936574</v>
      </c>
      <c r="H92" s="122">
        <f t="shared" si="74"/>
        <v>-25.859338632566086</v>
      </c>
      <c r="I92" s="105" t="e">
        <f t="shared" si="64"/>
        <v>#VALUE!</v>
      </c>
      <c r="J92" s="106">
        <f t="shared" si="65"/>
        <v>6.8638055555555555</v>
      </c>
      <c r="K92" s="106">
        <f t="shared" ref="K92" si="77">H$14</f>
        <v>44.65</v>
      </c>
      <c r="L92" s="106">
        <f t="shared" ref="L92" si="78">I$14</f>
        <v>2.83</v>
      </c>
      <c r="M92" s="106">
        <f t="shared" si="66"/>
        <v>0.34559100000000004</v>
      </c>
      <c r="N92" s="107">
        <f t="shared" si="67"/>
        <v>0.3523359829455</v>
      </c>
      <c r="O92" s="110">
        <f t="shared" si="68"/>
        <v>45.521444825000003</v>
      </c>
      <c r="P92" s="106">
        <f t="shared" si="69"/>
        <v>0</v>
      </c>
      <c r="Q92" s="106">
        <f t="shared" ref="Q92" si="79">C92*(L92/100)</f>
        <v>2.1904200000000002E-2</v>
      </c>
      <c r="R92" s="107">
        <f t="shared" si="71"/>
        <v>0</v>
      </c>
      <c r="S92" s="108">
        <f t="shared" si="72"/>
        <v>0</v>
      </c>
      <c r="T92" s="105" t="e">
        <f t="shared" si="73"/>
        <v>#DIV/0!</v>
      </c>
    </row>
    <row r="93" spans="1:28" s="151" customFormat="1" ht="11.25" customHeight="1" x14ac:dyDescent="0.2">
      <c r="A93" s="149">
        <v>44</v>
      </c>
      <c r="B93" s="149" t="s">
        <v>91</v>
      </c>
      <c r="C93" s="150">
        <v>2.37</v>
      </c>
      <c r="E93" s="152" t="s">
        <v>73</v>
      </c>
      <c r="F93" s="150">
        <v>1.1253442499999999</v>
      </c>
      <c r="G93" s="150">
        <v>-15.47686414529579</v>
      </c>
      <c r="H93" s="153">
        <f>$B$26*G93+$D$26</f>
        <v>-19.685069533925301</v>
      </c>
      <c r="I93" s="154" t="e">
        <f>$B$27*E93+$D$27</f>
        <v>#VALUE!</v>
      </c>
      <c r="J93" s="155">
        <f>(F93)/C93</f>
        <v>0.47482879746835438</v>
      </c>
      <c r="K93" s="155">
        <f>$H$13</f>
        <v>3.3479999999999999</v>
      </c>
      <c r="L93" s="155"/>
      <c r="M93" s="155">
        <f t="shared" si="66"/>
        <v>7.934759999999999E-2</v>
      </c>
      <c r="N93" s="156">
        <f t="shared" si="67"/>
        <v>7.4633956004250004E-2</v>
      </c>
      <c r="O93" s="157">
        <f>N93/C93*100</f>
        <v>3.1491120676898734</v>
      </c>
      <c r="P93" s="155">
        <f>D93/C93</f>
        <v>0</v>
      </c>
      <c r="Q93" s="155"/>
      <c r="R93" s="156">
        <f>D93*$B$29+$D$29</f>
        <v>0</v>
      </c>
      <c r="S93" s="158">
        <f>R93/C93*100</f>
        <v>0</v>
      </c>
      <c r="T93" s="154" t="e">
        <f>N93/R93</f>
        <v>#DIV/0!</v>
      </c>
    </row>
    <row r="94" spans="1:28" s="109" customFormat="1" ht="11.25" customHeight="1" x14ac:dyDescent="0.2">
      <c r="A94" s="127">
        <v>57</v>
      </c>
      <c r="B94" s="127" t="s">
        <v>60</v>
      </c>
      <c r="C94" s="128">
        <v>1.663</v>
      </c>
      <c r="E94" s="147" t="s">
        <v>73</v>
      </c>
      <c r="F94" s="128">
        <v>11.200150000000001</v>
      </c>
      <c r="G94" s="128">
        <v>-21.700802316440157</v>
      </c>
      <c r="H94" s="122">
        <f t="shared" ref="H94:H97" si="80">$B$26*G94+$D$26</f>
        <v>-25.909007705069669</v>
      </c>
      <c r="I94" s="105" t="e">
        <f t="shared" ref="I94:I97" si="81">$B$27*E94+$D$27</f>
        <v>#VALUE!</v>
      </c>
      <c r="J94" s="106">
        <f t="shared" ref="J94:J97" si="82">(F94)/C94</f>
        <v>6.7349067949488877</v>
      </c>
      <c r="K94" s="106">
        <f t="shared" ref="K94" si="83">H$14</f>
        <v>44.65</v>
      </c>
      <c r="L94" s="106">
        <f t="shared" ref="L94" si="84">I$14</f>
        <v>2.83</v>
      </c>
      <c r="M94" s="106">
        <f t="shared" si="66"/>
        <v>0.74252950000000006</v>
      </c>
      <c r="N94" s="107">
        <f t="shared" si="67"/>
        <v>0.74280514815000009</v>
      </c>
      <c r="O94" s="110">
        <f t="shared" ref="O94:O97" si="85">N94/C94*100</f>
        <v>44.666575354780527</v>
      </c>
      <c r="P94" s="106">
        <f t="shared" ref="P94:P97" si="86">D94/C94</f>
        <v>0</v>
      </c>
      <c r="Q94" s="106">
        <f t="shared" ref="Q94" si="87">C94*(L94/100)</f>
        <v>4.7062900000000005E-2</v>
      </c>
      <c r="R94" s="107">
        <f t="shared" ref="R94:R97" si="88">D94*$B$29+$D$29</f>
        <v>0</v>
      </c>
      <c r="S94" s="108">
        <f t="shared" ref="S94:S97" si="89">R94/C94*100</f>
        <v>0</v>
      </c>
      <c r="T94" s="105" t="e">
        <f t="shared" ref="T94:T97" si="90">N94/R94</f>
        <v>#DIV/0!</v>
      </c>
    </row>
    <row r="95" spans="1:28" s="151" customFormat="1" ht="11.25" customHeight="1" x14ac:dyDescent="0.2">
      <c r="A95" s="149">
        <v>58</v>
      </c>
      <c r="B95" s="149" t="s">
        <v>104</v>
      </c>
      <c r="C95" s="150">
        <v>2.9169999999999998</v>
      </c>
      <c r="E95" s="152" t="s">
        <v>73</v>
      </c>
      <c r="F95" s="150">
        <v>1.4289728749999999</v>
      </c>
      <c r="G95" s="150">
        <v>-15.523901497687138</v>
      </c>
      <c r="H95" s="153">
        <f t="shared" si="80"/>
        <v>-19.73210688631665</v>
      </c>
      <c r="I95" s="154" t="e">
        <f t="shared" si="81"/>
        <v>#VALUE!</v>
      </c>
      <c r="J95" s="155">
        <f t="shared" si="82"/>
        <v>0.48987757113472746</v>
      </c>
      <c r="K95" s="155">
        <f>$H$13</f>
        <v>3.3479999999999999</v>
      </c>
      <c r="L95" s="155"/>
      <c r="M95" s="155">
        <f t="shared" si="66"/>
        <v>9.7661159999999983E-2</v>
      </c>
      <c r="N95" s="156">
        <f t="shared" si="67"/>
        <v>9.4770910042874995E-2</v>
      </c>
      <c r="O95" s="157">
        <f t="shared" si="85"/>
        <v>3.2489170395226261</v>
      </c>
      <c r="P95" s="155">
        <f t="shared" si="86"/>
        <v>0</v>
      </c>
      <c r="Q95" s="155"/>
      <c r="R95" s="156">
        <f t="shared" si="88"/>
        <v>0</v>
      </c>
      <c r="S95" s="158">
        <f t="shared" si="89"/>
        <v>0</v>
      </c>
      <c r="T95" s="154" t="e">
        <f t="shared" si="90"/>
        <v>#DIV/0!</v>
      </c>
    </row>
    <row r="96" spans="1:28" s="109" customFormat="1" ht="11.25" customHeight="1" x14ac:dyDescent="0.2">
      <c r="A96" s="127">
        <v>71</v>
      </c>
      <c r="B96" s="127" t="s">
        <v>72</v>
      </c>
      <c r="C96" s="128">
        <v>1.9139999999999999</v>
      </c>
      <c r="E96" s="147" t="s">
        <v>73</v>
      </c>
      <c r="F96" s="128">
        <v>12.889695</v>
      </c>
      <c r="G96" s="128">
        <v>-21.571157701579718</v>
      </c>
      <c r="H96" s="122">
        <f t="shared" si="80"/>
        <v>-25.77936309020923</v>
      </c>
      <c r="I96" s="105" t="e">
        <f t="shared" si="81"/>
        <v>#VALUE!</v>
      </c>
      <c r="J96" s="106">
        <f t="shared" si="82"/>
        <v>6.7344278996865201</v>
      </c>
      <c r="K96" s="106">
        <f t="shared" ref="K96" si="91">H$14</f>
        <v>44.65</v>
      </c>
      <c r="L96" s="106">
        <f t="shared" ref="L96" si="92">I$14</f>
        <v>2.83</v>
      </c>
      <c r="M96" s="106">
        <f t="shared" si="66"/>
        <v>0.85460099999999994</v>
      </c>
      <c r="N96" s="107">
        <f t="shared" si="67"/>
        <v>0.85485746209500002</v>
      </c>
      <c r="O96" s="110">
        <f t="shared" si="85"/>
        <v>44.663399273510976</v>
      </c>
      <c r="P96" s="106">
        <f t="shared" si="86"/>
        <v>0</v>
      </c>
      <c r="Q96" s="106">
        <f t="shared" ref="Q96" si="93">C96*(L96/100)</f>
        <v>5.4166200000000005E-2</v>
      </c>
      <c r="R96" s="107">
        <f t="shared" si="88"/>
        <v>0</v>
      </c>
      <c r="S96" s="108">
        <f t="shared" si="89"/>
        <v>0</v>
      </c>
      <c r="T96" s="105" t="e">
        <f t="shared" si="90"/>
        <v>#DIV/0!</v>
      </c>
    </row>
    <row r="97" spans="1:28" s="151" customFormat="1" ht="11.25" customHeight="1" x14ac:dyDescent="0.2">
      <c r="A97" s="159">
        <v>72</v>
      </c>
      <c r="B97" s="159" t="s">
        <v>117</v>
      </c>
      <c r="C97" s="160">
        <v>2.6429999999999998</v>
      </c>
      <c r="E97" s="161" t="s">
        <v>73</v>
      </c>
      <c r="F97" s="160">
        <v>1.2695743749999999</v>
      </c>
      <c r="G97" s="160">
        <v>-15.225321009404269</v>
      </c>
      <c r="H97" s="153">
        <f t="shared" si="80"/>
        <v>-19.433526398033781</v>
      </c>
      <c r="I97" s="154" t="e">
        <f t="shared" si="81"/>
        <v>#VALUE!</v>
      </c>
      <c r="J97" s="155">
        <f t="shared" si="82"/>
        <v>0.48035352818766552</v>
      </c>
      <c r="K97" s="155">
        <f>$H$13</f>
        <v>3.3479999999999999</v>
      </c>
      <c r="L97" s="155"/>
      <c r="M97" s="155">
        <f t="shared" si="66"/>
        <v>8.8487639999999979E-2</v>
      </c>
      <c r="N97" s="156">
        <f t="shared" si="67"/>
        <v>8.4199442124374996E-2</v>
      </c>
      <c r="O97" s="157">
        <f t="shared" si="85"/>
        <v>3.1857526342934164</v>
      </c>
      <c r="P97" s="155">
        <f t="shared" si="86"/>
        <v>0</v>
      </c>
      <c r="Q97" s="155"/>
      <c r="R97" s="156">
        <f t="shared" si="88"/>
        <v>0</v>
      </c>
      <c r="S97" s="158">
        <f t="shared" si="89"/>
        <v>0</v>
      </c>
      <c r="T97" s="154" t="e">
        <f t="shared" si="90"/>
        <v>#DIV/0!</v>
      </c>
    </row>
    <row r="98" spans="1:28" s="100" customFormat="1" ht="11.25" customHeight="1" x14ac:dyDescent="0.2">
      <c r="A98" s="102"/>
      <c r="B98" s="162"/>
      <c r="C98" s="103"/>
      <c r="E98" s="148"/>
      <c r="F98" s="103"/>
      <c r="G98" s="103"/>
      <c r="H98" s="124"/>
      <c r="I98" s="124"/>
      <c r="J98" s="130"/>
      <c r="K98" s="130"/>
      <c r="L98" s="130"/>
      <c r="M98" s="130"/>
      <c r="N98" s="131"/>
      <c r="O98" s="125"/>
      <c r="P98" s="130"/>
      <c r="Q98" s="130"/>
      <c r="R98" s="131"/>
      <c r="S98" s="126"/>
      <c r="T98" s="124"/>
    </row>
    <row r="99" spans="1:28" s="100" customFormat="1" ht="11.25" customHeight="1" x14ac:dyDescent="0.2">
      <c r="A99" s="102"/>
      <c r="B99" s="162"/>
      <c r="C99" s="103"/>
      <c r="E99" s="148"/>
      <c r="F99" s="103"/>
      <c r="G99" s="103"/>
      <c r="H99" s="124"/>
      <c r="I99" s="124"/>
      <c r="J99" s="130"/>
      <c r="K99" s="130"/>
      <c r="L99" s="130"/>
      <c r="M99" s="130"/>
      <c r="N99" s="131"/>
      <c r="O99" s="125"/>
      <c r="P99" s="130"/>
      <c r="Q99" s="130"/>
      <c r="R99" s="131"/>
      <c r="S99" s="126"/>
      <c r="T99" s="124"/>
    </row>
    <row r="100" spans="1:28" s="100" customFormat="1" ht="11.25" customHeight="1" x14ac:dyDescent="0.2">
      <c r="A100" s="102"/>
      <c r="B100" s="162"/>
      <c r="C100" s="103"/>
      <c r="E100" s="148"/>
      <c r="F100" s="103"/>
      <c r="G100" s="103"/>
      <c r="H100" s="124"/>
      <c r="I100" s="124"/>
      <c r="J100" s="130"/>
      <c r="K100" s="130"/>
      <c r="L100" s="130"/>
      <c r="M100" s="130"/>
      <c r="N100" s="131"/>
      <c r="O100" s="125"/>
      <c r="P100" s="130"/>
      <c r="Q100" s="130"/>
      <c r="R100" s="131"/>
      <c r="S100" s="126"/>
      <c r="T100" s="124"/>
    </row>
    <row r="101" spans="1:28" s="100" customFormat="1" ht="11.25" customHeight="1" x14ac:dyDescent="0.2">
      <c r="A101" s="102"/>
      <c r="B101" s="162"/>
      <c r="C101" s="103"/>
      <c r="E101" s="148"/>
      <c r="F101" s="103"/>
      <c r="G101" s="103"/>
      <c r="H101" s="124"/>
      <c r="I101" s="124"/>
      <c r="J101" s="130"/>
      <c r="K101" s="130"/>
      <c r="L101" s="130"/>
      <c r="M101" s="130"/>
      <c r="N101" s="131"/>
      <c r="O101" s="125"/>
      <c r="P101" s="130"/>
      <c r="Q101" s="130"/>
      <c r="R101" s="131"/>
      <c r="S101" s="126"/>
      <c r="T101" s="124"/>
    </row>
    <row r="102" spans="1:28" ht="11.25" customHeight="1" x14ac:dyDescent="0.2">
      <c r="A102" s="111" t="s">
        <v>61</v>
      </c>
      <c r="B102" s="112" t="s">
        <v>40</v>
      </c>
      <c r="C102" s="111" t="s">
        <v>54</v>
      </c>
      <c r="E102" s="113" t="s">
        <v>75</v>
      </c>
      <c r="F102" s="111" t="s">
        <v>62</v>
      </c>
      <c r="G102" s="113" t="s">
        <v>63</v>
      </c>
      <c r="J102" s="1"/>
      <c r="K102" s="1"/>
      <c r="L102" s="1"/>
      <c r="M102" s="1"/>
      <c r="N102" s="1"/>
      <c r="O102" s="1"/>
      <c r="P102" s="1"/>
      <c r="Q102" s="1"/>
      <c r="V102" s="1"/>
      <c r="W102" s="1"/>
      <c r="X102" s="1"/>
      <c r="Y102" s="1"/>
      <c r="Z102" s="1"/>
      <c r="AA102" s="1"/>
      <c r="AB102" s="1"/>
    </row>
    <row r="103" spans="1:28" ht="11.25" customHeight="1" x14ac:dyDescent="0.2">
      <c r="A103" s="117" t="s">
        <v>64</v>
      </c>
      <c r="B103" s="117" t="s">
        <v>65</v>
      </c>
      <c r="C103" s="119" t="s">
        <v>67</v>
      </c>
      <c r="E103" s="143" t="s">
        <v>77</v>
      </c>
      <c r="F103" s="118" t="s">
        <v>66</v>
      </c>
      <c r="G103" s="119" t="s">
        <v>68</v>
      </c>
      <c r="J103" s="1"/>
      <c r="K103" s="1"/>
      <c r="L103" s="1"/>
      <c r="M103" s="1"/>
      <c r="N103" s="1"/>
      <c r="O103" s="1"/>
      <c r="P103" s="1"/>
      <c r="Q103" s="1"/>
      <c r="V103" s="1"/>
      <c r="W103" s="1"/>
      <c r="X103" s="1"/>
      <c r="Y103" s="1"/>
      <c r="Z103" s="1"/>
      <c r="AA103" s="1"/>
      <c r="AB103" s="1"/>
    </row>
    <row r="104" spans="1:28" ht="11.25" customHeight="1" x14ac:dyDescent="0.2">
      <c r="A104" s="102">
        <v>25</v>
      </c>
      <c r="B104" s="102" t="s">
        <v>55</v>
      </c>
      <c r="C104" s="114">
        <v>1.3839999999999999</v>
      </c>
      <c r="E104" s="144" t="s">
        <v>73</v>
      </c>
      <c r="F104" s="103">
        <v>9.38246</v>
      </c>
      <c r="G104" s="114">
        <v>-21.82922561361071</v>
      </c>
      <c r="J104" s="1"/>
      <c r="K104" s="1"/>
      <c r="L104" s="1"/>
      <c r="M104" s="1"/>
      <c r="N104" s="1"/>
      <c r="O104" s="1"/>
      <c r="P104" s="1"/>
      <c r="Q104" s="1"/>
      <c r="V104" s="1"/>
      <c r="W104" s="1"/>
      <c r="X104" s="1"/>
      <c r="Y104" s="1"/>
      <c r="Z104" s="1"/>
      <c r="AA104" s="1"/>
      <c r="AB104" s="1"/>
    </row>
    <row r="105" spans="1:28" ht="11.25" customHeight="1" x14ac:dyDescent="0.2">
      <c r="A105" s="115">
        <v>26</v>
      </c>
      <c r="B105" s="115" t="s">
        <v>56</v>
      </c>
      <c r="C105" s="116">
        <v>1.71</v>
      </c>
      <c r="E105" s="145" t="s">
        <v>73</v>
      </c>
      <c r="F105" s="116">
        <v>11.394083</v>
      </c>
      <c r="G105" s="116">
        <v>-21.745456666855585</v>
      </c>
      <c r="J105" s="1"/>
      <c r="K105" s="1"/>
      <c r="L105" s="1"/>
      <c r="M105" s="1"/>
      <c r="N105" s="1"/>
      <c r="O105" s="1"/>
      <c r="P105" s="1"/>
      <c r="Q105" s="1"/>
      <c r="V105" s="1"/>
      <c r="W105" s="1"/>
      <c r="X105" s="1"/>
      <c r="Y105" s="1"/>
      <c r="Z105" s="1"/>
      <c r="AA105" s="1"/>
      <c r="AB105" s="1"/>
    </row>
    <row r="106" spans="1:28" ht="11.25" customHeight="1" x14ac:dyDescent="0.2">
      <c r="A106" s="102">
        <v>27</v>
      </c>
      <c r="B106" s="102" t="s">
        <v>57</v>
      </c>
      <c r="C106" s="114">
        <v>1.5529999999999999</v>
      </c>
      <c r="E106" s="144" t="s">
        <v>73</v>
      </c>
      <c r="F106" s="103">
        <v>10.426011000000001</v>
      </c>
      <c r="G106" s="114">
        <v>-21.863061157962463</v>
      </c>
      <c r="J106" s="1"/>
      <c r="K106" s="1"/>
      <c r="L106" s="1"/>
      <c r="M106" s="1"/>
      <c r="N106" s="1"/>
      <c r="O106" s="1"/>
      <c r="P106" s="1"/>
      <c r="Q106" s="1"/>
      <c r="V106" s="1"/>
      <c r="W106" s="1"/>
      <c r="X106" s="1"/>
      <c r="Y106" s="1"/>
      <c r="Z106" s="1"/>
      <c r="AA106" s="1"/>
      <c r="AB106" s="1"/>
    </row>
    <row r="107" spans="1:28" ht="11.25" customHeight="1" x14ac:dyDescent="0.2">
      <c r="A107" s="115">
        <v>28</v>
      </c>
      <c r="B107" s="115" t="s">
        <v>58</v>
      </c>
      <c r="C107" s="116">
        <v>1.022</v>
      </c>
      <c r="E107" s="145" t="s">
        <v>73</v>
      </c>
      <c r="F107" s="116">
        <v>6.9432345</v>
      </c>
      <c r="G107" s="116">
        <v>-21.740993554307469</v>
      </c>
      <c r="J107" s="1"/>
      <c r="K107" s="1"/>
      <c r="L107" s="1"/>
      <c r="M107" s="1"/>
      <c r="N107" s="1"/>
      <c r="O107" s="1"/>
      <c r="P107" s="1"/>
      <c r="Q107" s="1"/>
      <c r="V107" s="1"/>
      <c r="W107" s="1"/>
      <c r="X107" s="1"/>
      <c r="Y107" s="1"/>
      <c r="Z107" s="1"/>
      <c r="AA107" s="1"/>
      <c r="AB107" s="1"/>
    </row>
    <row r="108" spans="1:28" ht="11.25" customHeight="1" x14ac:dyDescent="0.2">
      <c r="A108" s="102">
        <v>29</v>
      </c>
      <c r="B108" s="102" t="s">
        <v>59</v>
      </c>
      <c r="C108" s="114">
        <v>1.254</v>
      </c>
      <c r="E108" s="144" t="s">
        <v>73</v>
      </c>
      <c r="F108" s="103">
        <v>8.4723819999999996</v>
      </c>
      <c r="G108" s="114">
        <v>-21.832526636271215</v>
      </c>
      <c r="J108" s="1"/>
      <c r="K108" s="1"/>
      <c r="L108" s="1"/>
      <c r="M108" s="1"/>
      <c r="N108" s="1"/>
      <c r="O108" s="1"/>
      <c r="P108" s="1"/>
      <c r="Q108" s="1"/>
      <c r="V108" s="1"/>
      <c r="W108" s="1"/>
      <c r="X108" s="1"/>
      <c r="Y108" s="1"/>
      <c r="Z108" s="1"/>
      <c r="AA108" s="1"/>
      <c r="AB108" s="1"/>
    </row>
    <row r="109" spans="1:28" ht="11.25" customHeight="1" x14ac:dyDescent="0.2">
      <c r="A109" s="115">
        <v>30</v>
      </c>
      <c r="B109" s="115" t="s">
        <v>78</v>
      </c>
      <c r="C109" s="116">
        <v>3.2160000000000002</v>
      </c>
      <c r="E109" s="145" t="s">
        <v>73</v>
      </c>
      <c r="F109" s="116">
        <v>1.5864233750000001</v>
      </c>
      <c r="G109" s="116">
        <v>-15.561396952722093</v>
      </c>
      <c r="J109" s="1"/>
      <c r="K109" s="1"/>
      <c r="L109" s="1"/>
      <c r="M109" s="1"/>
      <c r="N109" s="1"/>
      <c r="O109" s="1"/>
      <c r="P109" s="1"/>
      <c r="Q109" s="1"/>
      <c r="V109" s="1"/>
      <c r="W109" s="1"/>
      <c r="X109" s="1"/>
      <c r="Y109" s="1"/>
      <c r="Z109" s="1"/>
      <c r="AA109" s="1"/>
      <c r="AB109" s="1"/>
    </row>
    <row r="110" spans="1:28" ht="11.25" customHeight="1" x14ac:dyDescent="0.2">
      <c r="A110" s="102">
        <v>31</v>
      </c>
      <c r="B110" s="102" t="s">
        <v>79</v>
      </c>
      <c r="C110" s="114">
        <v>6.3940000000000001</v>
      </c>
      <c r="E110" s="144" t="s">
        <v>73</v>
      </c>
      <c r="F110" s="103">
        <v>0.20551514062500001</v>
      </c>
      <c r="G110" s="114">
        <v>-21.372610850406229</v>
      </c>
      <c r="J110" s="1"/>
      <c r="K110" s="1"/>
      <c r="L110" s="1"/>
      <c r="M110" s="1"/>
      <c r="N110" s="1"/>
      <c r="O110" s="1"/>
      <c r="P110" s="1"/>
      <c r="Q110" s="1"/>
      <c r="V110" s="1"/>
      <c r="W110" s="1"/>
      <c r="X110" s="1"/>
      <c r="Y110" s="1"/>
      <c r="Z110" s="1"/>
      <c r="AA110" s="1"/>
      <c r="AB110" s="1"/>
    </row>
    <row r="111" spans="1:28" ht="11.25" customHeight="1" x14ac:dyDescent="0.2">
      <c r="A111" s="115">
        <v>32</v>
      </c>
      <c r="B111" s="115" t="s">
        <v>80</v>
      </c>
      <c r="C111" s="116">
        <v>6.0670000000000002</v>
      </c>
      <c r="E111" s="145" t="s">
        <v>73</v>
      </c>
      <c r="F111" s="116">
        <v>0.18674604687499999</v>
      </c>
      <c r="G111" s="116">
        <v>-20.996081638819536</v>
      </c>
      <c r="J111" s="1"/>
      <c r="K111" s="1"/>
      <c r="L111" s="1"/>
      <c r="M111" s="1"/>
      <c r="N111" s="1"/>
      <c r="O111" s="1"/>
      <c r="P111" s="1"/>
      <c r="Q111" s="1"/>
      <c r="V111" s="1"/>
      <c r="W111" s="1"/>
      <c r="X111" s="1"/>
      <c r="Y111" s="1"/>
      <c r="Z111" s="1"/>
      <c r="AA111" s="1"/>
      <c r="AB111" s="1"/>
    </row>
    <row r="112" spans="1:28" ht="11.25" customHeight="1" x14ac:dyDescent="0.2">
      <c r="A112" s="102">
        <v>33</v>
      </c>
      <c r="B112" s="102" t="s">
        <v>81</v>
      </c>
      <c r="C112" s="114">
        <v>6.2350000000000003</v>
      </c>
      <c r="E112" s="144" t="s">
        <v>73</v>
      </c>
      <c r="F112" s="103">
        <v>0.19499195312500001</v>
      </c>
      <c r="G112" s="114">
        <v>-21.349519231491229</v>
      </c>
      <c r="J112" s="1"/>
      <c r="K112" s="1"/>
      <c r="L112" s="1"/>
      <c r="M112" s="1"/>
      <c r="N112" s="1"/>
      <c r="O112" s="1"/>
      <c r="P112" s="1"/>
      <c r="Q112" s="1"/>
      <c r="V112" s="1"/>
      <c r="W112" s="1"/>
      <c r="X112" s="1"/>
      <c r="Y112" s="1"/>
      <c r="Z112" s="1"/>
      <c r="AA112" s="1"/>
      <c r="AB112" s="1"/>
    </row>
    <row r="113" spans="1:28" ht="11.25" customHeight="1" x14ac:dyDescent="0.2">
      <c r="A113" s="115">
        <v>34</v>
      </c>
      <c r="B113" s="115" t="s">
        <v>82</v>
      </c>
      <c r="C113" s="116">
        <v>6.7990000000000004</v>
      </c>
      <c r="E113" s="145" t="s">
        <v>73</v>
      </c>
      <c r="F113" s="116">
        <v>0.54136724999999997</v>
      </c>
      <c r="G113" s="116">
        <v>-21.247020801305119</v>
      </c>
      <c r="J113" s="1"/>
      <c r="K113" s="1"/>
      <c r="L113" s="1"/>
      <c r="M113" s="1"/>
      <c r="N113" s="1"/>
      <c r="O113" s="1"/>
      <c r="P113" s="1"/>
      <c r="Q113" s="1"/>
      <c r="V113" s="1"/>
      <c r="W113" s="1"/>
      <c r="X113" s="1"/>
      <c r="Y113" s="1"/>
      <c r="Z113" s="1"/>
      <c r="AA113" s="1"/>
      <c r="AB113" s="1"/>
    </row>
    <row r="114" spans="1:28" ht="11.25" customHeight="1" x14ac:dyDescent="0.2">
      <c r="A114" s="102">
        <v>35</v>
      </c>
      <c r="B114" s="102" t="s">
        <v>83</v>
      </c>
      <c r="C114" s="114">
        <v>6.4409999999999998</v>
      </c>
      <c r="E114" s="144" t="s">
        <v>73</v>
      </c>
      <c r="F114" s="103">
        <v>0.54405281250000004</v>
      </c>
      <c r="G114" s="114">
        <v>-21.401672282954227</v>
      </c>
      <c r="J114" s="1"/>
      <c r="K114" s="1"/>
      <c r="L114" s="1"/>
      <c r="M114" s="1"/>
      <c r="N114" s="1"/>
      <c r="O114" s="1"/>
      <c r="P114" s="1"/>
      <c r="Q114" s="1"/>
      <c r="V114" s="1"/>
      <c r="W114" s="1"/>
      <c r="X114" s="1"/>
      <c r="Y114" s="1"/>
      <c r="Z114" s="1"/>
      <c r="AA114" s="1"/>
      <c r="AB114" s="1"/>
    </row>
    <row r="115" spans="1:28" ht="11.25" customHeight="1" x14ac:dyDescent="0.2">
      <c r="A115" s="115">
        <v>36</v>
      </c>
      <c r="B115" s="115" t="s">
        <v>84</v>
      </c>
      <c r="C115" s="116">
        <v>6.4080000000000004</v>
      </c>
      <c r="E115" s="145" t="s">
        <v>73</v>
      </c>
      <c r="F115" s="116">
        <v>0.64340068750000001</v>
      </c>
      <c r="G115" s="116">
        <v>-21.38784288556462</v>
      </c>
      <c r="J115" s="1"/>
      <c r="K115" s="1"/>
      <c r="L115" s="1"/>
      <c r="M115" s="1"/>
      <c r="N115" s="1"/>
      <c r="O115" s="1"/>
      <c r="P115" s="1"/>
      <c r="Q115" s="1"/>
      <c r="V115" s="1"/>
      <c r="W115" s="1"/>
      <c r="X115" s="1"/>
      <c r="Y115" s="1"/>
      <c r="Z115" s="1"/>
      <c r="AA115" s="1"/>
      <c r="AB115" s="1"/>
    </row>
    <row r="116" spans="1:28" ht="11.25" customHeight="1" x14ac:dyDescent="0.2">
      <c r="A116" s="102">
        <v>37</v>
      </c>
      <c r="B116" s="102" t="s">
        <v>85</v>
      </c>
      <c r="C116" s="114">
        <v>6.0880000000000001</v>
      </c>
      <c r="E116" s="144" t="s">
        <v>73</v>
      </c>
      <c r="F116" s="103">
        <v>0.34163900000000003</v>
      </c>
      <c r="G116" s="114">
        <v>-17.686355294239839</v>
      </c>
      <c r="J116" s="1"/>
      <c r="K116" s="1"/>
      <c r="L116" s="1"/>
      <c r="M116" s="1"/>
      <c r="N116" s="1"/>
      <c r="O116" s="1"/>
      <c r="P116" s="1"/>
      <c r="Q116" s="1"/>
      <c r="V116" s="1"/>
      <c r="W116" s="1"/>
      <c r="X116" s="1"/>
      <c r="Y116" s="1"/>
      <c r="Z116" s="1"/>
      <c r="AA116" s="1"/>
      <c r="AB116" s="1"/>
    </row>
    <row r="117" spans="1:28" ht="11.25" customHeight="1" x14ac:dyDescent="0.2">
      <c r="A117" s="115">
        <v>38</v>
      </c>
      <c r="B117" s="115" t="s">
        <v>86</v>
      </c>
      <c r="C117" s="116">
        <v>6.2060000000000004</v>
      </c>
      <c r="E117" s="145" t="s">
        <v>73</v>
      </c>
      <c r="F117" s="116">
        <v>0.157727375</v>
      </c>
      <c r="G117" s="116">
        <v>-22.656835423928303</v>
      </c>
      <c r="J117" s="1"/>
      <c r="K117" s="1"/>
      <c r="L117" s="1"/>
      <c r="M117" s="1"/>
      <c r="N117" s="1"/>
      <c r="O117" s="1"/>
      <c r="P117" s="1"/>
      <c r="Q117" s="1"/>
      <c r="V117" s="1"/>
      <c r="W117" s="1"/>
      <c r="X117" s="1"/>
      <c r="Y117" s="1"/>
      <c r="Z117" s="1"/>
      <c r="AA117" s="1"/>
      <c r="AB117" s="1"/>
    </row>
    <row r="118" spans="1:28" ht="11.25" customHeight="1" x14ac:dyDescent="0.2">
      <c r="A118" s="102">
        <v>39</v>
      </c>
      <c r="B118" s="102" t="s">
        <v>87</v>
      </c>
      <c r="C118" s="114">
        <v>6.2779999999999996</v>
      </c>
      <c r="E118" s="144" t="s">
        <v>73</v>
      </c>
      <c r="F118" s="103">
        <v>0.15683582812499999</v>
      </c>
      <c r="G118" s="114">
        <v>-22.861625989794994</v>
      </c>
      <c r="J118" s="1"/>
      <c r="K118" s="1"/>
      <c r="L118" s="1"/>
      <c r="M118" s="1"/>
      <c r="N118" s="1"/>
      <c r="O118" s="1"/>
      <c r="P118" s="1"/>
      <c r="Q118" s="1"/>
      <c r="V118" s="1"/>
      <c r="W118" s="1"/>
      <c r="X118" s="1"/>
      <c r="Y118" s="1"/>
      <c r="Z118" s="1"/>
      <c r="AA118" s="1"/>
      <c r="AB118" s="1"/>
    </row>
    <row r="119" spans="1:28" ht="11.25" customHeight="1" x14ac:dyDescent="0.2">
      <c r="A119" s="115">
        <v>40</v>
      </c>
      <c r="B119" s="115" t="s">
        <v>88</v>
      </c>
      <c r="C119" s="116">
        <v>6.08</v>
      </c>
      <c r="E119" s="145" t="s">
        <v>73</v>
      </c>
      <c r="F119" s="116">
        <v>0.14710037500000001</v>
      </c>
      <c r="G119" s="116">
        <v>-25.094970560930072</v>
      </c>
      <c r="J119" s="1"/>
      <c r="K119" s="1"/>
      <c r="L119" s="1"/>
      <c r="M119" s="1"/>
      <c r="N119" s="1"/>
      <c r="O119" s="1"/>
      <c r="P119" s="1"/>
      <c r="Q119" s="1"/>
      <c r="V119" s="1"/>
      <c r="W119" s="1"/>
      <c r="X119" s="1"/>
      <c r="Y119" s="1"/>
      <c r="Z119" s="1"/>
      <c r="AA119" s="1"/>
      <c r="AB119" s="1"/>
    </row>
    <row r="120" spans="1:28" ht="11.25" customHeight="1" x14ac:dyDescent="0.2">
      <c r="A120" s="102">
        <v>41</v>
      </c>
      <c r="B120" s="102" t="s">
        <v>89</v>
      </c>
      <c r="C120" s="114">
        <v>6.5410000000000004</v>
      </c>
      <c r="E120" s="144" t="s">
        <v>73</v>
      </c>
      <c r="F120" s="103">
        <v>0.2811078125</v>
      </c>
      <c r="G120" s="114">
        <v>-22.683131080679189</v>
      </c>
      <c r="J120" s="1"/>
      <c r="K120" s="1"/>
      <c r="L120" s="1"/>
      <c r="M120" s="1"/>
      <c r="N120" s="1"/>
      <c r="O120" s="1"/>
      <c r="P120" s="1"/>
      <c r="Q120" s="1"/>
      <c r="V120" s="1"/>
      <c r="W120" s="1"/>
      <c r="X120" s="1"/>
      <c r="Y120" s="1"/>
      <c r="Z120" s="1"/>
      <c r="AA120" s="1"/>
      <c r="AB120" s="1"/>
    </row>
    <row r="121" spans="1:28" ht="11.25" customHeight="1" x14ac:dyDescent="0.2">
      <c r="A121" s="115">
        <v>42</v>
      </c>
      <c r="B121" s="115" t="s">
        <v>90</v>
      </c>
      <c r="C121" s="116">
        <v>6.2480000000000002</v>
      </c>
      <c r="E121" s="145" t="s">
        <v>73</v>
      </c>
      <c r="F121" s="116">
        <v>0.12085517968749999</v>
      </c>
      <c r="G121" s="116">
        <v>-25.514904469503538</v>
      </c>
      <c r="J121" s="1"/>
      <c r="K121" s="1"/>
      <c r="L121" s="1"/>
      <c r="M121" s="1"/>
      <c r="N121" s="1"/>
      <c r="O121" s="1"/>
      <c r="P121" s="1"/>
      <c r="Q121" s="1"/>
      <c r="V121" s="1"/>
      <c r="W121" s="1"/>
      <c r="X121" s="1"/>
      <c r="Y121" s="1"/>
      <c r="Z121" s="1"/>
      <c r="AA121" s="1"/>
      <c r="AB121" s="1"/>
    </row>
    <row r="122" spans="1:28" ht="11.25" customHeight="1" x14ac:dyDescent="0.2">
      <c r="A122" s="102">
        <v>43</v>
      </c>
      <c r="B122" s="102" t="s">
        <v>70</v>
      </c>
      <c r="C122" s="114">
        <v>0.77400000000000002</v>
      </c>
      <c r="E122" s="144" t="s">
        <v>73</v>
      </c>
      <c r="F122" s="103">
        <v>5.3125855</v>
      </c>
      <c r="G122" s="114">
        <v>-21.651133243936574</v>
      </c>
      <c r="J122" s="1"/>
      <c r="K122" s="1"/>
      <c r="L122" s="1"/>
      <c r="M122" s="1"/>
      <c r="N122" s="1"/>
      <c r="O122" s="1"/>
      <c r="P122" s="1"/>
      <c r="Q122" s="1"/>
      <c r="V122" s="1"/>
      <c r="W122" s="1"/>
      <c r="X122" s="1"/>
      <c r="Y122" s="1"/>
      <c r="Z122" s="1"/>
      <c r="AA122" s="1"/>
      <c r="AB122" s="1"/>
    </row>
    <row r="123" spans="1:28" ht="11.25" customHeight="1" x14ac:dyDescent="0.2">
      <c r="A123" s="115">
        <v>44</v>
      </c>
      <c r="B123" s="115" t="s">
        <v>91</v>
      </c>
      <c r="C123" s="116">
        <v>2.37</v>
      </c>
      <c r="E123" s="145" t="s">
        <v>73</v>
      </c>
      <c r="F123" s="116">
        <v>1.1253442499999999</v>
      </c>
      <c r="G123" s="116">
        <v>-15.47686414529579</v>
      </c>
      <c r="J123" s="1"/>
      <c r="K123" s="1"/>
      <c r="L123" s="1"/>
      <c r="M123" s="1"/>
      <c r="N123" s="1"/>
      <c r="O123" s="1"/>
      <c r="P123" s="1"/>
      <c r="Q123" s="1"/>
      <c r="V123" s="1"/>
      <c r="W123" s="1"/>
      <c r="X123" s="1"/>
      <c r="Y123" s="1"/>
      <c r="Z123" s="1"/>
      <c r="AA123" s="1"/>
      <c r="AB123" s="1"/>
    </row>
    <row r="124" spans="1:28" ht="11.25" customHeight="1" x14ac:dyDescent="0.2">
      <c r="A124" s="102">
        <v>45</v>
      </c>
      <c r="B124" s="102" t="s">
        <v>92</v>
      </c>
      <c r="C124" s="114">
        <v>6.1539999999999999</v>
      </c>
      <c r="E124" s="144" t="s">
        <v>73</v>
      </c>
      <c r="F124" s="103">
        <v>0.178611390625</v>
      </c>
      <c r="G124" s="114">
        <v>-23.29689610993556</v>
      </c>
      <c r="J124" s="1"/>
      <c r="K124" s="1"/>
      <c r="L124" s="1"/>
      <c r="M124" s="1"/>
      <c r="N124" s="1"/>
      <c r="O124" s="1"/>
      <c r="P124" s="1"/>
      <c r="Q124" s="1"/>
      <c r="V124" s="1"/>
      <c r="W124" s="1"/>
      <c r="X124" s="1"/>
      <c r="Y124" s="1"/>
      <c r="Z124" s="1"/>
      <c r="AA124" s="1"/>
      <c r="AB124" s="1"/>
    </row>
    <row r="125" spans="1:28" ht="11.25" customHeight="1" x14ac:dyDescent="0.2">
      <c r="A125" s="115">
        <v>46</v>
      </c>
      <c r="B125" s="115" t="s">
        <v>93</v>
      </c>
      <c r="C125" s="116">
        <v>6.0650000000000004</v>
      </c>
      <c r="E125" s="145" t="s">
        <v>73</v>
      </c>
      <c r="F125" s="116">
        <v>0.18546467187499999</v>
      </c>
      <c r="G125" s="116">
        <v>-23.072296226884237</v>
      </c>
      <c r="J125" s="1"/>
      <c r="K125" s="1"/>
      <c r="L125" s="1"/>
      <c r="M125" s="1"/>
      <c r="N125" s="1"/>
      <c r="O125" s="1"/>
      <c r="P125" s="1"/>
      <c r="Q125" s="1"/>
      <c r="V125" s="1"/>
      <c r="W125" s="1"/>
      <c r="X125" s="1"/>
      <c r="Y125" s="1"/>
      <c r="Z125" s="1"/>
      <c r="AA125" s="1"/>
      <c r="AB125" s="1"/>
    </row>
    <row r="126" spans="1:28" ht="11.25" customHeight="1" x14ac:dyDescent="0.2">
      <c r="A126" s="102">
        <v>47</v>
      </c>
      <c r="B126" s="102" t="s">
        <v>94</v>
      </c>
      <c r="C126" s="114">
        <v>6.3929999999999998</v>
      </c>
      <c r="E126" s="144" t="s">
        <v>73</v>
      </c>
      <c r="F126" s="103">
        <v>0.18906603124999999</v>
      </c>
      <c r="G126" s="114">
        <v>-23.323396549965114</v>
      </c>
      <c r="J126" s="1"/>
      <c r="K126" s="1"/>
      <c r="L126" s="1"/>
      <c r="M126" s="1"/>
      <c r="N126" s="1"/>
      <c r="O126" s="1"/>
      <c r="P126" s="1"/>
      <c r="Q126" s="1"/>
      <c r="V126" s="1"/>
      <c r="W126" s="1"/>
      <c r="X126" s="1"/>
      <c r="Y126" s="1"/>
      <c r="Z126" s="1"/>
      <c r="AA126" s="1"/>
      <c r="AB126" s="1"/>
    </row>
    <row r="127" spans="1:28" ht="11.25" customHeight="1" x14ac:dyDescent="0.2">
      <c r="A127" s="115">
        <v>48</v>
      </c>
      <c r="B127" s="115" t="s">
        <v>95</v>
      </c>
      <c r="C127" s="116">
        <v>6.1689999999999996</v>
      </c>
      <c r="E127" s="145" t="s">
        <v>73</v>
      </c>
      <c r="F127" s="116">
        <v>0.19684798437500001</v>
      </c>
      <c r="G127" s="116">
        <v>-22.669881085745381</v>
      </c>
      <c r="J127" s="1"/>
      <c r="K127" s="1"/>
      <c r="L127" s="1"/>
      <c r="M127" s="1"/>
      <c r="N127" s="1"/>
      <c r="O127" s="1"/>
      <c r="P127" s="1"/>
      <c r="Q127" s="1"/>
      <c r="V127" s="1"/>
      <c r="W127" s="1"/>
      <c r="X127" s="1"/>
      <c r="Y127" s="1"/>
      <c r="Z127" s="1"/>
      <c r="AA127" s="1"/>
      <c r="AB127" s="1"/>
    </row>
    <row r="128" spans="1:28" ht="11.25" customHeight="1" x14ac:dyDescent="0.2">
      <c r="A128" s="102">
        <v>49</v>
      </c>
      <c r="B128" s="102" t="s">
        <v>96</v>
      </c>
      <c r="C128" s="114">
        <v>6.1369999999999996</v>
      </c>
      <c r="E128" s="144" t="s">
        <v>73</v>
      </c>
      <c r="F128" s="103">
        <v>0.209286703125</v>
      </c>
      <c r="G128" s="114">
        <v>-22.82616300721531</v>
      </c>
      <c r="J128" s="1"/>
      <c r="K128" s="1"/>
      <c r="L128" s="1"/>
      <c r="M128" s="1"/>
      <c r="N128" s="1"/>
      <c r="O128" s="1"/>
      <c r="P128" s="1"/>
      <c r="Q128" s="1"/>
      <c r="V128" s="1"/>
      <c r="W128" s="1"/>
      <c r="X128" s="1"/>
      <c r="Y128" s="1"/>
      <c r="Z128" s="1"/>
      <c r="AA128" s="1"/>
      <c r="AB128" s="1"/>
    </row>
    <row r="129" spans="1:28" ht="11.25" customHeight="1" x14ac:dyDescent="0.2">
      <c r="A129" s="115">
        <v>50</v>
      </c>
      <c r="B129" s="115" t="s">
        <v>97</v>
      </c>
      <c r="C129" s="116">
        <v>6.2229999999999999</v>
      </c>
      <c r="E129" s="145" t="s">
        <v>73</v>
      </c>
      <c r="F129" s="116">
        <v>0.41627187500000001</v>
      </c>
      <c r="G129" s="116">
        <v>-21.055778335260865</v>
      </c>
      <c r="J129" s="1"/>
      <c r="K129" s="1"/>
      <c r="L129" s="1"/>
      <c r="M129" s="1"/>
      <c r="N129" s="1"/>
      <c r="O129" s="1"/>
      <c r="P129" s="1"/>
      <c r="Q129" s="1"/>
      <c r="V129" s="1"/>
      <c r="W129" s="1"/>
      <c r="X129" s="1"/>
      <c r="Y129" s="1"/>
      <c r="Z129" s="1"/>
      <c r="AA129" s="1"/>
      <c r="AB129" s="1"/>
    </row>
    <row r="130" spans="1:28" ht="11.25" customHeight="1" x14ac:dyDescent="0.2">
      <c r="A130" s="102">
        <v>51</v>
      </c>
      <c r="B130" s="102" t="s">
        <v>98</v>
      </c>
      <c r="C130" s="114">
        <v>6.2060000000000004</v>
      </c>
      <c r="E130" s="144" t="s">
        <v>73</v>
      </c>
      <c r="F130" s="103">
        <v>0.245857734375</v>
      </c>
      <c r="G130" s="114">
        <v>-22.562436146474557</v>
      </c>
      <c r="J130" s="1"/>
      <c r="K130" s="1"/>
      <c r="L130" s="1"/>
      <c r="M130" s="1"/>
      <c r="N130" s="1"/>
      <c r="O130" s="1"/>
      <c r="P130" s="1"/>
      <c r="Q130" s="1"/>
      <c r="V130" s="1"/>
      <c r="W130" s="1"/>
      <c r="X130" s="1"/>
      <c r="Y130" s="1"/>
      <c r="Z130" s="1"/>
      <c r="AA130" s="1"/>
      <c r="AB130" s="1"/>
    </row>
    <row r="131" spans="1:28" ht="11.25" customHeight="1" x14ac:dyDescent="0.2">
      <c r="A131" s="115">
        <v>52</v>
      </c>
      <c r="B131" s="115" t="s">
        <v>99</v>
      </c>
      <c r="C131" s="116">
        <v>6.1219999999999999</v>
      </c>
      <c r="E131" s="145" t="s">
        <v>73</v>
      </c>
      <c r="F131" s="116">
        <v>0.260729984375</v>
      </c>
      <c r="G131" s="116">
        <v>-22.835532306747837</v>
      </c>
      <c r="J131" s="1"/>
      <c r="K131" s="1"/>
      <c r="L131" s="1"/>
      <c r="M131" s="1"/>
      <c r="N131" s="1"/>
      <c r="O131" s="1"/>
      <c r="P131" s="1"/>
      <c r="Q131" s="1"/>
      <c r="V131" s="1"/>
      <c r="W131" s="1"/>
      <c r="X131" s="1"/>
      <c r="Y131" s="1"/>
      <c r="Z131" s="1"/>
      <c r="AA131" s="1"/>
      <c r="AB131" s="1"/>
    </row>
    <row r="132" spans="1:28" ht="11.25" customHeight="1" x14ac:dyDescent="0.2">
      <c r="A132" s="102">
        <v>53</v>
      </c>
      <c r="B132" s="102" t="s">
        <v>100</v>
      </c>
      <c r="C132" s="114">
        <v>6.1420000000000003</v>
      </c>
      <c r="E132" s="144" t="s">
        <v>73</v>
      </c>
      <c r="F132" s="103">
        <v>0.28164265625000001</v>
      </c>
      <c r="G132" s="114">
        <v>-22.093874778009809</v>
      </c>
      <c r="J132" s="1"/>
      <c r="K132" s="1"/>
      <c r="L132" s="1"/>
      <c r="M132" s="1"/>
      <c r="N132" s="1"/>
      <c r="O132" s="1"/>
      <c r="P132" s="1"/>
      <c r="Q132" s="1"/>
      <c r="V132" s="1"/>
      <c r="W132" s="1"/>
      <c r="X132" s="1"/>
      <c r="Y132" s="1"/>
      <c r="Z132" s="1"/>
      <c r="AA132" s="1"/>
      <c r="AB132" s="1"/>
    </row>
    <row r="133" spans="1:28" ht="11.25" customHeight="1" x14ac:dyDescent="0.2">
      <c r="A133" s="115">
        <v>54</v>
      </c>
      <c r="B133" s="115" t="s">
        <v>101</v>
      </c>
      <c r="C133" s="116">
        <v>6.1340000000000003</v>
      </c>
      <c r="E133" s="145" t="s">
        <v>73</v>
      </c>
      <c r="F133" s="116">
        <v>0.38989806249999998</v>
      </c>
      <c r="G133" s="116">
        <v>-21.060931477595478</v>
      </c>
      <c r="J133" s="1"/>
      <c r="K133" s="1"/>
      <c r="L133" s="1"/>
      <c r="M133" s="1"/>
      <c r="N133" s="1"/>
      <c r="O133" s="1"/>
      <c r="P133" s="1"/>
      <c r="Q133" s="1"/>
      <c r="V133" s="1"/>
      <c r="W133" s="1"/>
      <c r="X133" s="1"/>
      <c r="Y133" s="1"/>
      <c r="Z133" s="1"/>
      <c r="AA133" s="1"/>
      <c r="AB133" s="1"/>
    </row>
    <row r="134" spans="1:28" ht="11.25" customHeight="1" x14ac:dyDescent="0.2">
      <c r="A134" s="102">
        <v>55</v>
      </c>
      <c r="B134" s="102" t="s">
        <v>102</v>
      </c>
      <c r="C134" s="114">
        <v>6.4130000000000003</v>
      </c>
      <c r="E134" s="144" t="s">
        <v>73</v>
      </c>
      <c r="F134" s="103">
        <v>0.4479169375</v>
      </c>
      <c r="G134" s="114">
        <v>-21.142440421854459</v>
      </c>
      <c r="J134" s="1"/>
      <c r="K134" s="1"/>
      <c r="L134" s="1"/>
      <c r="M134" s="1"/>
      <c r="N134" s="1"/>
      <c r="O134" s="1"/>
      <c r="P134" s="1"/>
      <c r="Q134" s="1"/>
      <c r="V134" s="1"/>
      <c r="W134" s="1"/>
      <c r="X134" s="1"/>
      <c r="Y134" s="1"/>
      <c r="Z134" s="1"/>
      <c r="AA134" s="1"/>
      <c r="AB134" s="1"/>
    </row>
    <row r="135" spans="1:28" ht="11.25" customHeight="1" x14ac:dyDescent="0.2">
      <c r="A135" s="115">
        <v>56</v>
      </c>
      <c r="B135" s="115" t="s">
        <v>103</v>
      </c>
      <c r="C135" s="116">
        <v>6.0970000000000004</v>
      </c>
      <c r="E135" s="145" t="s">
        <v>73</v>
      </c>
      <c r="F135" s="116">
        <v>0.40248540625000001</v>
      </c>
      <c r="G135" s="116">
        <v>-21.616876987918321</v>
      </c>
      <c r="J135" s="1"/>
      <c r="K135" s="1"/>
      <c r="L135" s="1"/>
      <c r="M135" s="1"/>
      <c r="N135" s="1"/>
      <c r="O135" s="1"/>
      <c r="P135" s="1"/>
      <c r="Q135" s="1"/>
      <c r="V135" s="1"/>
      <c r="W135" s="1"/>
      <c r="X135" s="1"/>
      <c r="Y135" s="1"/>
      <c r="Z135" s="1"/>
      <c r="AA135" s="1"/>
      <c r="AB135" s="1"/>
    </row>
    <row r="136" spans="1:28" ht="11.25" customHeight="1" x14ac:dyDescent="0.2">
      <c r="A136" s="102">
        <v>57</v>
      </c>
      <c r="B136" s="102" t="s">
        <v>60</v>
      </c>
      <c r="C136" s="114">
        <v>1.663</v>
      </c>
      <c r="E136" s="144" t="s">
        <v>73</v>
      </c>
      <c r="F136" s="103">
        <v>11.200150000000001</v>
      </c>
      <c r="G136" s="114">
        <v>-21.700802316440157</v>
      </c>
      <c r="J136" s="1"/>
      <c r="K136" s="1"/>
      <c r="L136" s="1"/>
      <c r="M136" s="1"/>
      <c r="N136" s="1"/>
      <c r="O136" s="1"/>
      <c r="P136" s="1"/>
      <c r="Q136" s="1"/>
      <c r="V136" s="1"/>
      <c r="W136" s="1"/>
      <c r="X136" s="1"/>
      <c r="Y136" s="1"/>
      <c r="Z136" s="1"/>
      <c r="AA136" s="1"/>
      <c r="AB136" s="1"/>
    </row>
    <row r="137" spans="1:28" ht="11.25" customHeight="1" x14ac:dyDescent="0.2">
      <c r="A137" s="115">
        <v>58</v>
      </c>
      <c r="B137" s="115" t="s">
        <v>104</v>
      </c>
      <c r="C137" s="116">
        <v>2.9169999999999998</v>
      </c>
      <c r="E137" s="145" t="s">
        <v>73</v>
      </c>
      <c r="F137" s="116">
        <v>1.4289728749999999</v>
      </c>
      <c r="G137" s="116">
        <v>-15.523901497687138</v>
      </c>
      <c r="J137" s="1"/>
      <c r="K137" s="1"/>
      <c r="L137" s="1"/>
      <c r="M137" s="1"/>
      <c r="N137" s="1"/>
      <c r="O137" s="1"/>
      <c r="P137" s="1"/>
      <c r="Q137" s="1"/>
      <c r="V137" s="1"/>
      <c r="W137" s="1"/>
      <c r="X137" s="1"/>
      <c r="Y137" s="1"/>
      <c r="Z137" s="1"/>
      <c r="AA137" s="1"/>
      <c r="AB137" s="1"/>
    </row>
    <row r="138" spans="1:28" ht="11.25" customHeight="1" x14ac:dyDescent="0.2">
      <c r="A138" s="102">
        <v>59</v>
      </c>
      <c r="B138" s="102" t="s">
        <v>105</v>
      </c>
      <c r="C138" s="114">
        <v>6.5179999999999998</v>
      </c>
      <c r="E138" s="144" t="s">
        <v>73</v>
      </c>
      <c r="F138" s="103">
        <v>0.30509084375000001</v>
      </c>
      <c r="G138" s="114">
        <v>-21.710024251848537</v>
      </c>
      <c r="J138" s="1"/>
      <c r="K138" s="1"/>
      <c r="L138" s="1"/>
      <c r="M138" s="1"/>
      <c r="N138" s="1"/>
      <c r="O138" s="1"/>
      <c r="P138" s="1"/>
      <c r="Q138" s="1"/>
      <c r="V138" s="1"/>
      <c r="W138" s="1"/>
      <c r="X138" s="1"/>
      <c r="Y138" s="1"/>
      <c r="Z138" s="1"/>
      <c r="AA138" s="1"/>
      <c r="AB138" s="1"/>
    </row>
    <row r="139" spans="1:28" ht="11.25" customHeight="1" x14ac:dyDescent="0.2">
      <c r="A139" s="115">
        <v>60</v>
      </c>
      <c r="B139" s="115" t="s">
        <v>106</v>
      </c>
      <c r="C139" s="116">
        <v>6.1609999999999996</v>
      </c>
      <c r="E139" s="145" t="s">
        <v>73</v>
      </c>
      <c r="F139" s="116">
        <v>0.27477709374999998</v>
      </c>
      <c r="G139" s="116">
        <v>-21.524716810337601</v>
      </c>
      <c r="J139" s="1"/>
      <c r="K139" s="1"/>
      <c r="L139" s="1"/>
      <c r="M139" s="1"/>
      <c r="N139" s="1"/>
      <c r="O139" s="1"/>
      <c r="P139" s="1"/>
      <c r="Q139" s="1"/>
      <c r="V139" s="1"/>
      <c r="W139" s="1"/>
      <c r="X139" s="1"/>
      <c r="Y139" s="1"/>
      <c r="Z139" s="1"/>
      <c r="AA139" s="1"/>
      <c r="AB139" s="1"/>
    </row>
    <row r="140" spans="1:28" ht="11.25" customHeight="1" x14ac:dyDescent="0.2">
      <c r="A140" s="102">
        <v>61</v>
      </c>
      <c r="B140" s="102" t="s">
        <v>107</v>
      </c>
      <c r="C140" s="114">
        <v>6.17</v>
      </c>
      <c r="E140" s="144" t="s">
        <v>73</v>
      </c>
      <c r="F140" s="103">
        <v>0.39468825000000002</v>
      </c>
      <c r="G140" s="114">
        <v>-21.639206841247958</v>
      </c>
      <c r="J140" s="1"/>
      <c r="K140" s="1"/>
      <c r="L140" s="1"/>
      <c r="M140" s="1"/>
      <c r="N140" s="1"/>
      <c r="O140" s="1"/>
      <c r="P140" s="1"/>
      <c r="Q140" s="1"/>
      <c r="V140" s="1"/>
      <c r="W140" s="1"/>
      <c r="X140" s="1"/>
      <c r="Y140" s="1"/>
      <c r="Z140" s="1"/>
      <c r="AA140" s="1"/>
      <c r="AB140" s="1"/>
    </row>
    <row r="141" spans="1:28" ht="11.25" customHeight="1" x14ac:dyDescent="0.2">
      <c r="A141" s="115">
        <v>62</v>
      </c>
      <c r="B141" s="115" t="s">
        <v>108</v>
      </c>
      <c r="C141" s="116">
        <v>6.218</v>
      </c>
      <c r="E141" s="145" t="s">
        <v>73</v>
      </c>
      <c r="F141" s="116">
        <v>0.25411826562500001</v>
      </c>
      <c r="G141" s="116">
        <v>-23.941139796264519</v>
      </c>
      <c r="J141" s="1"/>
      <c r="K141" s="1"/>
      <c r="L141" s="1"/>
      <c r="M141" s="1"/>
      <c r="N141" s="1"/>
      <c r="O141" s="1"/>
      <c r="P141" s="1"/>
      <c r="Q141" s="1"/>
      <c r="V141" s="1"/>
      <c r="W141" s="1"/>
      <c r="X141" s="1"/>
      <c r="Y141" s="1"/>
      <c r="Z141" s="1"/>
      <c r="AA141" s="1"/>
      <c r="AB141" s="1"/>
    </row>
    <row r="142" spans="1:28" ht="11.25" customHeight="1" x14ac:dyDescent="0.2">
      <c r="A142" s="102">
        <v>63</v>
      </c>
      <c r="B142" s="102" t="s">
        <v>109</v>
      </c>
      <c r="C142" s="114">
        <v>6.2460000000000004</v>
      </c>
      <c r="E142" s="144" t="s">
        <v>73</v>
      </c>
      <c r="F142" s="103">
        <v>0.22573460937500001</v>
      </c>
      <c r="G142" s="114">
        <v>-24.200793345436796</v>
      </c>
      <c r="J142" s="1"/>
      <c r="K142" s="1"/>
      <c r="L142" s="1"/>
      <c r="M142" s="1"/>
      <c r="N142" s="1"/>
      <c r="O142" s="1"/>
      <c r="P142" s="1"/>
      <c r="Q142" s="1"/>
      <c r="V142" s="1"/>
      <c r="W142" s="1"/>
      <c r="X142" s="1"/>
      <c r="Y142" s="1"/>
      <c r="Z142" s="1"/>
      <c r="AA142" s="1"/>
      <c r="AB142" s="1"/>
    </row>
    <row r="143" spans="1:28" ht="11.25" customHeight="1" x14ac:dyDescent="0.2">
      <c r="A143" s="115">
        <v>64</v>
      </c>
      <c r="B143" s="115" t="s">
        <v>110</v>
      </c>
      <c r="C143" s="116">
        <v>6.0170000000000003</v>
      </c>
      <c r="E143" s="145" t="s">
        <v>73</v>
      </c>
      <c r="F143" s="116">
        <v>0.19942431250000001</v>
      </c>
      <c r="G143" s="116">
        <v>-23.521653576350104</v>
      </c>
      <c r="J143" s="1"/>
      <c r="K143" s="1"/>
      <c r="L143" s="1"/>
      <c r="M143" s="1"/>
      <c r="N143" s="1"/>
      <c r="O143" s="1"/>
      <c r="P143" s="1"/>
      <c r="Q143" s="1"/>
      <c r="V143" s="1"/>
      <c r="W143" s="1"/>
      <c r="X143" s="1"/>
      <c r="Y143" s="1"/>
      <c r="Z143" s="1"/>
      <c r="AA143" s="1"/>
      <c r="AB143" s="1"/>
    </row>
    <row r="144" spans="1:28" ht="11.25" customHeight="1" x14ac:dyDescent="0.2">
      <c r="A144" s="102">
        <v>65</v>
      </c>
      <c r="B144" s="102" t="s">
        <v>111</v>
      </c>
      <c r="C144" s="114">
        <v>6.4359999999999999</v>
      </c>
      <c r="E144" s="144" t="s">
        <v>73</v>
      </c>
      <c r="F144" s="103">
        <v>0.41919006250000002</v>
      </c>
      <c r="G144" s="114">
        <v>-25.776483945480475</v>
      </c>
      <c r="J144" s="1"/>
      <c r="K144" s="1"/>
      <c r="L144" s="1"/>
      <c r="M144" s="1"/>
      <c r="N144" s="1"/>
      <c r="O144" s="1"/>
      <c r="P144" s="1"/>
      <c r="Q144" s="1"/>
      <c r="V144" s="1"/>
      <c r="W144" s="1"/>
      <c r="X144" s="1"/>
      <c r="Y144" s="1"/>
      <c r="Z144" s="1"/>
      <c r="AA144" s="1"/>
      <c r="AB144" s="1"/>
    </row>
    <row r="145" spans="1:28" ht="11.25" customHeight="1" x14ac:dyDescent="0.2">
      <c r="A145" s="115">
        <v>66</v>
      </c>
      <c r="B145" s="115" t="s">
        <v>112</v>
      </c>
      <c r="C145" s="116">
        <v>5.8019999999999996</v>
      </c>
      <c r="E145" s="145" t="s">
        <v>73</v>
      </c>
      <c r="F145" s="116">
        <v>0.35754681249999998</v>
      </c>
      <c r="G145" s="116">
        <v>-25.441088657082048</v>
      </c>
      <c r="J145" s="1"/>
      <c r="K145" s="1"/>
      <c r="L145" s="1"/>
      <c r="M145" s="1"/>
      <c r="N145" s="1"/>
      <c r="O145" s="1"/>
      <c r="P145" s="1"/>
      <c r="Q145" s="1"/>
      <c r="V145" s="1"/>
      <c r="W145" s="1"/>
      <c r="X145" s="1"/>
      <c r="Y145" s="1"/>
      <c r="Z145" s="1"/>
      <c r="AA145" s="1"/>
      <c r="AB145" s="1"/>
    </row>
    <row r="146" spans="1:28" ht="11.25" customHeight="1" x14ac:dyDescent="0.2">
      <c r="A146" s="102">
        <v>67</v>
      </c>
      <c r="B146" s="102" t="s">
        <v>113</v>
      </c>
      <c r="C146" s="114">
        <v>6.0789999999999997</v>
      </c>
      <c r="E146" s="144" t="s">
        <v>73</v>
      </c>
      <c r="F146" s="103">
        <v>0.33316343749999999</v>
      </c>
      <c r="G146" s="114">
        <v>-25.243500692679351</v>
      </c>
      <c r="J146" s="1"/>
      <c r="K146" s="1"/>
      <c r="L146" s="1"/>
      <c r="M146" s="1"/>
      <c r="N146" s="1"/>
      <c r="O146" s="1"/>
      <c r="P146" s="1"/>
      <c r="Q146" s="1"/>
      <c r="V146" s="1"/>
      <c r="W146" s="1"/>
      <c r="X146" s="1"/>
      <c r="Y146" s="1"/>
      <c r="Z146" s="1"/>
      <c r="AA146" s="1"/>
      <c r="AB146" s="1"/>
    </row>
    <row r="147" spans="1:28" ht="11.25" customHeight="1" x14ac:dyDescent="0.2">
      <c r="A147" s="115">
        <v>68</v>
      </c>
      <c r="B147" s="115" t="s">
        <v>114</v>
      </c>
      <c r="C147" s="116">
        <v>6.157</v>
      </c>
      <c r="E147" s="145" t="s">
        <v>73</v>
      </c>
      <c r="F147" s="116">
        <v>0.1115143984375</v>
      </c>
      <c r="G147" s="116">
        <v>-26.834767033922478</v>
      </c>
      <c r="J147" s="1"/>
      <c r="K147" s="1"/>
      <c r="L147" s="1"/>
      <c r="M147" s="1"/>
      <c r="N147" s="1"/>
      <c r="O147" s="1"/>
      <c r="P147" s="1"/>
      <c r="Q147" s="1"/>
      <c r="V147" s="1"/>
      <c r="W147" s="1"/>
      <c r="X147" s="1"/>
      <c r="Y147" s="1"/>
      <c r="Z147" s="1"/>
      <c r="AA147" s="1"/>
      <c r="AB147" s="1"/>
    </row>
    <row r="148" spans="1:28" ht="11.25" customHeight="1" x14ac:dyDescent="0.2">
      <c r="A148" s="102">
        <v>69</v>
      </c>
      <c r="B148" s="102" t="s">
        <v>115</v>
      </c>
      <c r="C148" s="114">
        <v>6.29</v>
      </c>
      <c r="E148" s="144" t="s">
        <v>73</v>
      </c>
      <c r="F148" s="103">
        <v>0.15364295312500001</v>
      </c>
      <c r="G148" s="114">
        <v>-25.155054941051773</v>
      </c>
      <c r="J148" s="1"/>
      <c r="K148" s="1"/>
      <c r="L148" s="1"/>
      <c r="M148" s="1"/>
      <c r="N148" s="1"/>
      <c r="O148" s="1"/>
      <c r="P148" s="1"/>
      <c r="Q148" s="1"/>
      <c r="V148" s="1"/>
      <c r="W148" s="1"/>
      <c r="X148" s="1"/>
      <c r="Y148" s="1"/>
      <c r="Z148" s="1"/>
      <c r="AA148" s="1"/>
      <c r="AB148" s="1"/>
    </row>
    <row r="149" spans="1:28" ht="11.25" customHeight="1" x14ac:dyDescent="0.2">
      <c r="A149" s="115">
        <v>70</v>
      </c>
      <c r="B149" s="115" t="s">
        <v>116</v>
      </c>
      <c r="C149" s="116">
        <v>6.2329999999999997</v>
      </c>
      <c r="E149" s="145" t="s">
        <v>73</v>
      </c>
      <c r="F149" s="116">
        <v>0.11693025781249999</v>
      </c>
      <c r="G149" s="116">
        <v>-26.378869376798928</v>
      </c>
      <c r="J149" s="1"/>
      <c r="K149" s="1"/>
      <c r="L149" s="1"/>
      <c r="M149" s="1"/>
      <c r="N149" s="1"/>
      <c r="O149" s="1"/>
      <c r="P149" s="1"/>
      <c r="Q149" s="1"/>
      <c r="V149" s="1"/>
      <c r="W149" s="1"/>
      <c r="X149" s="1"/>
      <c r="Y149" s="1"/>
      <c r="Z149" s="1"/>
      <c r="AA149" s="1"/>
      <c r="AB149" s="1"/>
    </row>
    <row r="150" spans="1:28" ht="11.25" customHeight="1" x14ac:dyDescent="0.25">
      <c r="A150" s="102">
        <v>71</v>
      </c>
      <c r="B150" s="102" t="s">
        <v>72</v>
      </c>
      <c r="C150" s="114">
        <v>1.9139999999999999</v>
      </c>
      <c r="E150" s="144" t="s">
        <v>73</v>
      </c>
      <c r="F150" s="103">
        <v>12.889695</v>
      </c>
      <c r="G150" s="114">
        <v>-21.571157701579718</v>
      </c>
      <c r="H150"/>
      <c r="I150"/>
      <c r="J150" s="1"/>
      <c r="K150" s="1"/>
      <c r="L150" s="1"/>
      <c r="M150" s="1"/>
      <c r="N150" s="1"/>
      <c r="O150" s="1"/>
      <c r="P150" s="1"/>
      <c r="Q150" s="1"/>
      <c r="V150" s="1"/>
      <c r="W150" s="1"/>
      <c r="X150" s="1"/>
      <c r="Y150" s="1"/>
      <c r="Z150" s="1"/>
      <c r="AA150" s="1"/>
      <c r="AB150" s="1"/>
    </row>
    <row r="151" spans="1:28" ht="11.25" customHeight="1" x14ac:dyDescent="0.25">
      <c r="A151" s="140">
        <v>72</v>
      </c>
      <c r="B151" s="140" t="s">
        <v>117</v>
      </c>
      <c r="C151" s="132">
        <v>2.6429999999999998</v>
      </c>
      <c r="E151" s="146" t="s">
        <v>73</v>
      </c>
      <c r="F151" s="132">
        <v>1.2695743749999999</v>
      </c>
      <c r="G151" s="132">
        <v>-15.225321009404269</v>
      </c>
      <c r="H151"/>
      <c r="I151"/>
      <c r="J151" s="1"/>
      <c r="K151" s="1"/>
      <c r="L151" s="1"/>
      <c r="M151" s="1"/>
      <c r="N151" s="1"/>
      <c r="O151" s="1"/>
      <c r="P151" s="1"/>
      <c r="Q151" s="1"/>
      <c r="V151" s="1"/>
      <c r="W151" s="1"/>
      <c r="X151" s="1"/>
      <c r="Y151" s="1"/>
      <c r="Z151" s="1"/>
      <c r="AA151" s="1"/>
      <c r="AB151" s="1"/>
    </row>
    <row r="152" spans="1:28" ht="11.25" customHeight="1" x14ac:dyDescent="0.25">
      <c r="I152" s="7"/>
      <c r="J152" s="7"/>
      <c r="K152" s="7"/>
      <c r="L152" s="1"/>
      <c r="M152" s="1"/>
      <c r="N152" s="1"/>
      <c r="O152" s="1"/>
      <c r="Q152" s="1"/>
      <c r="U152"/>
      <c r="AB152" s="1"/>
    </row>
    <row r="153" spans="1:28" ht="11.25" customHeight="1" x14ac:dyDescent="0.25">
      <c r="I153" s="7"/>
      <c r="J153" s="7"/>
      <c r="K153" s="7"/>
      <c r="L153" s="1"/>
      <c r="M153" s="1"/>
      <c r="N153" s="1"/>
      <c r="O153" s="1"/>
      <c r="Q153" s="1"/>
      <c r="U153"/>
      <c r="AB153" s="1"/>
    </row>
    <row r="154" spans="1:28" ht="11.25" customHeight="1" x14ac:dyDescent="0.25">
      <c r="I154" s="10"/>
      <c r="L154" s="7"/>
      <c r="Q154" s="1"/>
      <c r="U154"/>
      <c r="AB154" s="1"/>
    </row>
    <row r="155" spans="1:28" ht="11.25" customHeight="1" x14ac:dyDescent="0.25">
      <c r="I155" s="10"/>
      <c r="L155" s="7"/>
      <c r="Q155" s="1"/>
      <c r="U155"/>
      <c r="AB155" s="1"/>
    </row>
    <row r="156" spans="1:28" ht="11.25" customHeight="1" x14ac:dyDescent="0.25">
      <c r="I156" s="10"/>
      <c r="L156" s="7"/>
      <c r="Q156" s="1"/>
      <c r="U156"/>
      <c r="AB156" s="1"/>
    </row>
    <row r="157" spans="1:28" ht="11.25" customHeight="1" x14ac:dyDescent="0.25">
      <c r="I157" s="10"/>
      <c r="L157" s="7"/>
      <c r="Q157" s="1"/>
      <c r="U157"/>
      <c r="AB157" s="1"/>
    </row>
    <row r="158" spans="1:28" ht="11.25" customHeight="1" x14ac:dyDescent="0.25">
      <c r="I158" s="10"/>
      <c r="L158" s="7"/>
      <c r="Q158" s="1"/>
      <c r="U158"/>
      <c r="AB158" s="1"/>
    </row>
    <row r="159" spans="1:28" ht="11.25" customHeight="1" x14ac:dyDescent="0.25">
      <c r="I159" s="10"/>
      <c r="L159" s="7"/>
      <c r="Q159" s="1"/>
      <c r="U159"/>
      <c r="AB159" s="1"/>
    </row>
    <row r="160" spans="1:28" ht="11.25" customHeight="1" x14ac:dyDescent="0.25">
      <c r="I160" s="10"/>
      <c r="L160" s="7"/>
      <c r="Q160" s="1"/>
      <c r="U160"/>
      <c r="AB160" s="1"/>
    </row>
    <row r="161" spans="9:28" ht="11.25" customHeight="1" x14ac:dyDescent="0.25">
      <c r="I161" s="10"/>
      <c r="L161" s="7"/>
      <c r="Q161" s="1"/>
      <c r="U161"/>
      <c r="AB161" s="1"/>
    </row>
    <row r="162" spans="9:28" ht="11.25" customHeight="1" x14ac:dyDescent="0.25">
      <c r="I162" s="10"/>
      <c r="L162" s="7"/>
      <c r="Q162" s="1"/>
      <c r="U162"/>
      <c r="AB162" s="1"/>
    </row>
    <row r="163" spans="9:28" ht="11.25" customHeight="1" x14ac:dyDescent="0.25">
      <c r="I163" s="10"/>
      <c r="L163" s="7"/>
      <c r="Q163" s="1"/>
      <c r="U163"/>
      <c r="AB163" s="1"/>
    </row>
    <row r="164" spans="9:28" ht="11.25" customHeight="1" x14ac:dyDescent="0.25">
      <c r="I164" s="10"/>
      <c r="L164" s="7"/>
      <c r="Q164" s="1"/>
      <c r="U164"/>
      <c r="AB164" s="1"/>
    </row>
    <row r="165" spans="9:28" ht="11.25" customHeight="1" x14ac:dyDescent="0.25">
      <c r="I165" s="10"/>
      <c r="L165" s="7"/>
      <c r="Q165" s="1"/>
      <c r="U165"/>
      <c r="AB165" s="1"/>
    </row>
    <row r="166" spans="9:28" ht="11.25" customHeight="1" x14ac:dyDescent="0.25">
      <c r="I166" s="10"/>
      <c r="L166" s="7"/>
      <c r="Q166" s="1"/>
      <c r="U166"/>
      <c r="AB166" s="1"/>
    </row>
    <row r="167" spans="9:28" ht="11.25" customHeight="1" x14ac:dyDescent="0.25">
      <c r="I167" s="10"/>
      <c r="L167" s="7"/>
      <c r="Q167" s="1"/>
      <c r="U167"/>
      <c r="AB167" s="1"/>
    </row>
    <row r="168" spans="9:28" ht="11.25" customHeight="1" x14ac:dyDescent="0.25">
      <c r="I168" s="10"/>
      <c r="L168" s="7"/>
      <c r="Q168" s="1"/>
      <c r="U168"/>
      <c r="AB168" s="1"/>
    </row>
    <row r="169" spans="9:28" ht="11.25" customHeight="1" x14ac:dyDescent="0.25">
      <c r="I169" s="10"/>
      <c r="L169" s="7"/>
      <c r="Q169" s="1"/>
      <c r="U169"/>
      <c r="AB169" s="1"/>
    </row>
    <row r="170" spans="9:28" ht="11.25" customHeight="1" x14ac:dyDescent="0.25">
      <c r="I170" s="10"/>
      <c r="L170" s="7"/>
      <c r="Q170" s="1"/>
      <c r="U170"/>
      <c r="AB170" s="1"/>
    </row>
    <row r="171" spans="9:28" ht="11.25" customHeight="1" x14ac:dyDescent="0.25">
      <c r="I171" s="10"/>
      <c r="L171" s="7"/>
      <c r="Q171" s="1"/>
      <c r="U171"/>
      <c r="AB171" s="1"/>
    </row>
    <row r="172" spans="9:28" ht="11.25" customHeight="1" x14ac:dyDescent="0.25">
      <c r="I172" s="10"/>
      <c r="L172" s="7"/>
      <c r="Q172" s="1"/>
      <c r="U172"/>
      <c r="AB172" s="1"/>
    </row>
    <row r="173" spans="9:28" ht="11.25" customHeight="1" x14ac:dyDescent="0.25">
      <c r="I173" s="10"/>
      <c r="L173" s="7"/>
      <c r="Q173" s="1"/>
      <c r="U173"/>
      <c r="AB173" s="1"/>
    </row>
    <row r="174" spans="9:28" ht="11.25" customHeight="1" x14ac:dyDescent="0.25">
      <c r="I174" s="10"/>
      <c r="L174" s="7"/>
      <c r="Q174" s="1"/>
      <c r="U174"/>
      <c r="AB174" s="1"/>
    </row>
    <row r="175" spans="9:28" ht="11.25" customHeight="1" x14ac:dyDescent="0.25">
      <c r="I175" s="10"/>
      <c r="L175" s="7"/>
      <c r="Q175" s="1"/>
      <c r="U175"/>
      <c r="AB175" s="1"/>
    </row>
    <row r="176" spans="9:28" ht="11.25" customHeight="1" x14ac:dyDescent="0.25">
      <c r="I176" s="10"/>
      <c r="L176" s="7"/>
      <c r="Q176" s="1"/>
      <c r="U176"/>
      <c r="AB176" s="1"/>
    </row>
    <row r="177" spans="9:28" ht="11.25" customHeight="1" x14ac:dyDescent="0.25">
      <c r="I177" s="10"/>
      <c r="L177" s="7"/>
      <c r="Q177" s="1"/>
      <c r="U177"/>
      <c r="AB177" s="1"/>
    </row>
    <row r="178" spans="9:28" ht="11.25" customHeight="1" x14ac:dyDescent="0.25">
      <c r="I178" s="10"/>
      <c r="L178" s="7"/>
      <c r="Q178" s="1"/>
      <c r="U178"/>
      <c r="AB178" s="1"/>
    </row>
    <row r="179" spans="9:28" ht="11.25" customHeight="1" x14ac:dyDescent="0.25">
      <c r="I179" s="10"/>
      <c r="L179" s="7"/>
      <c r="Q179" s="1"/>
      <c r="U179"/>
      <c r="AB179" s="1"/>
    </row>
    <row r="180" spans="9:28" ht="11.25" customHeight="1" x14ac:dyDescent="0.25">
      <c r="I180" s="10"/>
      <c r="L180" s="7"/>
      <c r="Q180" s="1"/>
      <c r="U180"/>
      <c r="AB180" s="1"/>
    </row>
    <row r="181" spans="9:28" ht="11.25" customHeight="1" x14ac:dyDescent="0.25">
      <c r="I181" s="10"/>
      <c r="L181" s="7"/>
      <c r="Q181" s="1"/>
      <c r="U181"/>
      <c r="AB181" s="1"/>
    </row>
    <row r="182" spans="9:28" ht="11.25" customHeight="1" x14ac:dyDescent="0.25">
      <c r="I182" s="10"/>
      <c r="L182" s="7"/>
      <c r="Q182" s="1"/>
      <c r="U182"/>
      <c r="AB182" s="1"/>
    </row>
    <row r="183" spans="9:28" ht="11.25" customHeight="1" x14ac:dyDescent="0.25">
      <c r="I183" s="10"/>
      <c r="L183" s="7"/>
      <c r="Q183" s="1"/>
      <c r="U183"/>
      <c r="AB183" s="1"/>
    </row>
    <row r="184" spans="9:28" ht="11.25" customHeight="1" x14ac:dyDescent="0.25">
      <c r="I184" s="10"/>
      <c r="L184" s="7"/>
      <c r="Q184" s="1"/>
      <c r="U184"/>
      <c r="AB184" s="1"/>
    </row>
    <row r="185" spans="9:28" ht="11.25" customHeight="1" x14ac:dyDescent="0.25">
      <c r="I185" s="10"/>
      <c r="L185" s="7"/>
      <c r="Q185" s="1"/>
      <c r="U185"/>
      <c r="AB185" s="1"/>
    </row>
    <row r="186" spans="9:28" ht="11.25" customHeight="1" x14ac:dyDescent="0.25">
      <c r="I186" s="10"/>
      <c r="L186" s="7"/>
      <c r="Q186" s="1"/>
      <c r="U186"/>
      <c r="AB186" s="1"/>
    </row>
    <row r="187" spans="9:28" ht="11.25" customHeight="1" x14ac:dyDescent="0.25">
      <c r="I187" s="10"/>
      <c r="L187" s="7"/>
      <c r="Q187" s="1"/>
      <c r="U187"/>
      <c r="AB187" s="1"/>
    </row>
    <row r="188" spans="9:28" ht="11.25" customHeight="1" x14ac:dyDescent="0.25">
      <c r="I188" s="10"/>
      <c r="L188" s="7"/>
      <c r="Q188" s="1"/>
      <c r="U188"/>
      <c r="AB188" s="1"/>
    </row>
    <row r="189" spans="9:28" ht="11.25" customHeight="1" x14ac:dyDescent="0.25">
      <c r="I189" s="10"/>
      <c r="L189" s="7"/>
      <c r="Q189" s="1"/>
      <c r="U189"/>
      <c r="AB189" s="1"/>
    </row>
    <row r="190" spans="9:28" ht="11.25" customHeight="1" x14ac:dyDescent="0.25">
      <c r="I190" s="10"/>
      <c r="L190" s="7"/>
      <c r="Q190" s="1"/>
      <c r="U190"/>
      <c r="AB190" s="1"/>
    </row>
    <row r="191" spans="9:28" ht="11.25" customHeight="1" x14ac:dyDescent="0.25">
      <c r="I191" s="10"/>
      <c r="L191" s="7"/>
      <c r="Q191" s="1"/>
      <c r="U191"/>
      <c r="AB191" s="1"/>
    </row>
    <row r="192" spans="9:28" ht="11.25" customHeight="1" x14ac:dyDescent="0.25">
      <c r="I192" s="10"/>
      <c r="L192" s="7"/>
      <c r="Q192" s="1"/>
      <c r="U192"/>
      <c r="AB192" s="1"/>
    </row>
    <row r="193" spans="9:28" ht="11.25" customHeight="1" x14ac:dyDescent="0.25">
      <c r="I193" s="10"/>
      <c r="L193" s="7"/>
      <c r="Q193" s="1"/>
      <c r="U193"/>
      <c r="AB193" s="1"/>
    </row>
    <row r="194" spans="9:28" ht="11.25" customHeight="1" x14ac:dyDescent="0.25">
      <c r="I194" s="10"/>
      <c r="L194" s="7"/>
      <c r="Q194" s="1"/>
      <c r="U194"/>
      <c r="AB194" s="1"/>
    </row>
    <row r="195" spans="9:28" ht="11.25" customHeight="1" x14ac:dyDescent="0.25">
      <c r="I195" s="10"/>
      <c r="L195" s="7"/>
      <c r="Q195" s="1"/>
      <c r="U195"/>
      <c r="AB195" s="1"/>
    </row>
    <row r="196" spans="9:28" ht="11.25" customHeight="1" x14ac:dyDescent="0.25">
      <c r="I196" s="10"/>
      <c r="L196" s="7"/>
      <c r="Q196" s="1"/>
      <c r="U196"/>
      <c r="AB196" s="1"/>
    </row>
    <row r="197" spans="9:28" ht="11.25" customHeight="1" x14ac:dyDescent="0.25">
      <c r="I197" s="10"/>
      <c r="L197" s="7"/>
      <c r="Q197" s="1"/>
      <c r="U197"/>
      <c r="AB197" s="1"/>
    </row>
    <row r="198" spans="9:28" ht="11.25" customHeight="1" x14ac:dyDescent="0.25">
      <c r="I198" s="10"/>
      <c r="L198" s="7"/>
      <c r="Q198" s="1"/>
      <c r="U198"/>
      <c r="AB198" s="1"/>
    </row>
    <row r="199" spans="9:28" ht="11.25" customHeight="1" x14ac:dyDescent="0.25">
      <c r="I199" s="10"/>
      <c r="L199" s="7"/>
      <c r="Q199" s="1"/>
      <c r="U199"/>
      <c r="AB199" s="1"/>
    </row>
    <row r="200" spans="9:28" ht="11.25" customHeight="1" x14ac:dyDescent="0.25">
      <c r="I200" s="10"/>
      <c r="L200" s="7"/>
      <c r="Q200" s="1"/>
      <c r="U200"/>
      <c r="AB200" s="1"/>
    </row>
    <row r="201" spans="9:28" ht="11.25" customHeight="1" x14ac:dyDescent="0.25">
      <c r="I201" s="10"/>
      <c r="L201" s="7"/>
      <c r="Q201" s="1"/>
      <c r="U201"/>
      <c r="AB201" s="1"/>
    </row>
    <row r="202" spans="9:28" ht="11.25" customHeight="1" x14ac:dyDescent="0.25">
      <c r="I202" s="10"/>
      <c r="L202" s="7"/>
    </row>
    <row r="203" spans="9:28" ht="11.25" customHeight="1" x14ac:dyDescent="0.25">
      <c r="I203" s="10"/>
      <c r="L203" s="7"/>
    </row>
  </sheetData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M3" sqref="M3"/>
    </sheetView>
  </sheetViews>
  <sheetFormatPr defaultRowHeight="15" x14ac:dyDescent="0.25"/>
  <sheetData>
    <row r="1" spans="1:13" x14ac:dyDescent="0.25">
      <c r="B1" t="s">
        <v>236</v>
      </c>
      <c r="D1" t="s">
        <v>237</v>
      </c>
    </row>
    <row r="2" spans="1:13" x14ac:dyDescent="0.25">
      <c r="B2" t="s">
        <v>231</v>
      </c>
      <c r="G2" t="s">
        <v>239</v>
      </c>
      <c r="H2" t="s">
        <v>241</v>
      </c>
      <c r="I2" t="s">
        <v>242</v>
      </c>
      <c r="K2" t="s">
        <v>243</v>
      </c>
      <c r="M2" t="s">
        <v>248</v>
      </c>
    </row>
    <row r="3" spans="1:13" x14ac:dyDescent="0.25">
      <c r="B3">
        <v>2.9580000000000002</v>
      </c>
      <c r="D3">
        <v>3.0539999999999998</v>
      </c>
      <c r="F3" t="s">
        <v>238</v>
      </c>
      <c r="G3">
        <v>37</v>
      </c>
      <c r="H3">
        <f>((G3^2)*3.14519)/4</f>
        <v>1076.4412775000001</v>
      </c>
      <c r="I3">
        <f>H3</f>
        <v>1076.4412775000001</v>
      </c>
      <c r="M3" s="167">
        <f>I3/I4</f>
        <v>27.380000000000003</v>
      </c>
    </row>
    <row r="4" spans="1:13" x14ac:dyDescent="0.25">
      <c r="B4">
        <v>3.0339999999999998</v>
      </c>
      <c r="D4">
        <v>3.09</v>
      </c>
      <c r="F4" t="s">
        <v>240</v>
      </c>
      <c r="G4">
        <v>5</v>
      </c>
      <c r="H4">
        <f>((G4^2)*3.14519)/4</f>
        <v>19.6574375</v>
      </c>
      <c r="I4">
        <f>H4*2</f>
        <v>39.314875000000001</v>
      </c>
      <c r="K4">
        <f>I4/I3</f>
        <v>3.6523009495982466E-2</v>
      </c>
    </row>
    <row r="5" spans="1:13" x14ac:dyDescent="0.25">
      <c r="B5">
        <v>3.1070000000000002</v>
      </c>
      <c r="D5">
        <v>3.1560000000000001</v>
      </c>
    </row>
    <row r="6" spans="1:13" x14ac:dyDescent="0.25">
      <c r="B6">
        <v>2.9449999999999998</v>
      </c>
      <c r="D6">
        <v>3.0670000000000002</v>
      </c>
    </row>
    <row r="7" spans="1:13" x14ac:dyDescent="0.25">
      <c r="B7">
        <v>3.0190000000000001</v>
      </c>
      <c r="D7">
        <v>3.2080000000000002</v>
      </c>
    </row>
    <row r="8" spans="1:13" x14ac:dyDescent="0.25">
      <c r="B8">
        <v>2.97</v>
      </c>
      <c r="D8">
        <v>3.1720000000000002</v>
      </c>
    </row>
    <row r="9" spans="1:13" x14ac:dyDescent="0.25">
      <c r="B9">
        <v>3.117</v>
      </c>
      <c r="D9">
        <v>3.0960000000000001</v>
      </c>
    </row>
    <row r="10" spans="1:13" x14ac:dyDescent="0.25">
      <c r="B10">
        <v>3.0169999999999999</v>
      </c>
      <c r="D10">
        <v>3.0790000000000002</v>
      </c>
    </row>
    <row r="11" spans="1:13" x14ac:dyDescent="0.25">
      <c r="B11">
        <v>3.137</v>
      </c>
      <c r="D11">
        <v>3.0379999999999998</v>
      </c>
    </row>
    <row r="12" spans="1:13" x14ac:dyDescent="0.25">
      <c r="B12">
        <v>2.9180000000000001</v>
      </c>
      <c r="D12">
        <v>3.0209999999999999</v>
      </c>
    </row>
    <row r="14" spans="1:13" x14ac:dyDescent="0.25">
      <c r="A14" t="s">
        <v>232</v>
      </c>
      <c r="B14" s="164">
        <f>AVERAGE(B3:B12)</f>
        <v>3.0222000000000002</v>
      </c>
      <c r="D14" s="164">
        <f>AVERAGE(D3:D12)</f>
        <v>3.0981000000000001</v>
      </c>
    </row>
    <row r="16" spans="1:13" x14ac:dyDescent="0.25">
      <c r="A16" t="s">
        <v>233</v>
      </c>
      <c r="B16">
        <f>B14*2</f>
        <v>6.0444000000000004</v>
      </c>
      <c r="D16">
        <f>D14*2</f>
        <v>6.1962000000000002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91"/>
  <sheetViews>
    <sheetView tabSelected="1" topLeftCell="A46" workbookViewId="0">
      <selection activeCell="J85" sqref="J85"/>
    </sheetView>
  </sheetViews>
  <sheetFormatPr defaultRowHeight="15" x14ac:dyDescent="0.25"/>
  <cols>
    <col min="1" max="1" width="18.140625" bestFit="1" customWidth="1"/>
    <col min="8" max="8" width="9.140625" style="175"/>
  </cols>
  <sheetData>
    <row r="2" spans="1:9" s="1" customFormat="1" ht="11.25" customHeight="1" x14ac:dyDescent="0.2">
      <c r="A2" s="92"/>
      <c r="B2" s="91" t="s">
        <v>40</v>
      </c>
      <c r="C2" s="92" t="s">
        <v>54</v>
      </c>
      <c r="D2" s="92" t="s">
        <v>69</v>
      </c>
      <c r="E2" s="93" t="s">
        <v>43</v>
      </c>
      <c r="F2" s="94" t="s">
        <v>38</v>
      </c>
      <c r="H2" s="173" t="s">
        <v>249</v>
      </c>
    </row>
    <row r="3" spans="1:9" s="100" customFormat="1" ht="11.25" customHeight="1" x14ac:dyDescent="0.2">
      <c r="A3" s="178"/>
      <c r="B3" s="179"/>
      <c r="C3" s="178"/>
      <c r="D3" s="178"/>
      <c r="E3" s="180"/>
      <c r="F3" s="181"/>
      <c r="H3" s="174"/>
    </row>
    <row r="4" spans="1:9" s="100" customFormat="1" ht="11.25" customHeight="1" x14ac:dyDescent="0.2">
      <c r="H4" s="174"/>
    </row>
    <row r="5" spans="1:9" s="100" customFormat="1" ht="11.25" customHeight="1" x14ac:dyDescent="0.2">
      <c r="A5" s="102">
        <v>31</v>
      </c>
      <c r="B5" s="102" t="s">
        <v>79</v>
      </c>
      <c r="C5" s="114">
        <v>6.3940000000000001</v>
      </c>
      <c r="D5" s="103">
        <v>0.20551514062500001</v>
      </c>
      <c r="E5" s="123">
        <v>-25.580816239035741</v>
      </c>
      <c r="F5" s="171">
        <v>1.3629969641390627E-2</v>
      </c>
      <c r="G5" s="172">
        <v>44634</v>
      </c>
      <c r="H5" s="174">
        <f>F5*27.38</f>
        <v>0.37318856878127538</v>
      </c>
      <c r="I5" s="100">
        <f>AVERAGE(H5:H7)</f>
        <v>0.35545825382283852</v>
      </c>
    </row>
    <row r="6" spans="1:9" s="100" customFormat="1" ht="11.25" customHeight="1" x14ac:dyDescent="0.2">
      <c r="A6" s="115">
        <v>32</v>
      </c>
      <c r="B6" s="115" t="s">
        <v>80</v>
      </c>
      <c r="C6" s="116">
        <v>6.0670000000000002</v>
      </c>
      <c r="D6" s="116">
        <v>0.18674604687499999</v>
      </c>
      <c r="E6" s="123">
        <v>-25.204287027449048</v>
      </c>
      <c r="F6" s="171">
        <v>1.2385184574796875E-2</v>
      </c>
      <c r="G6" s="172">
        <v>44634</v>
      </c>
      <c r="H6" s="174">
        <f t="shared" ref="H6:H40" si="0">F6*27.38</f>
        <v>0.33910635365793845</v>
      </c>
    </row>
    <row r="7" spans="1:9" s="100" customFormat="1" ht="11.25" customHeight="1" x14ac:dyDescent="0.2">
      <c r="A7" s="102">
        <v>33</v>
      </c>
      <c r="B7" s="102" t="s">
        <v>81</v>
      </c>
      <c r="C7" s="114">
        <v>6.2350000000000003</v>
      </c>
      <c r="D7" s="103">
        <v>0.19499195312500001</v>
      </c>
      <c r="E7" s="123">
        <v>-25.557724620120741</v>
      </c>
      <c r="F7" s="171">
        <v>1.2932061323203126E-2</v>
      </c>
      <c r="G7" s="172">
        <v>44634</v>
      </c>
      <c r="H7" s="174">
        <f t="shared" si="0"/>
        <v>0.35407983902930157</v>
      </c>
    </row>
    <row r="8" spans="1:9" s="7" customFormat="1" ht="11.25" customHeight="1" x14ac:dyDescent="0.2">
      <c r="A8" s="115">
        <v>34</v>
      </c>
      <c r="B8" s="115" t="s">
        <v>82</v>
      </c>
      <c r="C8" s="116">
        <v>6.7990000000000004</v>
      </c>
      <c r="D8" s="116">
        <v>0.54136724999999997</v>
      </c>
      <c r="E8" s="123">
        <v>-25.455226189934631</v>
      </c>
      <c r="F8" s="171">
        <v>3.5904017387249999E-2</v>
      </c>
      <c r="G8" s="172">
        <v>44634</v>
      </c>
      <c r="H8" s="174">
        <f t="shared" si="0"/>
        <v>0.98305199606290494</v>
      </c>
      <c r="I8" s="100">
        <f>AVERAGE(H8:H10)</f>
        <v>1.046437323968445</v>
      </c>
    </row>
    <row r="9" spans="1:9" s="100" customFormat="1" ht="11.25" customHeight="1" x14ac:dyDescent="0.2">
      <c r="A9" s="102">
        <v>35</v>
      </c>
      <c r="B9" s="102" t="s">
        <v>83</v>
      </c>
      <c r="C9" s="114">
        <v>6.4409999999999998</v>
      </c>
      <c r="D9" s="103">
        <v>0.54405281250000004</v>
      </c>
      <c r="E9" s="123">
        <v>-25.609877671583739</v>
      </c>
      <c r="F9" s="171">
        <v>3.6082126577812505E-2</v>
      </c>
      <c r="G9" s="172">
        <v>44634</v>
      </c>
      <c r="H9" s="174">
        <f t="shared" si="0"/>
        <v>0.98792862570050632</v>
      </c>
    </row>
    <row r="10" spans="1:9" s="100" customFormat="1" ht="11.25" customHeight="1" x14ac:dyDescent="0.2">
      <c r="A10" s="115">
        <v>36</v>
      </c>
      <c r="B10" s="115" t="s">
        <v>84</v>
      </c>
      <c r="C10" s="116">
        <v>6.4080000000000004</v>
      </c>
      <c r="D10" s="116">
        <v>0.64340068750000001</v>
      </c>
      <c r="E10" s="123">
        <v>-25.596048274194132</v>
      </c>
      <c r="F10" s="171">
        <v>4.2670976995687504E-2</v>
      </c>
      <c r="G10" s="172">
        <v>44634</v>
      </c>
      <c r="H10" s="174">
        <f t="shared" si="0"/>
        <v>1.1683313501419239</v>
      </c>
    </row>
    <row r="11" spans="1:9" s="100" customFormat="1" ht="11.25" customHeight="1" x14ac:dyDescent="0.2">
      <c r="A11" s="102">
        <v>37</v>
      </c>
      <c r="B11" s="102" t="s">
        <v>85</v>
      </c>
      <c r="C11" s="114">
        <v>6.0880000000000001</v>
      </c>
      <c r="D11" s="103">
        <v>0.34163900000000003</v>
      </c>
      <c r="E11" s="123">
        <v>-21.894560682869351</v>
      </c>
      <c r="F11" s="171">
        <v>2.2657840119000003E-2</v>
      </c>
      <c r="G11" s="172">
        <v>44634</v>
      </c>
      <c r="H11" s="174">
        <f t="shared" si="0"/>
        <v>0.62037166245822006</v>
      </c>
      <c r="I11" s="100">
        <f>AVERAGE(H11:H13)</f>
        <v>0.39719240842078224</v>
      </c>
    </row>
    <row r="12" spans="1:9" s="100" customFormat="1" ht="11.25" customHeight="1" x14ac:dyDescent="0.2">
      <c r="A12" s="115">
        <v>38</v>
      </c>
      <c r="B12" s="115" t="s">
        <v>86</v>
      </c>
      <c r="C12" s="116">
        <v>6.2060000000000004</v>
      </c>
      <c r="D12" s="116">
        <v>0.157727375</v>
      </c>
      <c r="E12" s="123">
        <v>-26.865040812557815</v>
      </c>
      <c r="F12" s="171">
        <v>1.0460637237375002E-2</v>
      </c>
      <c r="G12" s="172">
        <v>44634</v>
      </c>
      <c r="H12" s="174">
        <f t="shared" si="0"/>
        <v>0.28641224755932754</v>
      </c>
    </row>
    <row r="13" spans="1:9" s="100" customFormat="1" ht="11.25" customHeight="1" x14ac:dyDescent="0.2">
      <c r="A13" s="102">
        <v>39</v>
      </c>
      <c r="B13" s="102" t="s">
        <v>87</v>
      </c>
      <c r="C13" s="114">
        <v>6.2779999999999996</v>
      </c>
      <c r="D13" s="103">
        <v>0.15683582812499999</v>
      </c>
      <c r="E13" s="123">
        <v>-27.069831378424507</v>
      </c>
      <c r="F13" s="171">
        <v>1.0401508957078125E-2</v>
      </c>
      <c r="G13" s="172">
        <v>44634</v>
      </c>
      <c r="H13" s="174">
        <f t="shared" si="0"/>
        <v>0.28479331524479906</v>
      </c>
    </row>
    <row r="14" spans="1:9" s="100" customFormat="1" ht="11.25" customHeight="1" x14ac:dyDescent="0.2">
      <c r="A14" s="115">
        <v>40</v>
      </c>
      <c r="B14" s="115" t="s">
        <v>88</v>
      </c>
      <c r="C14" s="116">
        <v>6.08</v>
      </c>
      <c r="D14" s="116">
        <v>0.14710037500000001</v>
      </c>
      <c r="E14" s="123">
        <v>-29.303175949559584</v>
      </c>
      <c r="F14" s="171">
        <v>9.755843970375001E-3</v>
      </c>
      <c r="G14" s="172">
        <v>44634</v>
      </c>
      <c r="H14" s="174">
        <f t="shared" si="0"/>
        <v>0.2671150079088675</v>
      </c>
      <c r="I14" s="100">
        <f>AVERAGE(H14:H16)</f>
        <v>0.33234237884337697</v>
      </c>
    </row>
    <row r="15" spans="1:9" s="100" customFormat="1" ht="11.25" customHeight="1" x14ac:dyDescent="0.2">
      <c r="A15" s="102">
        <v>41</v>
      </c>
      <c r="B15" s="102" t="s">
        <v>89</v>
      </c>
      <c r="C15" s="114">
        <v>6.5410000000000004</v>
      </c>
      <c r="D15" s="103">
        <v>0.2811078125</v>
      </c>
      <c r="E15" s="123">
        <v>-26.891336469308701</v>
      </c>
      <c r="F15" s="171">
        <v>1.8643351232812501E-2</v>
      </c>
      <c r="G15" s="172">
        <v>44634</v>
      </c>
      <c r="H15" s="174">
        <f t="shared" si="0"/>
        <v>0.51045495675440622</v>
      </c>
    </row>
    <row r="16" spans="1:9" s="100" customFormat="1" ht="11.25" customHeight="1" x14ac:dyDescent="0.2">
      <c r="A16" s="115">
        <v>42</v>
      </c>
      <c r="B16" s="115" t="s">
        <v>90</v>
      </c>
      <c r="C16" s="116">
        <v>6.2480000000000002</v>
      </c>
      <c r="D16" s="116">
        <v>0.12085517968749999</v>
      </c>
      <c r="E16" s="123">
        <v>-29.72310985813305</v>
      </c>
      <c r="F16" s="171">
        <v>8.0152363720546876E-3</v>
      </c>
      <c r="G16" s="172">
        <v>44634</v>
      </c>
      <c r="H16" s="174">
        <f t="shared" si="0"/>
        <v>0.21945717186685734</v>
      </c>
    </row>
    <row r="17" spans="1:9" s="100" customFormat="1" ht="11.25" customHeight="1" x14ac:dyDescent="0.2">
      <c r="A17" s="102">
        <v>45</v>
      </c>
      <c r="B17" s="102" t="s">
        <v>92</v>
      </c>
      <c r="C17" s="114">
        <v>6.1539999999999999</v>
      </c>
      <c r="D17" s="103">
        <v>0.178611390625</v>
      </c>
      <c r="E17" s="123">
        <v>-27.505101498565072</v>
      </c>
      <c r="F17" s="171">
        <v>1.1845686037640626E-2</v>
      </c>
      <c r="G17" s="172">
        <v>44634</v>
      </c>
      <c r="H17" s="174">
        <f t="shared" si="0"/>
        <v>0.32433488371060032</v>
      </c>
      <c r="I17" s="100">
        <f>AVERAGE(H17:H19)</f>
        <v>0.33481118985762565</v>
      </c>
    </row>
    <row r="18" spans="1:9" s="100" customFormat="1" ht="11.25" customHeight="1" x14ac:dyDescent="0.2">
      <c r="A18" s="115">
        <v>46</v>
      </c>
      <c r="B18" s="115" t="s">
        <v>93</v>
      </c>
      <c r="C18" s="116">
        <v>6.0650000000000004</v>
      </c>
      <c r="D18" s="116">
        <v>0.18546467187499999</v>
      </c>
      <c r="E18" s="123">
        <v>-27.280501615513749</v>
      </c>
      <c r="F18" s="171">
        <v>1.2300202503421875E-2</v>
      </c>
      <c r="G18" s="172">
        <v>44634</v>
      </c>
      <c r="H18" s="174">
        <f t="shared" si="0"/>
        <v>0.33677954454369091</v>
      </c>
    </row>
    <row r="19" spans="1:9" s="100" customFormat="1" ht="11.25" customHeight="1" x14ac:dyDescent="0.2">
      <c r="A19" s="102">
        <v>47</v>
      </c>
      <c r="B19" s="102" t="s">
        <v>94</v>
      </c>
      <c r="C19" s="114">
        <v>6.3929999999999998</v>
      </c>
      <c r="D19" s="103">
        <v>0.18906603124999999</v>
      </c>
      <c r="E19" s="123">
        <v>-27.531601938594626</v>
      </c>
      <c r="F19" s="171">
        <v>1.2539048258531251E-2</v>
      </c>
      <c r="G19" s="172">
        <v>44634</v>
      </c>
      <c r="H19" s="174">
        <f t="shared" si="0"/>
        <v>0.34331914131858565</v>
      </c>
    </row>
    <row r="20" spans="1:9" s="100" customFormat="1" ht="11.25" customHeight="1" x14ac:dyDescent="0.2">
      <c r="A20" s="115">
        <v>48</v>
      </c>
      <c r="B20" s="115" t="s">
        <v>95</v>
      </c>
      <c r="C20" s="116">
        <v>6.1689999999999996</v>
      </c>
      <c r="D20" s="116">
        <v>0.19684798437500001</v>
      </c>
      <c r="E20" s="123">
        <v>-26.878086474374893</v>
      </c>
      <c r="F20" s="171">
        <v>1.3055155171734377E-2</v>
      </c>
      <c r="G20" s="172">
        <v>44634</v>
      </c>
      <c r="H20" s="174">
        <f t="shared" si="0"/>
        <v>0.35745014860208724</v>
      </c>
      <c r="I20" s="100">
        <f>AVERAGE(H20:H22)</f>
        <v>0.49779418859739377</v>
      </c>
    </row>
    <row r="21" spans="1:9" s="100" customFormat="1" ht="11.25" customHeight="1" x14ac:dyDescent="0.2">
      <c r="A21" s="102">
        <v>49</v>
      </c>
      <c r="B21" s="102" t="s">
        <v>96</v>
      </c>
      <c r="C21" s="114">
        <v>6.1369999999999996</v>
      </c>
      <c r="D21" s="103">
        <v>0.209286703125</v>
      </c>
      <c r="E21" s="123">
        <v>-27.034368395844822</v>
      </c>
      <c r="F21" s="171">
        <v>1.3880103437953126E-2</v>
      </c>
      <c r="G21" s="172">
        <v>44634</v>
      </c>
      <c r="H21" s="174">
        <f t="shared" si="0"/>
        <v>0.38003723213115659</v>
      </c>
    </row>
    <row r="22" spans="1:9" s="100" customFormat="1" ht="11.25" customHeight="1" x14ac:dyDescent="0.2">
      <c r="A22" s="102">
        <v>50</v>
      </c>
      <c r="B22" s="102" t="s">
        <v>97</v>
      </c>
      <c r="C22" s="103">
        <v>6.2229999999999999</v>
      </c>
      <c r="D22" s="103">
        <v>0.41627187500000001</v>
      </c>
      <c r="E22" s="123">
        <v>-25.263983723890377</v>
      </c>
      <c r="F22" s="171">
        <v>2.7607567021875001E-2</v>
      </c>
      <c r="G22" s="172">
        <v>44634</v>
      </c>
      <c r="H22" s="174">
        <f t="shared" si="0"/>
        <v>0.75589518505893749</v>
      </c>
    </row>
    <row r="23" spans="1:9" s="100" customFormat="1" ht="11.25" customHeight="1" x14ac:dyDescent="0.2">
      <c r="A23" s="102">
        <v>51</v>
      </c>
      <c r="B23" s="102" t="s">
        <v>98</v>
      </c>
      <c r="C23" s="114">
        <v>6.2060000000000004</v>
      </c>
      <c r="D23" s="103">
        <v>0.245857734375</v>
      </c>
      <c r="E23" s="123">
        <v>-26.770641535104069</v>
      </c>
      <c r="F23" s="171">
        <v>1.6305530801484378E-2</v>
      </c>
      <c r="G23" s="172">
        <v>44634</v>
      </c>
      <c r="H23" s="174">
        <f t="shared" si="0"/>
        <v>0.44644543334464226</v>
      </c>
      <c r="I23" s="100">
        <f>AVERAGE(H23:H25)</f>
        <v>0.47710769568542255</v>
      </c>
    </row>
    <row r="24" spans="1:9" s="100" customFormat="1" ht="11.25" customHeight="1" x14ac:dyDescent="0.2">
      <c r="A24" s="115">
        <v>52</v>
      </c>
      <c r="B24" s="115" t="s">
        <v>99</v>
      </c>
      <c r="C24" s="116">
        <v>6.1219999999999999</v>
      </c>
      <c r="D24" s="116">
        <v>0.260729984375</v>
      </c>
      <c r="E24" s="123">
        <v>-27.043737695377349</v>
      </c>
      <c r="F24" s="171">
        <v>1.7291873293734376E-2</v>
      </c>
      <c r="G24" s="172">
        <v>44634</v>
      </c>
      <c r="H24" s="174">
        <f t="shared" si="0"/>
        <v>0.47345149078244719</v>
      </c>
    </row>
    <row r="25" spans="1:9" s="100" customFormat="1" ht="11.25" customHeight="1" x14ac:dyDescent="0.2">
      <c r="A25" s="102">
        <v>53</v>
      </c>
      <c r="B25" s="102" t="s">
        <v>100</v>
      </c>
      <c r="C25" s="114">
        <v>6.1420000000000003</v>
      </c>
      <c r="D25" s="103">
        <v>0.28164265625000001</v>
      </c>
      <c r="E25" s="123">
        <v>-26.302080166639321</v>
      </c>
      <c r="F25" s="171">
        <v>1.8678822605156253E-2</v>
      </c>
      <c r="G25" s="172">
        <v>44634</v>
      </c>
      <c r="H25" s="174">
        <f t="shared" si="0"/>
        <v>0.5114261629291782</v>
      </c>
    </row>
    <row r="26" spans="1:9" s="100" customFormat="1" ht="11.25" customHeight="1" x14ac:dyDescent="0.2">
      <c r="A26" s="115">
        <v>54</v>
      </c>
      <c r="B26" s="115" t="s">
        <v>101</v>
      </c>
      <c r="C26" s="116">
        <v>6.1340000000000003</v>
      </c>
      <c r="D26" s="116">
        <v>0.38989806249999998</v>
      </c>
      <c r="E26" s="123">
        <v>-25.26913686622499</v>
      </c>
      <c r="F26" s="171">
        <v>2.5858429403062499E-2</v>
      </c>
      <c r="G26" s="172">
        <v>44634</v>
      </c>
      <c r="H26" s="174">
        <f t="shared" si="0"/>
        <v>0.70800379705585115</v>
      </c>
      <c r="I26" s="100">
        <f>AVERAGE(H26:H28)</f>
        <v>0.75074101119692438</v>
      </c>
    </row>
    <row r="27" spans="1:9" s="100" customFormat="1" ht="11.25" customHeight="1" x14ac:dyDescent="0.2">
      <c r="A27" s="102">
        <v>55</v>
      </c>
      <c r="B27" s="102" t="s">
        <v>102</v>
      </c>
      <c r="C27" s="114">
        <v>6.4130000000000003</v>
      </c>
      <c r="D27" s="103">
        <v>0.4479169375</v>
      </c>
      <c r="E27" s="123">
        <v>-25.350645810483972</v>
      </c>
      <c r="F27" s="171">
        <v>2.9706299211937501E-2</v>
      </c>
      <c r="G27" s="172">
        <v>44634</v>
      </c>
      <c r="H27" s="174">
        <f t="shared" si="0"/>
        <v>0.81335847242284876</v>
      </c>
    </row>
    <row r="28" spans="1:9" s="100" customFormat="1" ht="11.25" customHeight="1" x14ac:dyDescent="0.2">
      <c r="A28" s="115">
        <v>56</v>
      </c>
      <c r="B28" s="115" t="s">
        <v>103</v>
      </c>
      <c r="C28" s="116">
        <v>6.0970000000000004</v>
      </c>
      <c r="D28" s="116">
        <v>0.40248540625000001</v>
      </c>
      <c r="E28" s="123">
        <v>-25.825082376547833</v>
      </c>
      <c r="F28" s="171">
        <v>2.6693234627906251E-2</v>
      </c>
      <c r="G28" s="172">
        <v>44634</v>
      </c>
      <c r="H28" s="174">
        <f t="shared" si="0"/>
        <v>0.73086076411207312</v>
      </c>
    </row>
    <row r="29" spans="1:9" s="100" customFormat="1" ht="11.25" customHeight="1" x14ac:dyDescent="0.2">
      <c r="A29" s="102">
        <v>59</v>
      </c>
      <c r="B29" s="102" t="s">
        <v>105</v>
      </c>
      <c r="C29" s="114">
        <v>6.5179999999999998</v>
      </c>
      <c r="D29" s="103">
        <v>0.30509084375000001</v>
      </c>
      <c r="E29" s="123">
        <v>-25.918229640478049</v>
      </c>
      <c r="F29" s="171">
        <v>2.0233929848343751E-2</v>
      </c>
      <c r="G29" s="172">
        <v>44634</v>
      </c>
      <c r="H29" s="174">
        <f t="shared" si="0"/>
        <v>0.5540049992476519</v>
      </c>
      <c r="I29" s="100">
        <f>AVERAGE(H29:H31)</f>
        <v>0.58988878338277129</v>
      </c>
    </row>
    <row r="30" spans="1:9" s="100" customFormat="1" ht="11.25" customHeight="1" x14ac:dyDescent="0.2">
      <c r="A30" s="115">
        <v>60</v>
      </c>
      <c r="B30" s="115" t="s">
        <v>106</v>
      </c>
      <c r="C30" s="116">
        <v>6.1609999999999996</v>
      </c>
      <c r="D30" s="116">
        <v>0.27477709374999998</v>
      </c>
      <c r="E30" s="123">
        <v>-25.732922198967113</v>
      </c>
      <c r="F30" s="171">
        <v>1.822349163459375E-2</v>
      </c>
      <c r="G30" s="172">
        <v>44634</v>
      </c>
      <c r="H30" s="174">
        <f t="shared" si="0"/>
        <v>0.49895920095517687</v>
      </c>
    </row>
    <row r="31" spans="1:9" s="100" customFormat="1" ht="11.25" customHeight="1" x14ac:dyDescent="0.2">
      <c r="A31" s="102">
        <v>61</v>
      </c>
      <c r="B31" s="102" t="s">
        <v>107</v>
      </c>
      <c r="C31" s="114">
        <v>6.17</v>
      </c>
      <c r="D31" s="103">
        <v>0.39468825000000002</v>
      </c>
      <c r="E31" s="123">
        <v>-25.84741222987747</v>
      </c>
      <c r="F31" s="171">
        <v>2.6176119428250003E-2</v>
      </c>
      <c r="G31" s="172">
        <v>44634</v>
      </c>
      <c r="H31" s="174">
        <f t="shared" si="0"/>
        <v>0.71670214994548509</v>
      </c>
    </row>
    <row r="32" spans="1:9" s="100" customFormat="1" ht="11.25" customHeight="1" x14ac:dyDescent="0.2">
      <c r="A32" s="115">
        <v>62</v>
      </c>
      <c r="B32" s="115" t="s">
        <v>108</v>
      </c>
      <c r="C32" s="116">
        <v>6.218</v>
      </c>
      <c r="D32" s="116">
        <v>0.25411826562500001</v>
      </c>
      <c r="E32" s="123">
        <v>-28.149345184894031</v>
      </c>
      <c r="F32" s="171">
        <v>1.6853377494515626E-2</v>
      </c>
      <c r="G32" s="172">
        <v>44634</v>
      </c>
      <c r="H32" s="174">
        <f t="shared" si="0"/>
        <v>0.4614454757998378</v>
      </c>
      <c r="I32" s="100">
        <f>AVERAGE(H32:H34)</f>
        <v>0.41115945786763125</v>
      </c>
    </row>
    <row r="33" spans="1:9" s="100" customFormat="1" ht="11.25" customHeight="1" x14ac:dyDescent="0.2">
      <c r="A33" s="102">
        <v>63</v>
      </c>
      <c r="B33" s="102" t="s">
        <v>109</v>
      </c>
      <c r="C33" s="114">
        <v>6.2460000000000004</v>
      </c>
      <c r="D33" s="103">
        <v>0.22573460937500001</v>
      </c>
      <c r="E33" s="123">
        <v>-28.408998734066309</v>
      </c>
      <c r="F33" s="171">
        <v>1.4970945028359377E-2</v>
      </c>
      <c r="G33" s="172">
        <v>44634</v>
      </c>
      <c r="H33" s="174">
        <f t="shared" si="0"/>
        <v>0.40990447487647974</v>
      </c>
    </row>
    <row r="34" spans="1:9" s="100" customFormat="1" ht="11.25" customHeight="1" x14ac:dyDescent="0.2">
      <c r="A34" s="115">
        <v>64</v>
      </c>
      <c r="B34" s="115" t="s">
        <v>110</v>
      </c>
      <c r="C34" s="116">
        <v>6.0170000000000003</v>
      </c>
      <c r="D34" s="116">
        <v>0.19942431250000001</v>
      </c>
      <c r="E34" s="123">
        <v>-27.729858964979616</v>
      </c>
      <c r="F34" s="171">
        <v>1.3226019829312501E-2</v>
      </c>
      <c r="G34" s="172">
        <v>44634</v>
      </c>
      <c r="H34" s="174">
        <f t="shared" si="0"/>
        <v>0.36212842292657627</v>
      </c>
    </row>
    <row r="35" spans="1:9" s="100" customFormat="1" ht="11.25" customHeight="1" x14ac:dyDescent="0.2">
      <c r="A35" s="102">
        <v>65</v>
      </c>
      <c r="B35" s="102" t="s">
        <v>111</v>
      </c>
      <c r="C35" s="114">
        <v>6.4359999999999999</v>
      </c>
      <c r="D35" s="103">
        <v>0.41919006250000002</v>
      </c>
      <c r="E35" s="123">
        <v>-29.984689334109987</v>
      </c>
      <c r="F35" s="171">
        <v>2.7801104135062503E-2</v>
      </c>
      <c r="G35" s="172">
        <v>44634</v>
      </c>
      <c r="H35" s="174">
        <f t="shared" si="0"/>
        <v>0.76119423121801133</v>
      </c>
      <c r="I35" s="100">
        <f>AVERAGE(H35:H37)</f>
        <v>0.67181118278701879</v>
      </c>
    </row>
    <row r="36" spans="1:9" s="100" customFormat="1" ht="11.25" customHeight="1" x14ac:dyDescent="0.2">
      <c r="A36" s="102">
        <v>66</v>
      </c>
      <c r="B36" s="102" t="s">
        <v>112</v>
      </c>
      <c r="C36" s="103">
        <v>5.8019999999999996</v>
      </c>
      <c r="D36" s="103">
        <v>0.35754681249999998</v>
      </c>
      <c r="E36" s="123">
        <v>-29.64929404571156</v>
      </c>
      <c r="F36" s="171">
        <v>2.3712862151812501E-2</v>
      </c>
      <c r="G36" s="172">
        <v>44634</v>
      </c>
      <c r="H36" s="174">
        <f t="shared" si="0"/>
        <v>0.64925816571662631</v>
      </c>
    </row>
    <row r="37" spans="1:9" s="100" customFormat="1" ht="11.25" customHeight="1" x14ac:dyDescent="0.2">
      <c r="A37" s="102">
        <v>67</v>
      </c>
      <c r="B37" s="102" t="s">
        <v>113</v>
      </c>
      <c r="C37" s="114">
        <v>6.0789999999999997</v>
      </c>
      <c r="D37" s="103">
        <v>0.33316343749999999</v>
      </c>
      <c r="E37" s="123">
        <v>-29.451706081308863</v>
      </c>
      <c r="F37" s="171">
        <v>2.20957323384375E-2</v>
      </c>
      <c r="G37" s="172">
        <v>44634</v>
      </c>
      <c r="H37" s="174">
        <f t="shared" si="0"/>
        <v>0.60498115142641873</v>
      </c>
    </row>
    <row r="38" spans="1:9" s="100" customFormat="1" ht="11.25" customHeight="1" x14ac:dyDescent="0.2">
      <c r="A38" s="115">
        <v>68</v>
      </c>
      <c r="B38" s="115" t="s">
        <v>114</v>
      </c>
      <c r="C38" s="116">
        <v>6.157</v>
      </c>
      <c r="D38" s="116">
        <v>0.1115143984375</v>
      </c>
      <c r="E38" s="123">
        <v>-31.042972422551991</v>
      </c>
      <c r="F38" s="171">
        <v>7.3957464187734377E-3</v>
      </c>
      <c r="G38" s="172">
        <v>44634</v>
      </c>
      <c r="H38" s="174">
        <f t="shared" si="0"/>
        <v>0.20249553694601671</v>
      </c>
      <c r="I38" s="100">
        <f>AVERAGE(H38:H40)</f>
        <v>0.23127367916880659</v>
      </c>
    </row>
    <row r="39" spans="1:9" s="100" customFormat="1" ht="11.25" customHeight="1" x14ac:dyDescent="0.2">
      <c r="A39" s="102">
        <v>69</v>
      </c>
      <c r="B39" s="102" t="s">
        <v>115</v>
      </c>
      <c r="C39" s="114">
        <v>6.29</v>
      </c>
      <c r="D39" s="103">
        <v>0.15364295312500001</v>
      </c>
      <c r="E39" s="123">
        <v>-29.363260329681285</v>
      </c>
      <c r="F39" s="171">
        <v>1.0189754294203126E-2</v>
      </c>
      <c r="G39" s="172">
        <v>44634</v>
      </c>
      <c r="H39" s="174">
        <f t="shared" si="0"/>
        <v>0.27899547257528157</v>
      </c>
    </row>
    <row r="40" spans="1:9" s="100" customFormat="1" ht="11.25" customHeight="1" x14ac:dyDescent="0.2">
      <c r="A40" s="102">
        <v>70</v>
      </c>
      <c r="B40" s="102" t="s">
        <v>116</v>
      </c>
      <c r="C40" s="103">
        <v>6.2329999999999997</v>
      </c>
      <c r="D40" s="103">
        <v>0.11693025781249999</v>
      </c>
      <c r="E40" s="123">
        <v>-30.58707476542844</v>
      </c>
      <c r="F40" s="171">
        <v>7.7549316283828124E-3</v>
      </c>
      <c r="G40" s="172">
        <v>44634</v>
      </c>
      <c r="H40" s="174">
        <f t="shared" si="0"/>
        <v>0.21233002798512141</v>
      </c>
    </row>
    <row r="41" spans="1:9" s="100" customFormat="1" ht="11.25" customHeight="1" x14ac:dyDescent="0.2">
      <c r="H41" s="174"/>
    </row>
    <row r="42" spans="1:9" s="100" customFormat="1" ht="11.25" customHeight="1" x14ac:dyDescent="0.2">
      <c r="A42" s="102">
        <v>31</v>
      </c>
      <c r="B42" s="102" t="s">
        <v>118</v>
      </c>
      <c r="C42" s="114">
        <v>6.1660000000000004</v>
      </c>
      <c r="D42" s="103">
        <v>0.20463965625</v>
      </c>
      <c r="E42" s="123">
        <v>-27.593561513906284</v>
      </c>
      <c r="F42" s="171">
        <v>1.34395047845625E-2</v>
      </c>
      <c r="G42" s="172">
        <v>44635</v>
      </c>
      <c r="H42" s="174">
        <f>F42*27.38</f>
        <v>0.36797364100132124</v>
      </c>
      <c r="I42" s="100">
        <f>AVERAGE(H42:H44)</f>
        <v>0.34429548199145893</v>
      </c>
    </row>
    <row r="43" spans="1:9" s="100" customFormat="1" ht="11.25" customHeight="1" x14ac:dyDescent="0.2">
      <c r="A43" s="115">
        <v>32</v>
      </c>
      <c r="B43" s="115" t="s">
        <v>119</v>
      </c>
      <c r="C43" s="116">
        <v>5.5419999999999998</v>
      </c>
      <c r="D43" s="116">
        <v>0.16994975000000001</v>
      </c>
      <c r="E43" s="123">
        <v>-28.287577993212089</v>
      </c>
      <c r="F43" s="171">
        <v>1.1161279881499999E-2</v>
      </c>
      <c r="G43" s="172">
        <v>44635</v>
      </c>
      <c r="H43" s="174">
        <f t="shared" ref="H43:H77" si="1">F43*27.38</f>
        <v>0.30559584315546995</v>
      </c>
    </row>
    <row r="44" spans="1:9" s="100" customFormat="1" ht="11.25" customHeight="1" x14ac:dyDescent="0.2">
      <c r="A44" s="102">
        <v>33</v>
      </c>
      <c r="B44" s="102" t="s">
        <v>120</v>
      </c>
      <c r="C44" s="114">
        <v>6.2489999999999997</v>
      </c>
      <c r="D44" s="103">
        <v>0.199825453125</v>
      </c>
      <c r="E44" s="123">
        <v>-28.204038350095125</v>
      </c>
      <c r="F44" s="171">
        <v>1.3123336808531248E-2</v>
      </c>
      <c r="G44" s="172">
        <v>44635</v>
      </c>
      <c r="H44" s="174">
        <f t="shared" si="1"/>
        <v>0.35931696181758555</v>
      </c>
    </row>
    <row r="45" spans="1:9" s="7" customFormat="1" ht="11.25" customHeight="1" x14ac:dyDescent="0.2">
      <c r="A45" s="115">
        <v>34</v>
      </c>
      <c r="B45" s="115" t="s">
        <v>121</v>
      </c>
      <c r="C45" s="116">
        <v>5.89</v>
      </c>
      <c r="D45" s="116">
        <v>0.20433084374999999</v>
      </c>
      <c r="E45" s="123">
        <v>-29.744315727392934</v>
      </c>
      <c r="F45" s="171">
        <v>1.3419223832437498E-2</v>
      </c>
      <c r="G45" s="172">
        <v>44635</v>
      </c>
      <c r="H45" s="174">
        <f t="shared" si="1"/>
        <v>0.36741834853213867</v>
      </c>
      <c r="I45" s="100">
        <f>AVERAGE(H45:H47)</f>
        <v>0.38268099641422432</v>
      </c>
    </row>
    <row r="46" spans="1:9" s="100" customFormat="1" ht="11.25" customHeight="1" x14ac:dyDescent="0.2">
      <c r="A46" s="102">
        <v>35</v>
      </c>
      <c r="B46" s="102" t="s">
        <v>122</v>
      </c>
      <c r="C46" s="114">
        <v>6.274</v>
      </c>
      <c r="D46" s="103">
        <v>0.216806078125</v>
      </c>
      <c r="E46" s="123">
        <v>-29.752923117279323</v>
      </c>
      <c r="F46" s="171">
        <v>1.4238522374781249E-2</v>
      </c>
      <c r="G46" s="172">
        <v>44635</v>
      </c>
      <c r="H46" s="174">
        <f t="shared" si="1"/>
        <v>0.38985074262151059</v>
      </c>
    </row>
    <row r="47" spans="1:9" s="100" customFormat="1" ht="11.25" customHeight="1" x14ac:dyDescent="0.2">
      <c r="A47" s="115">
        <v>36</v>
      </c>
      <c r="B47" s="115" t="s">
        <v>123</v>
      </c>
      <c r="C47" s="116">
        <v>6.0860000000000003</v>
      </c>
      <c r="D47" s="116">
        <v>0.21731946874999999</v>
      </c>
      <c r="E47" s="123">
        <v>-29.237102426149793</v>
      </c>
      <c r="F47" s="171">
        <v>1.4272238790687499E-2</v>
      </c>
      <c r="G47" s="172">
        <v>44635</v>
      </c>
      <c r="H47" s="174">
        <f t="shared" si="1"/>
        <v>0.39077389808902374</v>
      </c>
    </row>
    <row r="48" spans="1:9" s="100" customFormat="1" ht="11.25" customHeight="1" x14ac:dyDescent="0.2">
      <c r="A48" s="102">
        <v>37</v>
      </c>
      <c r="B48" s="102" t="s">
        <v>124</v>
      </c>
      <c r="C48" s="114">
        <v>6.24</v>
      </c>
      <c r="D48" s="103">
        <v>0.16647840624999999</v>
      </c>
      <c r="E48" s="123">
        <v>-29.959459744568129</v>
      </c>
      <c r="F48" s="171">
        <v>1.0933302852062499E-2</v>
      </c>
      <c r="G48" s="172">
        <v>44635</v>
      </c>
      <c r="H48" s="174">
        <f t="shared" si="1"/>
        <v>0.29935383208947119</v>
      </c>
      <c r="I48" s="100">
        <f>AVERAGE(H48:H50)</f>
        <v>0.313369731685532</v>
      </c>
    </row>
    <row r="49" spans="1:9" s="100" customFormat="1" ht="11.25" customHeight="1" x14ac:dyDescent="0.2">
      <c r="A49" s="115">
        <v>38</v>
      </c>
      <c r="B49" s="115" t="s">
        <v>125</v>
      </c>
      <c r="C49" s="116">
        <v>6.3049999999999997</v>
      </c>
      <c r="D49" s="116">
        <v>0.1818513125</v>
      </c>
      <c r="E49" s="123">
        <v>-29.993376722780578</v>
      </c>
      <c r="F49" s="171">
        <v>1.1942903097124999E-2</v>
      </c>
      <c r="G49" s="172">
        <v>44635</v>
      </c>
      <c r="H49" s="174">
        <f t="shared" si="1"/>
        <v>0.32699668679928245</v>
      </c>
    </row>
    <row r="50" spans="1:9" s="100" customFormat="1" ht="11.25" customHeight="1" x14ac:dyDescent="0.2">
      <c r="A50" s="102">
        <v>39</v>
      </c>
      <c r="B50" s="102" t="s">
        <v>126</v>
      </c>
      <c r="C50" s="114">
        <v>6.3419999999999996</v>
      </c>
      <c r="D50" s="103">
        <v>0.17448931249999999</v>
      </c>
      <c r="E50" s="123">
        <v>-29.777742932059557</v>
      </c>
      <c r="F50" s="171">
        <v>1.1459411109124998E-2</v>
      </c>
      <c r="G50" s="172">
        <v>44635</v>
      </c>
      <c r="H50" s="174">
        <f t="shared" si="1"/>
        <v>0.31375867616784242</v>
      </c>
    </row>
    <row r="51" spans="1:9" s="100" customFormat="1" ht="11.25" customHeight="1" x14ac:dyDescent="0.2">
      <c r="A51" s="115">
        <v>40</v>
      </c>
      <c r="B51" s="115" t="s">
        <v>127</v>
      </c>
      <c r="C51" s="116">
        <v>6.7830000000000004</v>
      </c>
      <c r="D51" s="116">
        <v>0.47048734375000001</v>
      </c>
      <c r="E51" s="123">
        <v>-26.323028260940035</v>
      </c>
      <c r="F51" s="171">
        <v>3.0898785813437499E-2</v>
      </c>
      <c r="G51" s="172">
        <v>44635</v>
      </c>
      <c r="H51" s="174">
        <f t="shared" si="1"/>
        <v>0.84600875557191868</v>
      </c>
      <c r="I51" s="100">
        <f>AVERAGE(H51:H53)</f>
        <v>0.82731469580186878</v>
      </c>
    </row>
    <row r="52" spans="1:9" s="100" customFormat="1" ht="11.25" customHeight="1" x14ac:dyDescent="0.2">
      <c r="A52" s="102">
        <v>41</v>
      </c>
      <c r="B52" s="102" t="s">
        <v>128</v>
      </c>
      <c r="C52" s="114">
        <v>6.2069999999999999</v>
      </c>
      <c r="D52" s="103">
        <v>0.39024431250000002</v>
      </c>
      <c r="E52" s="123">
        <v>-26.881189399357098</v>
      </c>
      <c r="F52" s="171">
        <v>2.5628904979125001E-2</v>
      </c>
      <c r="G52" s="172">
        <v>44635</v>
      </c>
      <c r="H52" s="174">
        <f t="shared" si="1"/>
        <v>0.70171941832844253</v>
      </c>
    </row>
    <row r="53" spans="1:9" s="100" customFormat="1" ht="11.25" customHeight="1" x14ac:dyDescent="0.2">
      <c r="A53" s="115">
        <v>42</v>
      </c>
      <c r="B53" s="115" t="s">
        <v>129</v>
      </c>
      <c r="C53" s="116">
        <v>6.6109999999999998</v>
      </c>
      <c r="D53" s="116">
        <v>0.51954162500000001</v>
      </c>
      <c r="E53" s="123">
        <v>-26.829883230383636</v>
      </c>
      <c r="F53" s="171">
        <v>3.4120376680249996E-2</v>
      </c>
      <c r="G53" s="172">
        <v>44635</v>
      </c>
      <c r="H53" s="174">
        <f t="shared" si="1"/>
        <v>0.93421591350524491</v>
      </c>
    </row>
    <row r="54" spans="1:9" s="100" customFormat="1" ht="11.25" customHeight="1" x14ac:dyDescent="0.2">
      <c r="A54" s="102">
        <v>45</v>
      </c>
      <c r="B54" s="102" t="s">
        <v>130</v>
      </c>
      <c r="C54" s="114">
        <v>6.5629999999999997</v>
      </c>
      <c r="D54" s="103">
        <v>0.87490968749999998</v>
      </c>
      <c r="E54" s="123">
        <v>-19.683255120033326</v>
      </c>
      <c r="F54" s="171">
        <v>5.7458818816874993E-2</v>
      </c>
      <c r="G54" s="172">
        <v>44635</v>
      </c>
      <c r="H54" s="174">
        <f t="shared" si="1"/>
        <v>1.5732224592060373</v>
      </c>
      <c r="I54" s="100">
        <f>AVERAGE(H54:H56)</f>
        <v>1.5306314181812617</v>
      </c>
    </row>
    <row r="55" spans="1:9" s="100" customFormat="1" ht="11.25" customHeight="1" x14ac:dyDescent="0.2">
      <c r="A55" s="115">
        <v>46</v>
      </c>
      <c r="B55" s="115" t="s">
        <v>131</v>
      </c>
      <c r="C55" s="116">
        <v>6.4059999999999997</v>
      </c>
      <c r="D55" s="116">
        <v>0.94467224999999999</v>
      </c>
      <c r="E55" s="123">
        <v>-19.871043849616115</v>
      </c>
      <c r="F55" s="171">
        <v>6.2040405346499995E-2</v>
      </c>
      <c r="G55" s="172">
        <v>44635</v>
      </c>
      <c r="H55" s="174">
        <f t="shared" si="1"/>
        <v>1.6986662983871699</v>
      </c>
    </row>
    <row r="56" spans="1:9" s="100" customFormat="1" ht="11.25" customHeight="1" x14ac:dyDescent="0.2">
      <c r="A56" s="102">
        <v>47</v>
      </c>
      <c r="B56" s="102" t="s">
        <v>132</v>
      </c>
      <c r="C56" s="114">
        <v>6.0780000000000003</v>
      </c>
      <c r="D56" s="103">
        <v>0.73408918749999996</v>
      </c>
      <c r="E56" s="123">
        <v>-19.114676119257027</v>
      </c>
      <c r="F56" s="171">
        <v>4.8210573299874993E-2</v>
      </c>
      <c r="G56" s="172">
        <v>44635</v>
      </c>
      <c r="H56" s="174">
        <f t="shared" si="1"/>
        <v>1.3200054969505772</v>
      </c>
    </row>
    <row r="57" spans="1:9" s="100" customFormat="1" ht="11.25" customHeight="1" x14ac:dyDescent="0.2">
      <c r="A57" s="115">
        <v>48</v>
      </c>
      <c r="B57" s="115" t="s">
        <v>133</v>
      </c>
      <c r="C57" s="116">
        <v>6.6420000000000003</v>
      </c>
      <c r="D57" s="116">
        <v>0.61701862500000004</v>
      </c>
      <c r="E57" s="123">
        <v>-17.497784066759365</v>
      </c>
      <c r="F57" s="171">
        <v>4.052208117825E-2</v>
      </c>
      <c r="G57" s="172">
        <v>44635</v>
      </c>
      <c r="H57" s="174">
        <f t="shared" si="1"/>
        <v>1.109494582660485</v>
      </c>
      <c r="I57" s="100">
        <f>AVERAGE(H57:H59)</f>
        <v>1.1106837244569674</v>
      </c>
    </row>
    <row r="58" spans="1:9" s="100" customFormat="1" ht="11.25" customHeight="1" x14ac:dyDescent="0.2">
      <c r="A58" s="102">
        <v>49</v>
      </c>
      <c r="B58" s="102" t="s">
        <v>134</v>
      </c>
      <c r="C58" s="114">
        <v>6.1909999999999998</v>
      </c>
      <c r="D58" s="103">
        <v>0.63302218750000006</v>
      </c>
      <c r="E58" s="123">
        <v>-19.137085289424888</v>
      </c>
      <c r="F58" s="171">
        <v>4.1573099141875E-2</v>
      </c>
      <c r="G58" s="172">
        <v>44635</v>
      </c>
      <c r="H58" s="174">
        <f t="shared" si="1"/>
        <v>1.1382714545045374</v>
      </c>
    </row>
    <row r="59" spans="1:9" s="100" customFormat="1" ht="11.25" customHeight="1" x14ac:dyDescent="0.2">
      <c r="A59" s="115">
        <v>50</v>
      </c>
      <c r="B59" s="115" t="s">
        <v>135</v>
      </c>
      <c r="C59" s="116">
        <v>6.02</v>
      </c>
      <c r="D59" s="116">
        <v>0.60299899999999995</v>
      </c>
      <c r="E59" s="123">
        <v>-17.912419728296271</v>
      </c>
      <c r="F59" s="171">
        <v>3.9601356325999995E-2</v>
      </c>
      <c r="G59" s="172">
        <v>44635</v>
      </c>
      <c r="H59" s="174">
        <f t="shared" si="1"/>
        <v>1.0842851362058799</v>
      </c>
    </row>
    <row r="60" spans="1:9" s="100" customFormat="1" ht="11.25" customHeight="1" x14ac:dyDescent="0.2">
      <c r="A60" s="102">
        <v>51</v>
      </c>
      <c r="B60" s="102" t="s">
        <v>136</v>
      </c>
      <c r="C60" s="114">
        <v>6.35</v>
      </c>
      <c r="D60" s="103">
        <v>0.24293909375</v>
      </c>
      <c r="E60" s="123">
        <v>-28.187503476398543</v>
      </c>
      <c r="F60" s="171">
        <v>1.5954782042937498E-2</v>
      </c>
      <c r="G60" s="172">
        <v>44635</v>
      </c>
      <c r="H60" s="174">
        <f t="shared" si="1"/>
        <v>0.43684193233562868</v>
      </c>
      <c r="I60" s="100">
        <f>AVERAGE(H60:H62)</f>
        <v>0.39802114286580476</v>
      </c>
    </row>
    <row r="61" spans="1:9" s="100" customFormat="1" ht="11.25" customHeight="1" x14ac:dyDescent="0.2">
      <c r="A61" s="115">
        <v>52</v>
      </c>
      <c r="B61" s="115" t="s">
        <v>137</v>
      </c>
      <c r="C61" s="116">
        <v>6.2210000000000001</v>
      </c>
      <c r="D61" s="116">
        <v>0.20199290624999999</v>
      </c>
      <c r="E61" s="123">
        <v>-28.634421573106806</v>
      </c>
      <c r="F61" s="171">
        <v>1.3265682125062499E-2</v>
      </c>
      <c r="G61" s="172">
        <v>44635</v>
      </c>
      <c r="H61" s="174">
        <f t="shared" si="1"/>
        <v>0.36321437658421124</v>
      </c>
    </row>
    <row r="62" spans="1:9" s="100" customFormat="1" ht="11.25" customHeight="1" x14ac:dyDescent="0.2">
      <c r="A62" s="102">
        <v>53</v>
      </c>
      <c r="B62" s="102" t="s">
        <v>138</v>
      </c>
      <c r="C62" s="114">
        <v>6.1820000000000004</v>
      </c>
      <c r="D62" s="103">
        <v>0.21911754687500001</v>
      </c>
      <c r="E62" s="123">
        <v>-27.240740860690565</v>
      </c>
      <c r="F62" s="171">
        <v>1.439032577346875E-2</v>
      </c>
      <c r="G62" s="172">
        <v>44635</v>
      </c>
      <c r="H62" s="174">
        <f t="shared" si="1"/>
        <v>0.39400711967757435</v>
      </c>
    </row>
    <row r="63" spans="1:9" s="100" customFormat="1" ht="11.25" customHeight="1" x14ac:dyDescent="0.2">
      <c r="A63" s="115">
        <v>54</v>
      </c>
      <c r="B63" s="115" t="s">
        <v>139</v>
      </c>
      <c r="C63" s="116">
        <v>6.2750000000000004</v>
      </c>
      <c r="D63" s="116">
        <v>0.45214612500000001</v>
      </c>
      <c r="E63" s="123">
        <v>-16.703245109761546</v>
      </c>
      <c r="F63" s="171">
        <v>2.9694244613249998E-2</v>
      </c>
      <c r="G63" s="172">
        <v>44635</v>
      </c>
      <c r="H63" s="174">
        <f t="shared" si="1"/>
        <v>0.81302841751078492</v>
      </c>
      <c r="I63" s="100">
        <f>AVERAGE(H63:H65)</f>
        <v>0.83265553196139408</v>
      </c>
    </row>
    <row r="64" spans="1:9" s="100" customFormat="1" ht="11.25" customHeight="1" x14ac:dyDescent="0.2">
      <c r="A64" s="102">
        <v>55</v>
      </c>
      <c r="B64" s="102" t="s">
        <v>140</v>
      </c>
      <c r="C64" s="114">
        <v>6.04</v>
      </c>
      <c r="D64" s="103">
        <v>0.47061221874999998</v>
      </c>
      <c r="E64" s="123">
        <v>-16.571097972615512</v>
      </c>
      <c r="F64" s="171">
        <v>3.0906986854187496E-2</v>
      </c>
      <c r="G64" s="172">
        <v>44635</v>
      </c>
      <c r="H64" s="174">
        <f t="shared" si="1"/>
        <v>0.84623330006765363</v>
      </c>
    </row>
    <row r="65" spans="1:9" s="100" customFormat="1" ht="11.25" customHeight="1" x14ac:dyDescent="0.2">
      <c r="A65" s="115">
        <v>56</v>
      </c>
      <c r="B65" s="115" t="s">
        <v>141</v>
      </c>
      <c r="C65" s="116">
        <v>6.2270000000000003</v>
      </c>
      <c r="D65" s="116">
        <v>0.46642546875000002</v>
      </c>
      <c r="E65" s="123">
        <v>-17.185575454672318</v>
      </c>
      <c r="F65" s="171">
        <v>3.0632026234687498E-2</v>
      </c>
      <c r="G65" s="172">
        <v>44635</v>
      </c>
      <c r="H65" s="174">
        <f t="shared" si="1"/>
        <v>0.8387048783057437</v>
      </c>
    </row>
    <row r="66" spans="1:9" s="100" customFormat="1" ht="11.25" customHeight="1" x14ac:dyDescent="0.2">
      <c r="A66" s="102">
        <v>59</v>
      </c>
      <c r="B66" s="102" t="s">
        <v>142</v>
      </c>
      <c r="C66" s="114">
        <v>6.2140000000000004</v>
      </c>
      <c r="D66" s="103">
        <v>0.398742125</v>
      </c>
      <c r="E66" s="123">
        <v>-19.596622641104645</v>
      </c>
      <c r="F66" s="171">
        <v>2.6186990317249997E-2</v>
      </c>
      <c r="G66" s="172">
        <v>44635</v>
      </c>
      <c r="H66" s="174">
        <f t="shared" si="1"/>
        <v>0.71699979488630494</v>
      </c>
      <c r="I66" s="100">
        <f>AVERAGE(H66:H68)</f>
        <v>0.76527716116168332</v>
      </c>
    </row>
    <row r="67" spans="1:9" s="100" customFormat="1" ht="11.25" customHeight="1" x14ac:dyDescent="0.2">
      <c r="A67" s="115">
        <v>60</v>
      </c>
      <c r="B67" s="115" t="s">
        <v>143</v>
      </c>
      <c r="C67" s="116">
        <v>6.1150000000000002</v>
      </c>
      <c r="D67" s="116">
        <v>0.45123790624999999</v>
      </c>
      <c r="E67" s="123">
        <v>-20.890446065072474</v>
      </c>
      <c r="F67" s="171">
        <v>2.9634598255062497E-2</v>
      </c>
      <c r="G67" s="172">
        <v>44635</v>
      </c>
      <c r="H67" s="174">
        <f t="shared" si="1"/>
        <v>0.81139530022361117</v>
      </c>
    </row>
    <row r="68" spans="1:9" s="100" customFormat="1" ht="11.25" customHeight="1" x14ac:dyDescent="0.2">
      <c r="A68" s="102">
        <v>61</v>
      </c>
      <c r="B68" s="102" t="s">
        <v>144</v>
      </c>
      <c r="C68" s="114">
        <v>5.8940000000000001</v>
      </c>
      <c r="D68" s="103">
        <v>0.42679121874999998</v>
      </c>
      <c r="E68" s="123">
        <v>-20.167880345566466</v>
      </c>
      <c r="F68" s="171">
        <v>2.8029086500187497E-2</v>
      </c>
      <c r="G68" s="172">
        <v>44635</v>
      </c>
      <c r="H68" s="174">
        <f t="shared" si="1"/>
        <v>0.76743638837513362</v>
      </c>
    </row>
    <row r="69" spans="1:9" s="100" customFormat="1" ht="11.25" customHeight="1" x14ac:dyDescent="0.2">
      <c r="A69" s="115">
        <v>62</v>
      </c>
      <c r="B69" s="115" t="s">
        <v>145</v>
      </c>
      <c r="C69" s="116">
        <v>6.0359999999999996</v>
      </c>
      <c r="D69" s="116">
        <v>0.59603181250000004</v>
      </c>
      <c r="E69" s="123">
        <v>-19.530787308455984</v>
      </c>
      <c r="F69" s="171">
        <v>3.9143793254125002E-2</v>
      </c>
      <c r="G69" s="172">
        <v>44635</v>
      </c>
      <c r="H69" s="174">
        <f t="shared" si="1"/>
        <v>1.0717570592979424</v>
      </c>
      <c r="I69" s="100">
        <f>AVERAGE(H69:H71)</f>
        <v>0.94608429262040739</v>
      </c>
    </row>
    <row r="70" spans="1:9" s="100" customFormat="1" ht="11.25" customHeight="1" x14ac:dyDescent="0.2">
      <c r="A70" s="102">
        <v>63</v>
      </c>
      <c r="B70" s="102" t="s">
        <v>146</v>
      </c>
      <c r="C70" s="114">
        <v>5.7050000000000001</v>
      </c>
      <c r="D70" s="103">
        <v>0.47858209374999999</v>
      </c>
      <c r="E70" s="123">
        <v>-19.250216165110913</v>
      </c>
      <c r="F70" s="171">
        <v>3.1430400424937499E-2</v>
      </c>
      <c r="G70" s="172">
        <v>44635</v>
      </c>
      <c r="H70" s="174">
        <f t="shared" si="1"/>
        <v>0.86056436363478872</v>
      </c>
    </row>
    <row r="71" spans="1:9" s="100" customFormat="1" ht="11.25" customHeight="1" x14ac:dyDescent="0.2">
      <c r="A71" s="115">
        <v>64</v>
      </c>
      <c r="B71" s="115" t="s">
        <v>147</v>
      </c>
      <c r="C71" s="116">
        <v>6.27</v>
      </c>
      <c r="D71" s="116">
        <v>0.50381190625000005</v>
      </c>
      <c r="E71" s="123">
        <v>-18.670659338094616</v>
      </c>
      <c r="F71" s="171">
        <v>3.3087343131062499E-2</v>
      </c>
      <c r="G71" s="172">
        <v>44635</v>
      </c>
      <c r="H71" s="174">
        <f t="shared" si="1"/>
        <v>0.90593145492849125</v>
      </c>
    </row>
    <row r="72" spans="1:9" s="100" customFormat="1" ht="11.25" customHeight="1" x14ac:dyDescent="0.2">
      <c r="A72" s="102">
        <v>65</v>
      </c>
      <c r="B72" s="102" t="s">
        <v>148</v>
      </c>
      <c r="C72" s="114">
        <v>6.3559999999999999</v>
      </c>
      <c r="D72" s="103">
        <v>0.41023631249999998</v>
      </c>
      <c r="E72" s="123">
        <v>-19.247546854640778</v>
      </c>
      <c r="F72" s="171">
        <v>2.6941859587124996E-2</v>
      </c>
      <c r="G72" s="172">
        <v>44635</v>
      </c>
      <c r="H72" s="174">
        <f t="shared" si="1"/>
        <v>0.73766811549548239</v>
      </c>
      <c r="I72" s="100">
        <f>AVERAGE(H72:H74)</f>
        <v>0.7695772781627146</v>
      </c>
    </row>
    <row r="73" spans="1:9" s="100" customFormat="1" ht="11.25" customHeight="1" x14ac:dyDescent="0.2">
      <c r="A73" s="115">
        <v>66</v>
      </c>
      <c r="B73" s="115" t="s">
        <v>149</v>
      </c>
      <c r="C73" s="116">
        <v>5.9980000000000002</v>
      </c>
      <c r="D73" s="116">
        <v>0.39421556250000001</v>
      </c>
      <c r="E73" s="123">
        <v>-19.481171879292461</v>
      </c>
      <c r="F73" s="171">
        <v>2.5889712851624998E-2</v>
      </c>
      <c r="G73" s="172">
        <v>44635</v>
      </c>
      <c r="H73" s="174">
        <f t="shared" si="1"/>
        <v>0.70886033787749247</v>
      </c>
    </row>
    <row r="74" spans="1:9" s="100" customFormat="1" ht="11.25" customHeight="1" x14ac:dyDescent="0.2">
      <c r="A74" s="102">
        <v>67</v>
      </c>
      <c r="B74" s="102" t="s">
        <v>150</v>
      </c>
      <c r="C74" s="114">
        <v>6.532</v>
      </c>
      <c r="D74" s="103">
        <v>0.47949359375</v>
      </c>
      <c r="E74" s="123">
        <v>-20.03892882755045</v>
      </c>
      <c r="F74" s="171">
        <v>3.14902622759375E-2</v>
      </c>
      <c r="G74" s="172">
        <v>44635</v>
      </c>
      <c r="H74" s="174">
        <f t="shared" si="1"/>
        <v>0.8622033811151687</v>
      </c>
    </row>
    <row r="75" spans="1:9" s="100" customFormat="1" ht="11.25" customHeight="1" x14ac:dyDescent="0.2">
      <c r="A75" s="115">
        <v>68</v>
      </c>
      <c r="B75" s="115" t="s">
        <v>151</v>
      </c>
      <c r="C75" s="116">
        <v>6.048</v>
      </c>
      <c r="D75" s="116">
        <v>0.53462668749999998</v>
      </c>
      <c r="E75" s="123">
        <v>-18.907478444058164</v>
      </c>
      <c r="F75" s="171">
        <v>3.5111073074874995E-2</v>
      </c>
      <c r="G75" s="172">
        <v>44635</v>
      </c>
      <c r="H75" s="174">
        <f t="shared" si="1"/>
        <v>0.96134118079007735</v>
      </c>
      <c r="I75" s="100">
        <f>AVERAGE(H75:H77)</f>
        <v>0.94659764689089532</v>
      </c>
    </row>
    <row r="76" spans="1:9" s="100" customFormat="1" ht="11.25" customHeight="1" x14ac:dyDescent="0.2">
      <c r="A76" s="102">
        <v>69</v>
      </c>
      <c r="B76" s="102" t="s">
        <v>152</v>
      </c>
      <c r="C76" s="114">
        <v>5.9550000000000001</v>
      </c>
      <c r="D76" s="103">
        <v>0.51485321875000001</v>
      </c>
      <c r="E76" s="123">
        <v>-18.982948376414004</v>
      </c>
      <c r="F76" s="171">
        <v>3.3812470288187499E-2</v>
      </c>
      <c r="G76" s="172">
        <v>44635</v>
      </c>
      <c r="H76" s="174">
        <f t="shared" si="1"/>
        <v>0.92578543649057365</v>
      </c>
    </row>
    <row r="77" spans="1:9" s="100" customFormat="1" ht="11.25" customHeight="1" x14ac:dyDescent="0.2">
      <c r="A77" s="115">
        <v>70</v>
      </c>
      <c r="B77" s="115" t="s">
        <v>153</v>
      </c>
      <c r="C77" s="116">
        <v>6.4489999999999998</v>
      </c>
      <c r="D77" s="116">
        <v>0.52980237500000005</v>
      </c>
      <c r="E77" s="123">
        <v>-19.108101437534245</v>
      </c>
      <c r="F77" s="171">
        <v>3.4794241175750001E-2</v>
      </c>
      <c r="G77" s="172">
        <v>44635</v>
      </c>
      <c r="H77" s="174">
        <f t="shared" si="1"/>
        <v>0.95266632339203505</v>
      </c>
    </row>
    <row r="78" spans="1:9" s="100" customFormat="1" ht="11.25" customHeight="1" x14ac:dyDescent="0.2">
      <c r="H78" s="174"/>
    </row>
    <row r="79" spans="1:9" s="100" customFormat="1" ht="11.25" customHeight="1" x14ac:dyDescent="0.2">
      <c r="A79" s="102">
        <v>31</v>
      </c>
      <c r="B79" s="102" t="s">
        <v>156</v>
      </c>
      <c r="C79" s="114">
        <v>6.4290000000000003</v>
      </c>
      <c r="D79" s="103">
        <v>0.74380124999999997</v>
      </c>
      <c r="E79" s="123">
        <v>-24.300073164368943</v>
      </c>
      <c r="F79" s="171">
        <v>4.9703774729999997E-2</v>
      </c>
      <c r="G79" s="172">
        <v>44636</v>
      </c>
      <c r="H79" s="174">
        <f>F79*27.38</f>
        <v>1.3608893521073999</v>
      </c>
      <c r="I79" s="100">
        <f>AVERAGE(H79:H81)</f>
        <v>1.6843076180902734</v>
      </c>
    </row>
    <row r="80" spans="1:9" s="100" customFormat="1" ht="11.25" customHeight="1" x14ac:dyDescent="0.2">
      <c r="A80" s="115">
        <v>32</v>
      </c>
      <c r="B80" s="115" t="s">
        <v>157</v>
      </c>
      <c r="C80" s="116">
        <v>6.4740000000000002</v>
      </c>
      <c r="D80" s="116">
        <v>0.82890724999999998</v>
      </c>
      <c r="E80" s="123">
        <v>-24.365894603069119</v>
      </c>
      <c r="F80" s="171">
        <v>5.5390898073999995E-2</v>
      </c>
      <c r="G80" s="172">
        <v>44636</v>
      </c>
      <c r="H80" s="174">
        <f t="shared" ref="H80:H114" si="2">F80*27.38</f>
        <v>1.5166027892661198</v>
      </c>
    </row>
    <row r="81" spans="1:9" s="100" customFormat="1" ht="11.25" customHeight="1" x14ac:dyDescent="0.2">
      <c r="A81" s="102">
        <v>33</v>
      </c>
      <c r="B81" s="102" t="s">
        <v>158</v>
      </c>
      <c r="C81" s="114">
        <v>6.3470000000000004</v>
      </c>
      <c r="D81" s="103">
        <v>1.1889931250000001</v>
      </c>
      <c r="E81" s="123">
        <v>-24.438212651452965</v>
      </c>
      <c r="F81" s="171">
        <v>7.9453276584999996E-2</v>
      </c>
      <c r="G81" s="172">
        <v>44636</v>
      </c>
      <c r="H81" s="174">
        <f t="shared" si="2"/>
        <v>2.1754307128972998</v>
      </c>
    </row>
    <row r="82" spans="1:9" s="7" customFormat="1" ht="11.25" customHeight="1" x14ac:dyDescent="0.2">
      <c r="A82" s="115">
        <v>34</v>
      </c>
      <c r="B82" s="115" t="s">
        <v>159</v>
      </c>
      <c r="C82" s="116">
        <v>6.4610000000000003</v>
      </c>
      <c r="D82" s="116">
        <v>0.72667356250000004</v>
      </c>
      <c r="E82" s="123">
        <v>-23.628173398380792</v>
      </c>
      <c r="F82" s="171">
        <v>4.85592341405E-2</v>
      </c>
      <c r="G82" s="172">
        <v>44636</v>
      </c>
      <c r="H82" s="174">
        <f t="shared" si="2"/>
        <v>1.3295518307668899</v>
      </c>
      <c r="I82" s="100">
        <f>AVERAGE(H82:H84)</f>
        <v>1.3097205793723499</v>
      </c>
    </row>
    <row r="83" spans="1:9" s="100" customFormat="1" ht="11.25" customHeight="1" x14ac:dyDescent="0.2">
      <c r="A83" s="102">
        <v>35</v>
      </c>
      <c r="B83" s="102" t="s">
        <v>160</v>
      </c>
      <c r="C83" s="114">
        <v>6.39</v>
      </c>
      <c r="D83" s="103">
        <v>0.71597556250000005</v>
      </c>
      <c r="E83" s="123">
        <v>-23.833708723155553</v>
      </c>
      <c r="F83" s="171">
        <v>4.7844350988499998E-2</v>
      </c>
      <c r="G83" s="172">
        <v>44636</v>
      </c>
      <c r="H83" s="174">
        <f t="shared" si="2"/>
        <v>1.30997833006513</v>
      </c>
    </row>
    <row r="84" spans="1:9" s="100" customFormat="1" ht="11.25" customHeight="1" x14ac:dyDescent="0.2">
      <c r="A84" s="115">
        <v>36</v>
      </c>
      <c r="B84" s="115" t="s">
        <v>161</v>
      </c>
      <c r="C84" s="116">
        <v>6.5229999999999997</v>
      </c>
      <c r="D84" s="116">
        <v>0.70485493749999995</v>
      </c>
      <c r="E84" s="123">
        <v>-23.746184234790867</v>
      </c>
      <c r="F84" s="171">
        <v>4.7101226343499995E-2</v>
      </c>
      <c r="G84" s="172">
        <v>44636</v>
      </c>
      <c r="H84" s="174">
        <f t="shared" si="2"/>
        <v>1.2896315772850298</v>
      </c>
    </row>
    <row r="85" spans="1:9" s="100" customFormat="1" ht="11.25" customHeight="1" x14ac:dyDescent="0.2">
      <c r="A85" s="102">
        <v>37</v>
      </c>
      <c r="B85" s="102" t="s">
        <v>162</v>
      </c>
      <c r="C85" s="114">
        <v>6.5149999999999997</v>
      </c>
      <c r="D85" s="103">
        <v>1.2937514999999999</v>
      </c>
      <c r="E85" s="123">
        <v>-27.264843395765418</v>
      </c>
      <c r="F85" s="171">
        <v>8.645365023599999E-2</v>
      </c>
      <c r="G85" s="172">
        <v>44636</v>
      </c>
      <c r="H85" s="174">
        <f t="shared" si="2"/>
        <v>2.3671009434616797</v>
      </c>
      <c r="I85" s="100">
        <f>AVERAGE(H85:H87)</f>
        <v>2.4792040459396865</v>
      </c>
    </row>
    <row r="86" spans="1:9" s="100" customFormat="1" ht="11.25" customHeight="1" x14ac:dyDescent="0.2">
      <c r="A86" s="115">
        <v>38</v>
      </c>
      <c r="B86" s="115" t="s">
        <v>163</v>
      </c>
      <c r="C86" s="116">
        <v>6.6740000000000004</v>
      </c>
      <c r="D86" s="116">
        <v>1.3284705000000001</v>
      </c>
      <c r="E86" s="123">
        <v>-27.139631816015033</v>
      </c>
      <c r="F86" s="171">
        <v>8.8773712692000004E-2</v>
      </c>
      <c r="G86" s="172">
        <v>44636</v>
      </c>
      <c r="H86" s="174">
        <f t="shared" si="2"/>
        <v>2.4306242535069602</v>
      </c>
    </row>
    <row r="87" spans="1:9" s="100" customFormat="1" ht="11.25" customHeight="1" x14ac:dyDescent="0.2">
      <c r="A87" s="102">
        <v>39</v>
      </c>
      <c r="B87" s="102" t="s">
        <v>164</v>
      </c>
      <c r="C87" s="114">
        <v>6.7530000000000001</v>
      </c>
      <c r="D87" s="103">
        <v>1.4428441249999999</v>
      </c>
      <c r="E87" s="123">
        <v>-26.963429413766011</v>
      </c>
      <c r="F87" s="171">
        <v>9.6416615808999989E-2</v>
      </c>
      <c r="G87" s="172">
        <v>44636</v>
      </c>
      <c r="H87" s="174">
        <f t="shared" si="2"/>
        <v>2.6398869408504195</v>
      </c>
    </row>
    <row r="88" spans="1:9" s="100" customFormat="1" ht="11.25" customHeight="1" x14ac:dyDescent="0.2">
      <c r="A88" s="115">
        <v>40</v>
      </c>
      <c r="B88" s="115" t="s">
        <v>165</v>
      </c>
      <c r="C88" s="116">
        <v>6.0650000000000004</v>
      </c>
      <c r="D88" s="116">
        <v>0.55161249999999995</v>
      </c>
      <c r="E88" s="123">
        <v>-19.143783466070182</v>
      </c>
      <c r="F88" s="171">
        <v>3.686095369999999E-2</v>
      </c>
      <c r="G88" s="172">
        <v>44636</v>
      </c>
      <c r="H88" s="174">
        <f t="shared" si="2"/>
        <v>1.0092529123059997</v>
      </c>
      <c r="I88" s="100">
        <f>AVERAGE(H88:H90)</f>
        <v>0.99324000757632991</v>
      </c>
    </row>
    <row r="89" spans="1:9" s="100" customFormat="1" ht="11.25" customHeight="1" x14ac:dyDescent="0.2">
      <c r="A89" s="102">
        <v>41</v>
      </c>
      <c r="B89" s="102" t="s">
        <v>166</v>
      </c>
      <c r="C89" s="114">
        <v>5.915</v>
      </c>
      <c r="D89" s="103">
        <v>0.5295045625</v>
      </c>
      <c r="E89" s="123">
        <v>-19.274803985141503</v>
      </c>
      <c r="F89" s="171">
        <v>3.5383612884499996E-2</v>
      </c>
      <c r="G89" s="172">
        <v>44636</v>
      </c>
      <c r="H89" s="174">
        <f t="shared" si="2"/>
        <v>0.96880332077760989</v>
      </c>
    </row>
    <row r="90" spans="1:9" s="100" customFormat="1" ht="11.25" customHeight="1" x14ac:dyDescent="0.2">
      <c r="A90" s="115">
        <v>42</v>
      </c>
      <c r="B90" s="115" t="s">
        <v>167</v>
      </c>
      <c r="C90" s="116">
        <v>6.2510000000000003</v>
      </c>
      <c r="D90" s="116">
        <v>0.54746462500000004</v>
      </c>
      <c r="E90" s="123">
        <v>-19.185962413566322</v>
      </c>
      <c r="F90" s="171">
        <v>3.6583776100999998E-2</v>
      </c>
      <c r="G90" s="172">
        <v>44636</v>
      </c>
      <c r="H90" s="174">
        <f t="shared" si="2"/>
        <v>1.0016637896453799</v>
      </c>
    </row>
    <row r="91" spans="1:9" s="100" customFormat="1" ht="11.25" customHeight="1" x14ac:dyDescent="0.2">
      <c r="A91" s="102">
        <v>45</v>
      </c>
      <c r="B91" s="102" t="s">
        <v>168</v>
      </c>
      <c r="C91" s="114">
        <v>6.68</v>
      </c>
      <c r="D91" s="103">
        <v>0.62050806250000001</v>
      </c>
      <c r="E91" s="123">
        <v>-27.941180583009327</v>
      </c>
      <c r="F91" s="171">
        <v>4.1464830768500001E-2</v>
      </c>
      <c r="G91" s="172">
        <v>44636</v>
      </c>
      <c r="H91" s="174">
        <f t="shared" si="2"/>
        <v>1.1353070664415299</v>
      </c>
      <c r="I91" s="100">
        <f>AVERAGE(H91:H93)</f>
        <v>1.2189465182507433</v>
      </c>
    </row>
    <row r="92" spans="1:9" s="100" customFormat="1" ht="11.25" customHeight="1" x14ac:dyDescent="0.2">
      <c r="A92" s="115">
        <v>46</v>
      </c>
      <c r="B92" s="115" t="s">
        <v>169</v>
      </c>
      <c r="C92" s="116">
        <v>6.42</v>
      </c>
      <c r="D92" s="116">
        <v>0.66097681249999996</v>
      </c>
      <c r="E92" s="123">
        <v>-27.80727396096799</v>
      </c>
      <c r="F92" s="171">
        <v>4.4169114518499995E-2</v>
      </c>
      <c r="G92" s="172">
        <v>44636</v>
      </c>
      <c r="H92" s="174">
        <f t="shared" si="2"/>
        <v>1.2093503555165299</v>
      </c>
    </row>
    <row r="93" spans="1:9" s="100" customFormat="1" ht="11.25" customHeight="1" x14ac:dyDescent="0.2">
      <c r="A93" s="102">
        <v>47</v>
      </c>
      <c r="B93" s="102" t="s">
        <v>170</v>
      </c>
      <c r="C93" s="114">
        <v>6.39</v>
      </c>
      <c r="D93" s="103">
        <v>0.71718006249999999</v>
      </c>
      <c r="E93" s="123">
        <v>-27.366321018457196</v>
      </c>
      <c r="F93" s="171">
        <v>4.7924840496499997E-2</v>
      </c>
      <c r="G93" s="172">
        <v>44636</v>
      </c>
      <c r="H93" s="174">
        <f t="shared" si="2"/>
        <v>1.3121821327941698</v>
      </c>
    </row>
    <row r="94" spans="1:9" s="100" customFormat="1" ht="11.25" customHeight="1" x14ac:dyDescent="0.2">
      <c r="A94" s="115">
        <v>48</v>
      </c>
      <c r="B94" s="115" t="s">
        <v>171</v>
      </c>
      <c r="C94" s="116">
        <v>6.524</v>
      </c>
      <c r="D94" s="116">
        <v>0.75061</v>
      </c>
      <c r="E94" s="123">
        <v>-27.08883715660194</v>
      </c>
      <c r="F94" s="171">
        <v>5.0158762639999993E-2</v>
      </c>
      <c r="G94" s="172">
        <v>44636</v>
      </c>
      <c r="H94" s="174">
        <f t="shared" si="2"/>
        <v>1.3733469210831997</v>
      </c>
      <c r="I94" s="100">
        <f>AVERAGE(H94:H96)</f>
        <v>1.4577906907522695</v>
      </c>
    </row>
    <row r="95" spans="1:9" s="100" customFormat="1" ht="11.25" customHeight="1" x14ac:dyDescent="0.2">
      <c r="A95" s="102">
        <v>49</v>
      </c>
      <c r="B95" s="102" t="s">
        <v>172</v>
      </c>
      <c r="C95" s="114">
        <v>4.8079999999999998</v>
      </c>
      <c r="D95" s="103">
        <v>0.93970181249999996</v>
      </c>
      <c r="E95" s="123">
        <v>-26.3902411625578</v>
      </c>
      <c r="F95" s="171">
        <v>6.2794633918499987E-2</v>
      </c>
      <c r="G95" s="172">
        <v>44636</v>
      </c>
      <c r="H95" s="174">
        <f t="shared" si="2"/>
        <v>1.7193170766885295</v>
      </c>
    </row>
    <row r="96" spans="1:9" s="100" customFormat="1" ht="11.25" customHeight="1" x14ac:dyDescent="0.2">
      <c r="A96" s="115">
        <v>50</v>
      </c>
      <c r="B96" s="115" t="s">
        <v>173</v>
      </c>
      <c r="C96" s="116">
        <v>6.8380000000000001</v>
      </c>
      <c r="D96" s="116">
        <v>0.69997774999999995</v>
      </c>
      <c r="E96" s="123">
        <v>-27.248079175850712</v>
      </c>
      <c r="F96" s="171">
        <v>4.677531316599999E-2</v>
      </c>
      <c r="G96" s="172">
        <v>44636</v>
      </c>
      <c r="H96" s="174">
        <f t="shared" si="2"/>
        <v>1.2807080744850796</v>
      </c>
    </row>
    <row r="97" spans="1:9" s="100" customFormat="1" ht="11.25" customHeight="1" x14ac:dyDescent="0.2">
      <c r="A97" s="102">
        <v>51</v>
      </c>
      <c r="B97" s="102" t="s">
        <v>174</v>
      </c>
      <c r="C97" s="114">
        <v>6.5279999999999996</v>
      </c>
      <c r="D97" s="103">
        <v>0.41434525</v>
      </c>
      <c r="E97" s="123">
        <v>-26.578998308575205</v>
      </c>
      <c r="F97" s="171">
        <v>2.7688206985999997E-2</v>
      </c>
      <c r="G97" s="172">
        <v>44636</v>
      </c>
      <c r="H97" s="174">
        <f t="shared" si="2"/>
        <v>0.75810310727667984</v>
      </c>
      <c r="I97" s="100">
        <f>AVERAGE(H97:H99)</f>
        <v>0.93740667915840969</v>
      </c>
    </row>
    <row r="98" spans="1:9" s="100" customFormat="1" ht="11.25" customHeight="1" x14ac:dyDescent="0.2">
      <c r="A98" s="115">
        <v>52</v>
      </c>
      <c r="B98" s="115" t="s">
        <v>175</v>
      </c>
      <c r="C98" s="116">
        <v>6.7140000000000004</v>
      </c>
      <c r="D98" s="116">
        <v>0.61324006249999996</v>
      </c>
      <c r="E98" s="123">
        <v>-26.49694780502238</v>
      </c>
      <c r="F98" s="171">
        <v>4.0979153936499993E-2</v>
      </c>
      <c r="G98" s="172">
        <v>44636</v>
      </c>
      <c r="H98" s="174">
        <f t="shared" si="2"/>
        <v>1.1220092347813697</v>
      </c>
    </row>
    <row r="99" spans="1:9" s="100" customFormat="1" ht="11.25" customHeight="1" x14ac:dyDescent="0.2">
      <c r="A99" s="102">
        <v>53</v>
      </c>
      <c r="B99" s="102" t="s">
        <v>176</v>
      </c>
      <c r="C99" s="114">
        <v>6.4409999999999998</v>
      </c>
      <c r="D99" s="103">
        <v>0.50944837499999995</v>
      </c>
      <c r="E99" s="123">
        <v>-25.956994941983464</v>
      </c>
      <c r="F99" s="171">
        <v>3.4043378210999994E-2</v>
      </c>
      <c r="G99" s="172">
        <v>44636</v>
      </c>
      <c r="H99" s="174">
        <f t="shared" si="2"/>
        <v>0.93210769541717986</v>
      </c>
    </row>
    <row r="100" spans="1:9" s="100" customFormat="1" ht="11.25" customHeight="1" x14ac:dyDescent="0.2">
      <c r="A100" s="115">
        <v>54</v>
      </c>
      <c r="B100" s="115" t="s">
        <v>177</v>
      </c>
      <c r="C100" s="116">
        <v>6.9660000000000002</v>
      </c>
      <c r="D100" s="116">
        <v>1.7693916249999999</v>
      </c>
      <c r="E100" s="123">
        <v>-25.291262372436318</v>
      </c>
      <c r="F100" s="171">
        <v>0.11823782594899998</v>
      </c>
      <c r="G100" s="172">
        <v>44636</v>
      </c>
      <c r="H100" s="174">
        <f t="shared" si="2"/>
        <v>3.2373516744836195</v>
      </c>
      <c r="I100" s="100">
        <f>AVERAGE(H100:H102)</f>
        <v>3.1352131787203663</v>
      </c>
    </row>
    <row r="101" spans="1:9" s="100" customFormat="1" ht="11.25" customHeight="1" x14ac:dyDescent="0.2">
      <c r="A101" s="102">
        <v>55</v>
      </c>
      <c r="B101" s="102" t="s">
        <v>178</v>
      </c>
      <c r="C101" s="114">
        <v>6.6929999999999996</v>
      </c>
      <c r="D101" s="103">
        <v>1.229128</v>
      </c>
      <c r="E101" s="123">
        <v>-26.038116136399122</v>
      </c>
      <c r="F101" s="171">
        <v>8.2135249471999988E-2</v>
      </c>
      <c r="G101" s="172">
        <v>44636</v>
      </c>
      <c r="H101" s="174">
        <f t="shared" si="2"/>
        <v>2.2488631305433597</v>
      </c>
    </row>
    <row r="102" spans="1:9" s="100" customFormat="1" ht="11.25" customHeight="1" x14ac:dyDescent="0.2">
      <c r="A102" s="115">
        <v>56</v>
      </c>
      <c r="B102" s="115" t="s">
        <v>179</v>
      </c>
      <c r="C102" s="116">
        <v>6.87</v>
      </c>
      <c r="D102" s="116">
        <v>2.1421822499999998</v>
      </c>
      <c r="E102" s="123">
        <v>-25.5500695328472</v>
      </c>
      <c r="F102" s="171">
        <v>0.14314918667399998</v>
      </c>
      <c r="G102" s="172">
        <v>44636</v>
      </c>
      <c r="H102" s="174">
        <f t="shared" si="2"/>
        <v>3.9194247311341193</v>
      </c>
    </row>
    <row r="103" spans="1:9" s="100" customFormat="1" ht="11.25" customHeight="1" x14ac:dyDescent="0.2">
      <c r="A103" s="102">
        <v>59</v>
      </c>
      <c r="B103" s="102" t="s">
        <v>180</v>
      </c>
      <c r="C103" s="114">
        <v>7.1420000000000003</v>
      </c>
      <c r="D103" s="103">
        <v>1.7016825</v>
      </c>
      <c r="E103" s="123">
        <v>-25.880566314897671</v>
      </c>
      <c r="F103" s="171">
        <v>0.11371323137999999</v>
      </c>
      <c r="G103" s="172">
        <v>44636</v>
      </c>
      <c r="H103" s="174">
        <f t="shared" si="2"/>
        <v>3.1134682751843994</v>
      </c>
      <c r="I103" s="100">
        <f>AVERAGE(H103:H105)</f>
        <v>3.4862856316465263</v>
      </c>
    </row>
    <row r="104" spans="1:9" s="100" customFormat="1" ht="11.25" customHeight="1" x14ac:dyDescent="0.2">
      <c r="A104" s="115">
        <v>60</v>
      </c>
      <c r="B104" s="115" t="s">
        <v>181</v>
      </c>
      <c r="C104" s="116">
        <v>8.1720000000000006</v>
      </c>
      <c r="D104" s="116">
        <v>2.4794049999999999</v>
      </c>
      <c r="E104" s="123">
        <v>-25.398688812586396</v>
      </c>
      <c r="F104" s="171">
        <v>0.16568375971999999</v>
      </c>
      <c r="G104" s="172">
        <v>44636</v>
      </c>
      <c r="H104" s="174">
        <f t="shared" si="2"/>
        <v>4.5364213411335994</v>
      </c>
    </row>
    <row r="105" spans="1:9" s="100" customFormat="1" ht="11.25" customHeight="1" x14ac:dyDescent="0.2">
      <c r="A105" s="102">
        <v>61</v>
      </c>
      <c r="B105" s="102" t="s">
        <v>182</v>
      </c>
      <c r="C105" s="114">
        <v>7.0419999999999998</v>
      </c>
      <c r="D105" s="103">
        <v>1.535255875</v>
      </c>
      <c r="E105" s="123">
        <v>-25.831866673202889</v>
      </c>
      <c r="F105" s="171">
        <v>0.10259193859099999</v>
      </c>
      <c r="G105" s="172">
        <v>44636</v>
      </c>
      <c r="H105" s="174">
        <f t="shared" si="2"/>
        <v>2.8089672786215796</v>
      </c>
    </row>
    <row r="106" spans="1:9" s="100" customFormat="1" ht="11.25" customHeight="1" x14ac:dyDescent="0.2">
      <c r="A106" s="115">
        <v>62</v>
      </c>
      <c r="B106" s="115" t="s">
        <v>183</v>
      </c>
      <c r="C106" s="116">
        <v>6.5049999999999999</v>
      </c>
      <c r="D106" s="116">
        <v>0.612641875</v>
      </c>
      <c r="E106" s="123">
        <v>-26.629236837682026</v>
      </c>
      <c r="F106" s="171">
        <v>4.0939180654999997E-2</v>
      </c>
      <c r="G106" s="172">
        <v>44636</v>
      </c>
      <c r="H106" s="174">
        <f t="shared" si="2"/>
        <v>1.1209147663338999</v>
      </c>
      <c r="I106" s="100">
        <f>AVERAGE(H106:H108)</f>
        <v>1.2767385918401932</v>
      </c>
    </row>
    <row r="107" spans="1:9" s="100" customFormat="1" ht="11.25" customHeight="1" x14ac:dyDescent="0.2">
      <c r="A107" s="102">
        <v>63</v>
      </c>
      <c r="B107" s="102" t="s">
        <v>184</v>
      </c>
      <c r="C107" s="114">
        <v>6.819</v>
      </c>
      <c r="D107" s="103">
        <v>0.56266581250000003</v>
      </c>
      <c r="E107" s="123">
        <v>-26.807601385289672</v>
      </c>
      <c r="F107" s="171">
        <v>3.7599580254499998E-2</v>
      </c>
      <c r="G107" s="172">
        <v>44636</v>
      </c>
      <c r="H107" s="174">
        <f t="shared" si="2"/>
        <v>1.0294765073682099</v>
      </c>
    </row>
    <row r="108" spans="1:9" s="100" customFormat="1" ht="11.25" customHeight="1" x14ac:dyDescent="0.2">
      <c r="A108" s="115">
        <v>64</v>
      </c>
      <c r="B108" s="115" t="s">
        <v>185</v>
      </c>
      <c r="C108" s="116">
        <v>6.992</v>
      </c>
      <c r="D108" s="116">
        <v>0.91811693750000001</v>
      </c>
      <c r="E108" s="123">
        <v>-26.456151414657125</v>
      </c>
      <c r="F108" s="171">
        <v>6.1352246231499999E-2</v>
      </c>
      <c r="G108" s="172">
        <v>44636</v>
      </c>
      <c r="H108" s="174">
        <f t="shared" si="2"/>
        <v>1.6798245018184699</v>
      </c>
    </row>
    <row r="109" spans="1:9" s="100" customFormat="1" ht="11.25" customHeight="1" x14ac:dyDescent="0.2">
      <c r="A109" s="102">
        <v>65</v>
      </c>
      <c r="B109" s="102" t="s">
        <v>186</v>
      </c>
      <c r="C109" s="114">
        <v>15.933</v>
      </c>
      <c r="D109" s="103">
        <v>1.86097475</v>
      </c>
      <c r="E109" s="123">
        <v>-24.786030947099274</v>
      </c>
      <c r="F109" s="171">
        <v>0.12435777669399999</v>
      </c>
      <c r="G109" s="172">
        <v>44636</v>
      </c>
      <c r="H109" s="174">
        <f t="shared" si="2"/>
        <v>3.4049159258817197</v>
      </c>
      <c r="I109" s="100">
        <f>AVERAGE(H109:H111)</f>
        <v>2.5713737230018578</v>
      </c>
    </row>
    <row r="110" spans="1:9" s="100" customFormat="1" ht="11.25" customHeight="1" x14ac:dyDescent="0.2">
      <c r="A110" s="115">
        <v>66</v>
      </c>
      <c r="B110" s="115" t="s">
        <v>187</v>
      </c>
      <c r="C110" s="116">
        <v>16.084</v>
      </c>
      <c r="D110" s="116">
        <v>1.854881875</v>
      </c>
      <c r="E110" s="123">
        <v>-25.393341368343322</v>
      </c>
      <c r="F110" s="171">
        <v>0.12395062641499999</v>
      </c>
      <c r="G110" s="172">
        <v>44636</v>
      </c>
      <c r="H110" s="174">
        <f t="shared" si="2"/>
        <v>3.3937681512426994</v>
      </c>
    </row>
    <row r="111" spans="1:9" s="100" customFormat="1" ht="11.25" customHeight="1" x14ac:dyDescent="0.2">
      <c r="A111" s="102">
        <v>67</v>
      </c>
      <c r="B111" s="102" t="s">
        <v>188</v>
      </c>
      <c r="C111" s="114">
        <v>15.897</v>
      </c>
      <c r="D111" s="103">
        <v>0.50033696875</v>
      </c>
      <c r="E111" s="123">
        <v>-17.801121486531816</v>
      </c>
      <c r="F111" s="171">
        <v>3.3434517599749997E-2</v>
      </c>
      <c r="G111" s="172">
        <v>44636</v>
      </c>
      <c r="H111" s="174">
        <f t="shared" si="2"/>
        <v>0.91543709188115485</v>
      </c>
    </row>
    <row r="112" spans="1:9" s="100" customFormat="1" ht="11.25" customHeight="1" x14ac:dyDescent="0.2">
      <c r="A112" s="115">
        <v>68</v>
      </c>
      <c r="B112" s="115" t="s">
        <v>189</v>
      </c>
      <c r="C112" s="116">
        <v>7.5170000000000003</v>
      </c>
      <c r="D112" s="116">
        <v>0.46231384375000001</v>
      </c>
      <c r="E112" s="123">
        <v>-27.057968074910097</v>
      </c>
      <c r="F112" s="171">
        <v>3.0893660294749999E-2</v>
      </c>
      <c r="G112" s="172">
        <v>44636</v>
      </c>
      <c r="H112" s="174">
        <f t="shared" si="2"/>
        <v>0.84586841887025488</v>
      </c>
      <c r="I112" s="100">
        <f>AVERAGE(H112:H114)</f>
        <v>1.2809285652988016</v>
      </c>
    </row>
    <row r="113" spans="1:9" s="100" customFormat="1" ht="11.25" customHeight="1" x14ac:dyDescent="0.2">
      <c r="A113" s="102">
        <v>69</v>
      </c>
      <c r="B113" s="102" t="s">
        <v>190</v>
      </c>
      <c r="C113" s="114">
        <v>9.0519999999999996</v>
      </c>
      <c r="D113" s="103">
        <v>0.76134293750000004</v>
      </c>
      <c r="E113" s="123">
        <v>-25.891955675775524</v>
      </c>
      <c r="F113" s="171">
        <v>5.08759804555E-2</v>
      </c>
      <c r="G113" s="172">
        <v>44636</v>
      </c>
      <c r="H113" s="174">
        <f t="shared" si="2"/>
        <v>1.39298434487159</v>
      </c>
    </row>
    <row r="114" spans="1:9" s="100" customFormat="1" ht="11.25" customHeight="1" x14ac:dyDescent="0.2">
      <c r="A114" s="115">
        <v>70</v>
      </c>
      <c r="B114" s="115" t="s">
        <v>191</v>
      </c>
      <c r="C114" s="116">
        <v>9.5329999999999995</v>
      </c>
      <c r="D114" s="116">
        <v>0.87663800000000003</v>
      </c>
      <c r="E114" s="123">
        <v>-25.88495927188286</v>
      </c>
      <c r="F114" s="171">
        <v>5.8580457711999996E-2</v>
      </c>
      <c r="G114" s="172">
        <v>44636</v>
      </c>
      <c r="H114" s="174">
        <f t="shared" si="2"/>
        <v>1.6039329321545599</v>
      </c>
    </row>
    <row r="115" spans="1:9" s="100" customFormat="1" ht="11.25" customHeight="1" x14ac:dyDescent="0.2">
      <c r="H115" s="174"/>
    </row>
    <row r="116" spans="1:9" s="100" customFormat="1" ht="11.25" customHeight="1" x14ac:dyDescent="0.2">
      <c r="A116" s="102">
        <v>31</v>
      </c>
      <c r="B116" s="102" t="s">
        <v>193</v>
      </c>
      <c r="C116" s="114">
        <v>7.0650000000000004</v>
      </c>
      <c r="D116" s="103">
        <v>1.800394</v>
      </c>
      <c r="E116" s="123">
        <v>-26.565597241384836</v>
      </c>
      <c r="F116" s="171">
        <v>0.118372304712</v>
      </c>
      <c r="G116" s="172">
        <v>44637</v>
      </c>
      <c r="H116" s="174">
        <f t="shared" ref="H116" si="3">F116*27.38</f>
        <v>3.2410337030145597</v>
      </c>
      <c r="I116" s="100">
        <f>AVERAGE(H116:H118)</f>
        <v>2.6905717389419799</v>
      </c>
    </row>
    <row r="117" spans="1:9" s="100" customFormat="1" ht="11.25" customHeight="1" x14ac:dyDescent="0.2">
      <c r="A117" s="115">
        <v>32</v>
      </c>
      <c r="B117" s="115" t="s">
        <v>194</v>
      </c>
      <c r="C117" s="116">
        <v>7.04</v>
      </c>
      <c r="D117" s="116">
        <v>1.2433412500000001</v>
      </c>
      <c r="E117" s="123">
        <v>-26.72000884654026</v>
      </c>
      <c r="F117" s="171">
        <v>8.1747200505000006E-2</v>
      </c>
      <c r="G117" s="172">
        <v>44637</v>
      </c>
      <c r="H117" s="174">
        <f t="shared" ref="H117:H151" si="4">F117*27.38</f>
        <v>2.2382383498269003</v>
      </c>
    </row>
    <row r="118" spans="1:9" s="100" customFormat="1" ht="11.25" customHeight="1" x14ac:dyDescent="0.2">
      <c r="A118" s="102">
        <v>33</v>
      </c>
      <c r="B118" s="102" t="s">
        <v>195</v>
      </c>
      <c r="C118" s="114">
        <v>6.9349999999999996</v>
      </c>
      <c r="D118" s="103">
        <v>1.440102</v>
      </c>
      <c r="E118" s="123">
        <v>-26.591122583463555</v>
      </c>
      <c r="F118" s="171">
        <v>9.4683826296000001E-2</v>
      </c>
      <c r="G118" s="172">
        <v>44637</v>
      </c>
      <c r="H118" s="174">
        <f t="shared" si="4"/>
        <v>2.59244316398448</v>
      </c>
    </row>
    <row r="119" spans="1:9" s="7" customFormat="1" ht="11.25" customHeight="1" x14ac:dyDescent="0.2">
      <c r="A119" s="115">
        <v>34</v>
      </c>
      <c r="B119" s="115" t="s">
        <v>196</v>
      </c>
      <c r="C119" s="116">
        <v>7.29</v>
      </c>
      <c r="D119" s="116">
        <v>2.1945892499999999</v>
      </c>
      <c r="E119" s="123">
        <v>-26.048697156736466</v>
      </c>
      <c r="F119" s="171">
        <v>0.14428985400899999</v>
      </c>
      <c r="G119" s="172">
        <v>44637</v>
      </c>
      <c r="H119" s="174">
        <f t="shared" si="4"/>
        <v>3.9506562027664196</v>
      </c>
      <c r="I119" s="100">
        <f>AVERAGE(H119:H121)</f>
        <v>3.8748705648576802</v>
      </c>
    </row>
    <row r="120" spans="1:9" s="100" customFormat="1" ht="11.25" customHeight="1" x14ac:dyDescent="0.2">
      <c r="A120" s="102">
        <v>35</v>
      </c>
      <c r="B120" s="102" t="s">
        <v>197</v>
      </c>
      <c r="C120" s="114">
        <v>7.2489999999999997</v>
      </c>
      <c r="D120" s="103">
        <v>2.064565</v>
      </c>
      <c r="E120" s="123">
        <v>-26.345669503745672</v>
      </c>
      <c r="F120" s="171">
        <v>0.13574101962000001</v>
      </c>
      <c r="G120" s="172">
        <v>44637</v>
      </c>
      <c r="H120" s="174">
        <f t="shared" si="4"/>
        <v>3.7165891171956003</v>
      </c>
    </row>
    <row r="121" spans="1:9" s="100" customFormat="1" ht="11.25" customHeight="1" x14ac:dyDescent="0.2">
      <c r="A121" s="115">
        <v>36</v>
      </c>
      <c r="B121" s="115" t="s">
        <v>198</v>
      </c>
      <c r="C121" s="116">
        <v>7.4790000000000001</v>
      </c>
      <c r="D121" s="116">
        <v>2.19831675</v>
      </c>
      <c r="E121" s="123">
        <v>-26.715566967010446</v>
      </c>
      <c r="F121" s="171">
        <v>0.144534929679</v>
      </c>
      <c r="G121" s="172">
        <v>44637</v>
      </c>
      <c r="H121" s="174">
        <f t="shared" si="4"/>
        <v>3.9573663746110199</v>
      </c>
    </row>
    <row r="122" spans="1:9" s="100" customFormat="1" ht="11.25" customHeight="1" x14ac:dyDescent="0.2">
      <c r="A122" s="102">
        <v>37</v>
      </c>
      <c r="B122" s="102" t="s">
        <v>199</v>
      </c>
      <c r="C122" s="114">
        <v>8.6760000000000002</v>
      </c>
      <c r="D122" s="103">
        <v>3.96763025</v>
      </c>
      <c r="E122" s="123">
        <v>-25.893658646677721</v>
      </c>
      <c r="F122" s="171">
        <v>0.26086375367699999</v>
      </c>
      <c r="G122" s="172">
        <v>44637</v>
      </c>
      <c r="H122" s="174">
        <f t="shared" si="4"/>
        <v>7.1424495756762596</v>
      </c>
      <c r="I122" s="100">
        <f>AVERAGE(H122:H124)</f>
        <v>12.816921322556738</v>
      </c>
    </row>
    <row r="123" spans="1:9" s="100" customFormat="1" ht="11.25" customHeight="1" x14ac:dyDescent="0.2">
      <c r="A123" s="115">
        <v>38</v>
      </c>
      <c r="B123" s="115" t="s">
        <v>200</v>
      </c>
      <c r="C123" s="116">
        <v>10.089</v>
      </c>
      <c r="D123" s="116">
        <v>13.896848</v>
      </c>
      <c r="E123" s="123">
        <v>-26.749072143499298</v>
      </c>
      <c r="F123" s="171">
        <v>0.91368996230400001</v>
      </c>
      <c r="G123" s="172">
        <v>44637</v>
      </c>
      <c r="H123" s="174">
        <f t="shared" si="4"/>
        <v>25.01683116788352</v>
      </c>
    </row>
    <row r="124" spans="1:9" s="100" customFormat="1" ht="11.25" customHeight="1" x14ac:dyDescent="0.2">
      <c r="A124" s="102">
        <v>39</v>
      </c>
      <c r="B124" s="102" t="s">
        <v>201</v>
      </c>
      <c r="C124" s="114">
        <v>8.8800000000000008</v>
      </c>
      <c r="D124" s="103">
        <v>3.4949184999999998</v>
      </c>
      <c r="E124" s="123">
        <v>-26.461593638867161</v>
      </c>
      <c r="F124" s="171">
        <v>0.22978390153799999</v>
      </c>
      <c r="G124" s="172">
        <v>44637</v>
      </c>
      <c r="H124" s="174">
        <f t="shared" si="4"/>
        <v>6.2914832241104399</v>
      </c>
    </row>
    <row r="125" spans="1:9" s="100" customFormat="1" ht="11.25" customHeight="1" x14ac:dyDescent="0.2">
      <c r="A125" s="115">
        <v>40</v>
      </c>
      <c r="B125" s="115" t="s">
        <v>202</v>
      </c>
      <c r="C125" s="116">
        <v>7.1219999999999999</v>
      </c>
      <c r="D125" s="116">
        <v>1.6358362500000001</v>
      </c>
      <c r="E125" s="123">
        <v>-26.505486263000151</v>
      </c>
      <c r="F125" s="171">
        <v>0.10755296176500001</v>
      </c>
      <c r="G125" s="172">
        <v>44637</v>
      </c>
      <c r="H125" s="174">
        <f t="shared" si="4"/>
        <v>2.9448000931257003</v>
      </c>
      <c r="I125" s="100">
        <f>AVERAGE(H125:H127)</f>
        <v>4.05181995661607</v>
      </c>
    </row>
    <row r="126" spans="1:9" s="100" customFormat="1" ht="11.25" customHeight="1" x14ac:dyDescent="0.2">
      <c r="A126" s="102">
        <v>41</v>
      </c>
      <c r="B126" s="102" t="s">
        <v>203</v>
      </c>
      <c r="C126" s="114">
        <v>7.4020000000000001</v>
      </c>
      <c r="D126" s="103">
        <v>2.0314648750000002</v>
      </c>
      <c r="E126" s="123">
        <v>-26.408078866235861</v>
      </c>
      <c r="F126" s="171">
        <v>0.13356475260150003</v>
      </c>
      <c r="G126" s="172">
        <v>44637</v>
      </c>
      <c r="H126" s="174">
        <f t="shared" si="4"/>
        <v>3.6570029262290706</v>
      </c>
    </row>
    <row r="127" spans="1:9" s="100" customFormat="1" ht="11.25" customHeight="1" x14ac:dyDescent="0.2">
      <c r="A127" s="115">
        <v>42</v>
      </c>
      <c r="B127" s="115" t="s">
        <v>204</v>
      </c>
      <c r="C127" s="116">
        <v>8.0869999999999997</v>
      </c>
      <c r="D127" s="116">
        <v>3.0850559999999998</v>
      </c>
      <c r="E127" s="123">
        <v>-26.197164990220088</v>
      </c>
      <c r="F127" s="171">
        <v>0.202836261888</v>
      </c>
      <c r="G127" s="172">
        <v>44637</v>
      </c>
      <c r="H127" s="174">
        <f t="shared" si="4"/>
        <v>5.5536568504934394</v>
      </c>
    </row>
    <row r="128" spans="1:9" s="100" customFormat="1" ht="11.25" customHeight="1" x14ac:dyDescent="0.2">
      <c r="A128" s="102">
        <v>45</v>
      </c>
      <c r="B128" s="102" t="s">
        <v>205</v>
      </c>
      <c r="C128" s="114">
        <v>7.18</v>
      </c>
      <c r="D128" s="103">
        <v>1.7327494999999999</v>
      </c>
      <c r="E128" s="123">
        <v>-26.704578993182245</v>
      </c>
      <c r="F128" s="171">
        <v>0.113924814126</v>
      </c>
      <c r="G128" s="172">
        <v>44637</v>
      </c>
      <c r="H128" s="174">
        <f t="shared" si="4"/>
        <v>3.1192614107698797</v>
      </c>
      <c r="I128" s="100">
        <f>AVERAGE(H128:H130)</f>
        <v>3.0083665576103797</v>
      </c>
    </row>
    <row r="129" spans="1:9" s="100" customFormat="1" ht="11.25" customHeight="1" x14ac:dyDescent="0.2">
      <c r="A129" s="115">
        <v>46</v>
      </c>
      <c r="B129" s="115" t="s">
        <v>206</v>
      </c>
      <c r="C129" s="116">
        <v>7.3449999999999998</v>
      </c>
      <c r="D129" s="116">
        <v>1.70432275</v>
      </c>
      <c r="E129" s="123">
        <v>-26.82615394532985</v>
      </c>
      <c r="F129" s="171">
        <v>0.112055812167</v>
      </c>
      <c r="G129" s="172">
        <v>44637</v>
      </c>
      <c r="H129" s="174">
        <f t="shared" si="4"/>
        <v>3.06808813713246</v>
      </c>
    </row>
    <row r="130" spans="1:9" s="100" customFormat="1" ht="11.25" customHeight="1" x14ac:dyDescent="0.2">
      <c r="A130" s="102">
        <v>47</v>
      </c>
      <c r="B130" s="102" t="s">
        <v>207</v>
      </c>
      <c r="C130" s="114">
        <v>7.0140000000000002</v>
      </c>
      <c r="D130" s="103">
        <v>1.57637</v>
      </c>
      <c r="E130" s="123">
        <v>-26.745279445091963</v>
      </c>
      <c r="F130" s="171">
        <v>0.10364317476</v>
      </c>
      <c r="G130" s="172">
        <v>44637</v>
      </c>
      <c r="H130" s="174">
        <f t="shared" si="4"/>
        <v>2.8377501249288</v>
      </c>
    </row>
    <row r="131" spans="1:9" s="100" customFormat="1" ht="11.25" customHeight="1" x14ac:dyDescent="0.2">
      <c r="A131" s="115">
        <v>48</v>
      </c>
      <c r="B131" s="115" t="s">
        <v>208</v>
      </c>
      <c r="C131" s="116">
        <v>8.7650000000000006</v>
      </c>
      <c r="D131" s="116">
        <v>4.0087434999999996</v>
      </c>
      <c r="E131" s="123">
        <v>-26.515353606147059</v>
      </c>
      <c r="F131" s="171">
        <v>0.26356686763799997</v>
      </c>
      <c r="G131" s="172">
        <v>44637</v>
      </c>
      <c r="H131" s="174">
        <f t="shared" si="4"/>
        <v>7.216460835928439</v>
      </c>
      <c r="I131" s="100">
        <f>AVERAGE(H131:H133)</f>
        <v>10.503118006915519</v>
      </c>
    </row>
    <row r="132" spans="1:9" s="100" customFormat="1" ht="11.25" customHeight="1" x14ac:dyDescent="0.2">
      <c r="A132" s="102">
        <v>49</v>
      </c>
      <c r="B132" s="102" t="s">
        <v>209</v>
      </c>
      <c r="C132" s="114">
        <v>11.337999999999999</v>
      </c>
      <c r="D132" s="103">
        <v>8.058503</v>
      </c>
      <c r="E132" s="123">
        <v>-26.33169142282863</v>
      </c>
      <c r="F132" s="171">
        <v>0.52983045524399996</v>
      </c>
      <c r="G132" s="172">
        <v>44637</v>
      </c>
      <c r="H132" s="174">
        <f t="shared" si="4"/>
        <v>14.506757864580718</v>
      </c>
    </row>
    <row r="133" spans="1:9" s="100" customFormat="1" ht="11.25" customHeight="1" x14ac:dyDescent="0.2">
      <c r="A133" s="115">
        <v>50</v>
      </c>
      <c r="B133" s="115" t="s">
        <v>210</v>
      </c>
      <c r="C133" s="116">
        <v>9.6449999999999996</v>
      </c>
      <c r="D133" s="116">
        <v>5.4361974999999996</v>
      </c>
      <c r="E133" s="123">
        <v>-26.425878763358355</v>
      </c>
      <c r="F133" s="171">
        <v>0.35741911322999997</v>
      </c>
      <c r="G133" s="172">
        <v>44637</v>
      </c>
      <c r="H133" s="174">
        <f t="shared" si="4"/>
        <v>9.7861353202373991</v>
      </c>
    </row>
    <row r="134" spans="1:9" s="100" customFormat="1" ht="11.25" customHeight="1" x14ac:dyDescent="0.2">
      <c r="A134" s="102">
        <v>51</v>
      </c>
      <c r="B134" s="102" t="s">
        <v>211</v>
      </c>
      <c r="C134" s="114">
        <v>9.9619999999999997</v>
      </c>
      <c r="D134" s="103">
        <v>6.3570440000000001</v>
      </c>
      <c r="E134" s="123">
        <v>-26.170930589684669</v>
      </c>
      <c r="F134" s="171">
        <v>0.41796292891200004</v>
      </c>
      <c r="G134" s="172">
        <v>44637</v>
      </c>
      <c r="H134" s="174">
        <f t="shared" si="4"/>
        <v>11.44382499361056</v>
      </c>
      <c r="I134" s="100">
        <f>AVERAGE(H134:H136)</f>
        <v>12.42059499105352</v>
      </c>
    </row>
    <row r="135" spans="1:9" s="100" customFormat="1" ht="11.25" customHeight="1" x14ac:dyDescent="0.2">
      <c r="A135" s="115">
        <v>52</v>
      </c>
      <c r="B135" s="115" t="s">
        <v>212</v>
      </c>
      <c r="C135" s="116">
        <v>10.89</v>
      </c>
      <c r="D135" s="116">
        <v>7.7858444999999996</v>
      </c>
      <c r="E135" s="123">
        <v>-26.245980138758163</v>
      </c>
      <c r="F135" s="171">
        <v>0.51190370418599995</v>
      </c>
      <c r="G135" s="172">
        <v>44637</v>
      </c>
      <c r="H135" s="174">
        <f t="shared" si="4"/>
        <v>14.015923420612678</v>
      </c>
    </row>
    <row r="136" spans="1:9" s="100" customFormat="1" ht="11.25" customHeight="1" x14ac:dyDescent="0.2">
      <c r="A136" s="102">
        <v>53</v>
      </c>
      <c r="B136" s="102" t="s">
        <v>213</v>
      </c>
      <c r="C136" s="114">
        <v>9.4670000000000005</v>
      </c>
      <c r="D136" s="103">
        <v>6.5560305000000003</v>
      </c>
      <c r="E136" s="123">
        <v>-26.235972397926385</v>
      </c>
      <c r="F136" s="171">
        <v>0.43104589331400001</v>
      </c>
      <c r="G136" s="172">
        <v>44637</v>
      </c>
      <c r="H136" s="174">
        <f t="shared" si="4"/>
        <v>11.802036558937321</v>
      </c>
    </row>
    <row r="137" spans="1:9" s="100" customFormat="1" ht="11.25" customHeight="1" x14ac:dyDescent="0.2">
      <c r="A137" s="115">
        <v>54</v>
      </c>
      <c r="B137" s="115" t="s">
        <v>214</v>
      </c>
      <c r="C137" s="116">
        <v>10.208</v>
      </c>
      <c r="D137" s="116">
        <v>6.6546810000000001</v>
      </c>
      <c r="E137" s="123">
        <v>-26.023417580605347</v>
      </c>
      <c r="F137" s="171">
        <v>0.43753196638800002</v>
      </c>
      <c r="G137" s="172">
        <v>44637</v>
      </c>
      <c r="H137" s="174">
        <f t="shared" si="4"/>
        <v>11.97962523970344</v>
      </c>
      <c r="I137" s="100">
        <f>AVERAGE(H137:H139)</f>
        <v>12.917667659613238</v>
      </c>
    </row>
    <row r="138" spans="1:9" s="100" customFormat="1" ht="11.25" customHeight="1" x14ac:dyDescent="0.2">
      <c r="A138" s="102">
        <v>55</v>
      </c>
      <c r="B138" s="102" t="s">
        <v>215</v>
      </c>
      <c r="C138" s="114">
        <v>9.9890000000000008</v>
      </c>
      <c r="D138" s="103">
        <v>6.2771904999999997</v>
      </c>
      <c r="E138" s="123">
        <v>-26.104201570307527</v>
      </c>
      <c r="F138" s="171">
        <v>0.41271272099399997</v>
      </c>
      <c r="G138" s="172">
        <v>44637</v>
      </c>
      <c r="H138" s="174">
        <f t="shared" si="4"/>
        <v>11.300074300815719</v>
      </c>
    </row>
    <row r="139" spans="1:9" s="100" customFormat="1" ht="11.25" customHeight="1" x14ac:dyDescent="0.2">
      <c r="A139" s="115">
        <v>56</v>
      </c>
      <c r="B139" s="115" t="s">
        <v>216</v>
      </c>
      <c r="C139" s="116">
        <v>12.013999999999999</v>
      </c>
      <c r="D139" s="116">
        <v>8.5954189999999997</v>
      </c>
      <c r="E139" s="123">
        <v>-26.062231950176457</v>
      </c>
      <c r="F139" s="171">
        <v>0.56513160841199994</v>
      </c>
      <c r="G139" s="172">
        <v>44637</v>
      </c>
      <c r="H139" s="174">
        <f t="shared" si="4"/>
        <v>15.473303438320558</v>
      </c>
    </row>
    <row r="140" spans="1:9" s="100" customFormat="1" ht="11.25" customHeight="1" x14ac:dyDescent="0.2">
      <c r="A140" s="102">
        <v>59</v>
      </c>
      <c r="B140" s="102" t="s">
        <v>217</v>
      </c>
      <c r="C140" s="114">
        <v>8.6270000000000007</v>
      </c>
      <c r="D140" s="103">
        <v>3.5538975000000002</v>
      </c>
      <c r="E140" s="123">
        <v>-28.480697076225528</v>
      </c>
      <c r="F140" s="171">
        <v>0.23366165283000001</v>
      </c>
      <c r="G140" s="172">
        <v>44637</v>
      </c>
      <c r="H140" s="174">
        <f t="shared" si="4"/>
        <v>6.3976560544853998</v>
      </c>
      <c r="I140" s="100">
        <f>AVERAGE(H140:H142)</f>
        <v>8.47656660188572</v>
      </c>
    </row>
    <row r="141" spans="1:9" s="100" customFormat="1" ht="11.25" customHeight="1" x14ac:dyDescent="0.2">
      <c r="A141" s="115">
        <v>60</v>
      </c>
      <c r="B141" s="115" t="s">
        <v>218</v>
      </c>
      <c r="C141" s="116">
        <v>9.5960000000000001</v>
      </c>
      <c r="D141" s="116">
        <v>5.2169860000000003</v>
      </c>
      <c r="E141" s="123">
        <v>-28.246558062642826</v>
      </c>
      <c r="F141" s="171">
        <v>0.34300639552800005</v>
      </c>
      <c r="G141" s="172">
        <v>44637</v>
      </c>
      <c r="H141" s="174">
        <f t="shared" si="4"/>
        <v>9.3915151095566411</v>
      </c>
    </row>
    <row r="142" spans="1:9" s="100" customFormat="1" ht="11.25" customHeight="1" x14ac:dyDescent="0.2">
      <c r="A142" s="102">
        <v>61</v>
      </c>
      <c r="B142" s="102" t="s">
        <v>219</v>
      </c>
      <c r="C142" s="114">
        <v>9.7789999999999999</v>
      </c>
      <c r="D142" s="103">
        <v>5.3553129999999998</v>
      </c>
      <c r="E142" s="123">
        <v>-28.431127985570576</v>
      </c>
      <c r="F142" s="171">
        <v>0.35210111912399999</v>
      </c>
      <c r="G142" s="172">
        <v>44637</v>
      </c>
      <c r="H142" s="174">
        <f t="shared" si="4"/>
        <v>9.6405286416151199</v>
      </c>
    </row>
    <row r="143" spans="1:9" s="100" customFormat="1" ht="11.25" customHeight="1" x14ac:dyDescent="0.2">
      <c r="A143" s="115">
        <v>62</v>
      </c>
      <c r="B143" s="115" t="s">
        <v>220</v>
      </c>
      <c r="C143" s="116">
        <v>7.2510000000000003</v>
      </c>
      <c r="D143" s="116">
        <v>1.7948191250000001</v>
      </c>
      <c r="E143" s="123">
        <v>-23.020515037242014</v>
      </c>
      <c r="F143" s="171">
        <v>0.1180057678305</v>
      </c>
      <c r="G143" s="172">
        <v>44637</v>
      </c>
      <c r="H143" s="174">
        <f t="shared" si="4"/>
        <v>3.23099792319909</v>
      </c>
      <c r="I143" s="100">
        <f>AVERAGE(H143:H145)</f>
        <v>3.4720828614205299</v>
      </c>
    </row>
    <row r="144" spans="1:9" s="100" customFormat="1" ht="11.25" customHeight="1" x14ac:dyDescent="0.2">
      <c r="A144" s="102">
        <v>63</v>
      </c>
      <c r="B144" s="102" t="s">
        <v>221</v>
      </c>
      <c r="C144" s="114">
        <v>7.548</v>
      </c>
      <c r="D144" s="103">
        <v>2.0918744999999999</v>
      </c>
      <c r="E144" s="123">
        <v>-23.105184829739407</v>
      </c>
      <c r="F144" s="171">
        <v>0.137536564626</v>
      </c>
      <c r="G144" s="172">
        <v>44637</v>
      </c>
      <c r="H144" s="174">
        <f t="shared" si="4"/>
        <v>3.7657511394598799</v>
      </c>
    </row>
    <row r="145" spans="1:9" s="100" customFormat="1" ht="11.25" customHeight="1" x14ac:dyDescent="0.2">
      <c r="A145" s="115">
        <v>64</v>
      </c>
      <c r="B145" s="115" t="s">
        <v>222</v>
      </c>
      <c r="C145" s="116">
        <v>7.3129999999999997</v>
      </c>
      <c r="D145" s="116">
        <v>1.89953175</v>
      </c>
      <c r="E145" s="123">
        <v>-23.341654408226695</v>
      </c>
      <c r="F145" s="171">
        <v>0.124890413499</v>
      </c>
      <c r="G145" s="172">
        <v>44637</v>
      </c>
      <c r="H145" s="174">
        <f t="shared" si="4"/>
        <v>3.4194995216026198</v>
      </c>
    </row>
    <row r="146" spans="1:9" s="100" customFormat="1" ht="11.25" customHeight="1" x14ac:dyDescent="0.2">
      <c r="A146" s="102">
        <v>65</v>
      </c>
      <c r="B146" s="102" t="s">
        <v>223</v>
      </c>
      <c r="C146" s="114">
        <v>14.904</v>
      </c>
      <c r="D146" s="103">
        <v>4.6294880000000003</v>
      </c>
      <c r="E146" s="123">
        <v>-25.543654318785435</v>
      </c>
      <c r="F146" s="171">
        <v>0.30437957702400004</v>
      </c>
      <c r="G146" s="172">
        <v>44637</v>
      </c>
      <c r="H146" s="174">
        <f t="shared" si="4"/>
        <v>8.3339128189171205</v>
      </c>
      <c r="I146" s="100">
        <f>AVERAGE(H146:H148)</f>
        <v>8.1795304116398597</v>
      </c>
    </row>
    <row r="147" spans="1:9" s="100" customFormat="1" ht="11.25" customHeight="1" x14ac:dyDescent="0.2">
      <c r="A147" s="115">
        <v>66</v>
      </c>
      <c r="B147" s="115" t="s">
        <v>224</v>
      </c>
      <c r="C147" s="116">
        <v>15.021000000000001</v>
      </c>
      <c r="D147" s="116">
        <v>4.8754989999999996</v>
      </c>
      <c r="E147" s="123">
        <v>-25.652581249715279</v>
      </c>
      <c r="F147" s="171">
        <v>0.32055430825199999</v>
      </c>
      <c r="G147" s="172">
        <v>44637</v>
      </c>
      <c r="H147" s="174">
        <f t="shared" si="4"/>
        <v>8.7767769599397596</v>
      </c>
    </row>
    <row r="148" spans="1:9" s="100" customFormat="1" ht="11.25" customHeight="1" x14ac:dyDescent="0.2">
      <c r="A148" s="102">
        <v>67</v>
      </c>
      <c r="B148" s="102" t="s">
        <v>225</v>
      </c>
      <c r="C148" s="114">
        <v>14.436999999999999</v>
      </c>
      <c r="D148" s="103">
        <v>4.1261987500000004</v>
      </c>
      <c r="E148" s="123">
        <v>-25.675874794641057</v>
      </c>
      <c r="F148" s="171">
        <v>0.27128931541500001</v>
      </c>
      <c r="G148" s="172">
        <v>44637</v>
      </c>
      <c r="H148" s="174">
        <f t="shared" si="4"/>
        <v>7.4279014560626999</v>
      </c>
    </row>
    <row r="149" spans="1:9" s="100" customFormat="1" ht="11.25" customHeight="1" x14ac:dyDescent="0.2">
      <c r="A149" s="115">
        <v>68</v>
      </c>
      <c r="B149" s="115" t="s">
        <v>226</v>
      </c>
      <c r="C149" s="116">
        <v>19.907</v>
      </c>
      <c r="D149" s="116">
        <v>5.9747839999999997</v>
      </c>
      <c r="E149" s="123">
        <v>-25.289578201760051</v>
      </c>
      <c r="F149" s="171">
        <v>0.39283009843200001</v>
      </c>
      <c r="G149" s="172">
        <v>44637</v>
      </c>
      <c r="H149" s="174">
        <f t="shared" si="4"/>
        <v>10.755688095068161</v>
      </c>
      <c r="I149" s="100">
        <f>AVERAGE(H149:H151)</f>
        <v>9.7928591434488208</v>
      </c>
    </row>
    <row r="150" spans="1:9" s="100" customFormat="1" ht="11.25" customHeight="1" x14ac:dyDescent="0.2">
      <c r="A150" s="102">
        <v>69</v>
      </c>
      <c r="B150" s="102" t="s">
        <v>227</v>
      </c>
      <c r="C150" s="114">
        <v>14.795</v>
      </c>
      <c r="D150" s="103">
        <v>2.6043717499999999</v>
      </c>
      <c r="E150" s="123">
        <v>-25.046693766839145</v>
      </c>
      <c r="F150" s="171">
        <v>0.17123223381899999</v>
      </c>
      <c r="G150" s="172">
        <v>44637</v>
      </c>
      <c r="H150" s="174">
        <f t="shared" si="4"/>
        <v>4.6883385619642199</v>
      </c>
    </row>
    <row r="151" spans="1:9" s="100" customFormat="1" ht="11.25" customHeight="1" x14ac:dyDescent="0.2">
      <c r="A151" s="115">
        <v>70</v>
      </c>
      <c r="B151" s="115" t="s">
        <v>228</v>
      </c>
      <c r="C151" s="116">
        <v>27.736000000000001</v>
      </c>
      <c r="D151" s="116">
        <v>7.7406420000000002</v>
      </c>
      <c r="E151" s="123">
        <v>-25.023362605942566</v>
      </c>
      <c r="F151" s="171">
        <v>0.50893173021600002</v>
      </c>
      <c r="G151" s="172">
        <v>44637</v>
      </c>
      <c r="H151" s="174">
        <f t="shared" si="4"/>
        <v>13.934550773314081</v>
      </c>
    </row>
    <row r="152" spans="1:9" s="100" customFormat="1" ht="11.25" customHeight="1" x14ac:dyDescent="0.2">
      <c r="H152" s="174"/>
    </row>
    <row r="153" spans="1:9" s="100" customFormat="1" ht="11.25" customHeight="1" x14ac:dyDescent="0.2">
      <c r="A153" s="102">
        <v>31</v>
      </c>
      <c r="B153" s="102" t="s">
        <v>244</v>
      </c>
      <c r="C153" s="114">
        <v>6.75</v>
      </c>
      <c r="D153" s="103">
        <v>1.763525</v>
      </c>
      <c r="E153" s="123">
        <v>-26.242241713913224</v>
      </c>
      <c r="F153" s="171">
        <v>0.11686527469999999</v>
      </c>
      <c r="G153" s="172">
        <v>44638</v>
      </c>
      <c r="H153" s="174">
        <f t="shared" ref="H153:H155" si="5">F153*27.38</f>
        <v>3.1997712212859999</v>
      </c>
      <c r="I153" s="100">
        <f>AVERAGE(H153:H155)</f>
        <v>6.1584312598812998</v>
      </c>
    </row>
    <row r="154" spans="1:9" s="100" customFormat="1" ht="11.25" customHeight="1" x14ac:dyDescent="0.2">
      <c r="A154" s="115">
        <v>32</v>
      </c>
      <c r="B154" s="115" t="s">
        <v>245</v>
      </c>
      <c r="C154" s="116">
        <v>6.9889999999999999</v>
      </c>
      <c r="D154" s="116">
        <v>2.7356002500000001</v>
      </c>
      <c r="E154" s="123">
        <v>-26.362838365893008</v>
      </c>
      <c r="F154" s="171">
        <v>0.18128275736699997</v>
      </c>
      <c r="G154" s="172">
        <v>44638</v>
      </c>
      <c r="H154" s="174">
        <f t="shared" si="5"/>
        <v>4.9635218967084596</v>
      </c>
    </row>
    <row r="155" spans="1:9" s="100" customFormat="1" ht="11.25" customHeight="1" x14ac:dyDescent="0.2">
      <c r="A155" s="102">
        <v>33</v>
      </c>
      <c r="B155" s="102" t="s">
        <v>246</v>
      </c>
      <c r="C155" s="114">
        <v>7.67</v>
      </c>
      <c r="D155" s="103">
        <v>5.6833660000000004</v>
      </c>
      <c r="E155" s="123">
        <v>-25.934056735729662</v>
      </c>
      <c r="F155" s="171">
        <v>0.37662529808799999</v>
      </c>
      <c r="G155" s="172">
        <v>44638</v>
      </c>
      <c r="H155" s="174">
        <f t="shared" si="5"/>
        <v>10.312000661649439</v>
      </c>
    </row>
    <row r="157" spans="1:9" s="100" customFormat="1" ht="11.25" customHeight="1" x14ac:dyDescent="0.2">
      <c r="H157" s="174"/>
    </row>
    <row r="158" spans="1:9" s="142" customFormat="1" ht="11.25" customHeight="1" x14ac:dyDescent="0.2">
      <c r="H158" s="176"/>
    </row>
    <row r="159" spans="1:9" s="142" customFormat="1" ht="11.25" customHeight="1" x14ac:dyDescent="0.2">
      <c r="H159" s="176"/>
    </row>
    <row r="160" spans="1:9" s="7" customFormat="1" ht="11.25" customHeight="1" x14ac:dyDescent="0.2">
      <c r="H160" s="177"/>
    </row>
    <row r="161" spans="8:8" s="100" customFormat="1" ht="11.25" customHeight="1" x14ac:dyDescent="0.2">
      <c r="H161" s="174"/>
    </row>
    <row r="162" spans="8:8" s="100" customFormat="1" ht="11.25" customHeight="1" x14ac:dyDescent="0.2">
      <c r="H162" s="174"/>
    </row>
    <row r="163" spans="8:8" s="100" customFormat="1" ht="11.25" customHeight="1" x14ac:dyDescent="0.2">
      <c r="H163" s="174"/>
    </row>
    <row r="164" spans="8:8" s="100" customFormat="1" ht="11.25" customHeight="1" x14ac:dyDescent="0.2">
      <c r="H164" s="174"/>
    </row>
    <row r="165" spans="8:8" s="100" customFormat="1" ht="11.25" customHeight="1" x14ac:dyDescent="0.2">
      <c r="H165" s="174"/>
    </row>
    <row r="166" spans="8:8" s="100" customFormat="1" ht="11.25" customHeight="1" x14ac:dyDescent="0.2">
      <c r="H166" s="174"/>
    </row>
    <row r="167" spans="8:8" s="100" customFormat="1" ht="11.25" customHeight="1" x14ac:dyDescent="0.2">
      <c r="H167" s="174"/>
    </row>
    <row r="168" spans="8:8" s="100" customFormat="1" ht="11.25" customHeight="1" x14ac:dyDescent="0.2">
      <c r="H168" s="174"/>
    </row>
    <row r="169" spans="8:8" s="100" customFormat="1" ht="11.25" customHeight="1" x14ac:dyDescent="0.2">
      <c r="H169" s="174"/>
    </row>
    <row r="170" spans="8:8" s="100" customFormat="1" ht="11.25" customHeight="1" x14ac:dyDescent="0.2">
      <c r="H170" s="174"/>
    </row>
    <row r="171" spans="8:8" s="100" customFormat="1" ht="11.25" customHeight="1" x14ac:dyDescent="0.2">
      <c r="H171" s="174"/>
    </row>
    <row r="172" spans="8:8" s="100" customFormat="1" ht="11.25" customHeight="1" x14ac:dyDescent="0.2">
      <c r="H172" s="174"/>
    </row>
    <row r="173" spans="8:8" s="100" customFormat="1" ht="11.25" customHeight="1" x14ac:dyDescent="0.2">
      <c r="H173" s="174"/>
    </row>
    <row r="174" spans="8:8" s="100" customFormat="1" ht="11.25" customHeight="1" x14ac:dyDescent="0.2">
      <c r="H174" s="174"/>
    </row>
    <row r="175" spans="8:8" s="100" customFormat="1" ht="11.25" customHeight="1" x14ac:dyDescent="0.2">
      <c r="H175" s="174"/>
    </row>
    <row r="176" spans="8:8" s="100" customFormat="1" ht="11.25" customHeight="1" x14ac:dyDescent="0.2">
      <c r="H176" s="174"/>
    </row>
    <row r="177" spans="8:8" s="100" customFormat="1" ht="11.25" customHeight="1" x14ac:dyDescent="0.2">
      <c r="H177" s="174"/>
    </row>
    <row r="178" spans="8:8" s="100" customFormat="1" ht="11.25" customHeight="1" x14ac:dyDescent="0.2">
      <c r="H178" s="174"/>
    </row>
    <row r="179" spans="8:8" s="100" customFormat="1" ht="11.25" customHeight="1" x14ac:dyDescent="0.2">
      <c r="H179" s="174"/>
    </row>
    <row r="180" spans="8:8" s="100" customFormat="1" ht="11.25" customHeight="1" x14ac:dyDescent="0.2">
      <c r="H180" s="174"/>
    </row>
    <row r="181" spans="8:8" s="100" customFormat="1" ht="11.25" customHeight="1" x14ac:dyDescent="0.2">
      <c r="H181" s="174"/>
    </row>
    <row r="182" spans="8:8" s="100" customFormat="1" ht="11.25" customHeight="1" x14ac:dyDescent="0.2">
      <c r="H182" s="174"/>
    </row>
    <row r="183" spans="8:8" s="100" customFormat="1" ht="11.25" customHeight="1" x14ac:dyDescent="0.2">
      <c r="H183" s="174"/>
    </row>
    <row r="184" spans="8:8" s="100" customFormat="1" ht="11.25" customHeight="1" x14ac:dyDescent="0.2">
      <c r="H184" s="174"/>
    </row>
    <row r="185" spans="8:8" s="100" customFormat="1" ht="11.25" customHeight="1" x14ac:dyDescent="0.2">
      <c r="H185" s="174"/>
    </row>
    <row r="186" spans="8:8" s="100" customFormat="1" ht="11.25" customHeight="1" x14ac:dyDescent="0.2">
      <c r="H186" s="174"/>
    </row>
    <row r="187" spans="8:8" s="100" customFormat="1" ht="11.25" customHeight="1" x14ac:dyDescent="0.2">
      <c r="H187" s="174"/>
    </row>
    <row r="188" spans="8:8" s="100" customFormat="1" ht="11.25" customHeight="1" x14ac:dyDescent="0.2">
      <c r="H188" s="174"/>
    </row>
    <row r="189" spans="8:8" s="100" customFormat="1" ht="11.25" customHeight="1" x14ac:dyDescent="0.2">
      <c r="H189" s="174"/>
    </row>
    <row r="190" spans="8:8" s="100" customFormat="1" ht="11.25" customHeight="1" x14ac:dyDescent="0.2">
      <c r="H190" s="174"/>
    </row>
    <row r="191" spans="8:8" s="100" customFormat="1" ht="11.25" customHeight="1" x14ac:dyDescent="0.2">
      <c r="H191" s="174"/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0" sqref="G20"/>
    </sheetView>
  </sheetViews>
  <sheetFormatPr defaultRowHeight="15" x14ac:dyDescent="0.25"/>
  <cols>
    <col min="7" max="7" width="9.5703125" bestFit="1" customWidth="1"/>
    <col min="10" max="10" width="9.570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Run 5</vt:lpstr>
      <vt:lpstr>Run 4</vt:lpstr>
      <vt:lpstr>Run 3</vt:lpstr>
      <vt:lpstr>Run 2</vt:lpstr>
      <vt:lpstr>Run 1</vt:lpstr>
      <vt:lpstr>filter blank wts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Perkins, George B</cp:lastModifiedBy>
  <dcterms:created xsi:type="dcterms:W3CDTF">2015-03-05T19:28:43Z</dcterms:created>
  <dcterms:modified xsi:type="dcterms:W3CDTF">2022-03-21T23:04:23Z</dcterms:modified>
</cp:coreProperties>
</file>