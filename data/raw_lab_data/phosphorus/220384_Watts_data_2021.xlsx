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ck4481\Documents\GitHub\hysteresis\data\raw_data\phosphorus\"/>
    </mc:Choice>
  </mc:AlternateContent>
  <xr:revisionPtr revIDLastSave="0" documentId="13_ncr:1_{01314C89-0359-408E-895E-8C7B09E5E276}" xr6:coauthVersionLast="47" xr6:coauthVersionMax="47" xr10:uidLastSave="{00000000-0000-0000-0000-000000000000}"/>
  <bookViews>
    <workbookView xWindow="-25320" yWindow="360" windowWidth="25440" windowHeight="15270" xr2:uid="{F117410F-BB06-4E3B-83B4-AC6C842CB404}"/>
  </bookViews>
  <sheets>
    <sheet name="Raw Data de ark" sheetId="1" r:id="rId1"/>
    <sheet name="Hyst. Graphs" sheetId="2" r:id="rId2"/>
    <sheet name="Exp. Graph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3" i="2" l="1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32" i="2"/>
  <c r="G33" i="2"/>
  <c r="G34" i="2"/>
  <c r="G35" i="2"/>
  <c r="G36" i="2"/>
  <c r="G37" i="2"/>
  <c r="G38" i="2"/>
  <c r="G39" i="2"/>
  <c r="G40" i="2"/>
  <c r="G41" i="2"/>
  <c r="G42" i="2"/>
  <c r="G43" i="2"/>
  <c r="G32" i="2"/>
  <c r="F50" i="1" l="1"/>
  <c r="F49" i="1"/>
  <c r="E50" i="1"/>
  <c r="E49" i="1"/>
</calcChain>
</file>

<file path=xl/sharedStrings.xml><?xml version="1.0" encoding="utf-8"?>
<sst xmlns="http://schemas.openxmlformats.org/spreadsheetml/2006/main" count="207" uniqueCount="109">
  <si>
    <t>Date_Rcvd</t>
  </si>
  <si>
    <t>Sample_Number</t>
  </si>
  <si>
    <t>Sample_ID</t>
  </si>
  <si>
    <t>Status</t>
  </si>
  <si>
    <t>220384-01</t>
  </si>
  <si>
    <t>EXP #1</t>
  </si>
  <si>
    <t>Approved</t>
  </si>
  <si>
    <t>220384-02</t>
  </si>
  <si>
    <t>EXP #2</t>
  </si>
  <si>
    <t>220384-03</t>
  </si>
  <si>
    <t>EXP #3</t>
  </si>
  <si>
    <t>220384-04</t>
  </si>
  <si>
    <t>EXP #4</t>
  </si>
  <si>
    <t>220384-05</t>
  </si>
  <si>
    <t>EXP #5</t>
  </si>
  <si>
    <t>220384-06</t>
  </si>
  <si>
    <t>EXP #6</t>
  </si>
  <si>
    <t>220384-07</t>
  </si>
  <si>
    <t>EXP #7</t>
  </si>
  <si>
    <t>220384-08</t>
  </si>
  <si>
    <t>EXP #8</t>
  </si>
  <si>
    <t>220384-09</t>
  </si>
  <si>
    <t>EXP #9</t>
  </si>
  <si>
    <t>220384-10</t>
  </si>
  <si>
    <t>EXP #10</t>
  </si>
  <si>
    <t>220384-11</t>
  </si>
  <si>
    <t>EXP #11</t>
  </si>
  <si>
    <t>220384-12</t>
  </si>
  <si>
    <t>EXP #12</t>
  </si>
  <si>
    <t>220384-13</t>
  </si>
  <si>
    <t>EXP #13</t>
  </si>
  <si>
    <t>220384-14</t>
  </si>
  <si>
    <t>EXP #14</t>
  </si>
  <si>
    <t>220384-15</t>
  </si>
  <si>
    <t>EXP #15</t>
  </si>
  <si>
    <t>220384-16</t>
  </si>
  <si>
    <t>EXP #16</t>
  </si>
  <si>
    <t>220384-17</t>
  </si>
  <si>
    <t>GS-1U</t>
  </si>
  <si>
    <t>220384-18</t>
  </si>
  <si>
    <t>GS-1L</t>
  </si>
  <si>
    <t>220384-19</t>
  </si>
  <si>
    <t>GS-2U</t>
  </si>
  <si>
    <t>220384-20</t>
  </si>
  <si>
    <t>GS-2L</t>
  </si>
  <si>
    <t>220384-21</t>
  </si>
  <si>
    <t>GS-3U</t>
  </si>
  <si>
    <t>220384-22</t>
  </si>
  <si>
    <t>GS-3L</t>
  </si>
  <si>
    <t>220384-23</t>
  </si>
  <si>
    <t>GS-4U</t>
  </si>
  <si>
    <t>220384-24</t>
  </si>
  <si>
    <t>GS-4L</t>
  </si>
  <si>
    <t>220384-25</t>
  </si>
  <si>
    <t>GS-5U</t>
  </si>
  <si>
    <t>220384-26</t>
  </si>
  <si>
    <t>GS-5L</t>
  </si>
  <si>
    <t>220384-27</t>
  </si>
  <si>
    <t>GWW#1</t>
  </si>
  <si>
    <t>220384-28</t>
  </si>
  <si>
    <t>GWW#2</t>
  </si>
  <si>
    <t>220384-29</t>
  </si>
  <si>
    <t>GWW#8</t>
  </si>
  <si>
    <t>220384-30</t>
  </si>
  <si>
    <t>GWW#9</t>
  </si>
  <si>
    <t>220384-31</t>
  </si>
  <si>
    <t>Storm#1 2-1</t>
  </si>
  <si>
    <t>220384-32</t>
  </si>
  <si>
    <t>Storm #1 2-2</t>
  </si>
  <si>
    <t>220384-33</t>
  </si>
  <si>
    <t>Storm #1 2-5</t>
  </si>
  <si>
    <t>220384-34</t>
  </si>
  <si>
    <t>Storm #1 2-6</t>
  </si>
  <si>
    <t>220384-35</t>
  </si>
  <si>
    <t>Storm #1 2-10</t>
  </si>
  <si>
    <t>220384-36</t>
  </si>
  <si>
    <t>Storm #1 2-18</t>
  </si>
  <si>
    <t>220384-37</t>
  </si>
  <si>
    <t>Storm #1 3-1</t>
  </si>
  <si>
    <t>220384-38</t>
  </si>
  <si>
    <t>Storm #1 3-3</t>
  </si>
  <si>
    <t>220384-39</t>
  </si>
  <si>
    <t>Storm #1 3-8</t>
  </si>
  <si>
    <t>220384-40</t>
  </si>
  <si>
    <t>Storm #1 3-11</t>
  </si>
  <si>
    <t>220384-41</t>
  </si>
  <si>
    <t>Storm #1 3-15</t>
  </si>
  <si>
    <t>220384-42</t>
  </si>
  <si>
    <t>Storm #1 3-24</t>
  </si>
  <si>
    <t>220384-43</t>
  </si>
  <si>
    <t>Gaining GS</t>
  </si>
  <si>
    <t>220384-44</t>
  </si>
  <si>
    <t>BS2</t>
  </si>
  <si>
    <t>220384-45</t>
  </si>
  <si>
    <t>BS3</t>
  </si>
  <si>
    <t>220384-46</t>
  </si>
  <si>
    <t>BS4</t>
  </si>
  <si>
    <t>220384-47</t>
  </si>
  <si>
    <t>BS5</t>
  </si>
  <si>
    <t>SRP (mg/L)</t>
  </si>
  <si>
    <t>Total Phosphorus (mg/L)</t>
  </si>
  <si>
    <t>Time</t>
  </si>
  <si>
    <t>Q (cfs)</t>
  </si>
  <si>
    <t>EXP Sample_ID</t>
  </si>
  <si>
    <t>max</t>
  </si>
  <si>
    <t>min</t>
  </si>
  <si>
    <t>czo cfs</t>
  </si>
  <si>
    <t>adjust cfs</t>
  </si>
  <si>
    <t>Sample Time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</si>
</sst>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h:mm;@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  <border>
      <left style="thin">
        <color rgb="FFD0D7E5"/>
      </left>
      <right style="thin">
        <color rgb="FFD0D7E5"/>
      </right>
      <top/>
      <bottom style="thin">
        <color rgb="FFD0D7E5"/>
      </bottom>
      <diagonal/>
    </border>
    <border>
      <left style="thin">
        <color indexed="64"/>
      </left>
      <right style="thin">
        <color rgb="FFD0D7E5"/>
      </right>
      <top style="thin">
        <color indexed="64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indexed="64"/>
      </top>
      <bottom style="thin">
        <color rgb="FFD0D7E5"/>
      </bottom>
      <diagonal/>
    </border>
    <border>
      <left style="thin">
        <color rgb="FFD0D7E5"/>
      </left>
      <right style="thin">
        <color indexed="64"/>
      </right>
      <top style="thin">
        <color indexed="64"/>
      </top>
      <bottom style="thin">
        <color rgb="FFD0D7E5"/>
      </bottom>
      <diagonal/>
    </border>
    <border>
      <left style="thin">
        <color indexed="64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indexed="64"/>
      </right>
      <top style="thin">
        <color rgb="FFD0D7E5"/>
      </top>
      <bottom style="thin">
        <color rgb="FFD0D7E5"/>
      </bottom>
      <diagonal/>
    </border>
    <border>
      <left style="thin">
        <color indexed="64"/>
      </left>
      <right style="thin">
        <color rgb="FFD0D7E5"/>
      </right>
      <top style="thin">
        <color rgb="FFD0D7E5"/>
      </top>
      <bottom style="thin">
        <color indexed="64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indexed="64"/>
      </bottom>
      <diagonal/>
    </border>
    <border>
      <left style="thin">
        <color rgb="FFD0D7E5"/>
      </left>
      <right style="thin">
        <color indexed="64"/>
      </right>
      <top style="thin">
        <color rgb="FFD0D7E5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2" fillId="0" borderId="2" xfId="0" applyNumberFormat="1" applyFont="1" applyBorder="1" applyAlignment="1">
      <alignment horizontal="center" vertical="center" wrapText="1"/>
    </xf>
    <xf numFmtId="22" fontId="2" fillId="0" borderId="2" xfId="0" applyNumberFormat="1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20" fontId="0" fillId="0" borderId="0" xfId="0" applyNumberFormat="1"/>
    <xf numFmtId="22" fontId="0" fillId="0" borderId="0" xfId="0" applyNumberFormat="1"/>
    <xf numFmtId="20" fontId="0" fillId="0" borderId="0" xfId="0" applyNumberFormat="1" applyAlignment="1">
      <alignment horizontal="center"/>
    </xf>
    <xf numFmtId="164" fontId="0" fillId="0" borderId="0" xfId="0" applyNumberFormat="1"/>
    <xf numFmtId="165" fontId="0" fillId="0" borderId="0" xfId="0" applyNumberForma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2" fillId="0" borderId="3" xfId="0" applyFont="1" applyBorder="1" applyAlignment="1">
      <alignment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164" fontId="2" fillId="0" borderId="6" xfId="0" applyNumberFormat="1" applyFont="1" applyBorder="1" applyAlignment="1">
      <alignment horizontal="center" vertical="center" wrapText="1"/>
    </xf>
    <xf numFmtId="164" fontId="2" fillId="0" borderId="7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164" fontId="2" fillId="0" borderId="9" xfId="0" applyNumberFormat="1" applyFont="1" applyBorder="1" applyAlignment="1">
      <alignment horizontal="center" vertical="center" wrapText="1"/>
    </xf>
    <xf numFmtId="0" fontId="2" fillId="0" borderId="10" xfId="0" applyFont="1" applyBorder="1" applyAlignment="1">
      <alignment vertical="center" wrapText="1"/>
    </xf>
    <xf numFmtId="164" fontId="2" fillId="0" borderId="11" xfId="0" applyNumberFormat="1" applyFont="1" applyBorder="1" applyAlignment="1">
      <alignment horizontal="center" vertical="center" wrapText="1"/>
    </xf>
    <xf numFmtId="164" fontId="2" fillId="0" borderId="1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7/23/21</a:t>
            </a:r>
            <a:r>
              <a:rPr lang="en-US" baseline="0"/>
              <a:t> Storm </a:t>
            </a:r>
            <a:r>
              <a:rPr lang="en-US"/>
              <a:t>Hydrograph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Hydrograph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'Hyst. Graphs'!$D$50:$D$72</c:f>
              <c:numCache>
                <c:formatCode>h:mm</c:formatCode>
                <c:ptCount val="23"/>
                <c:pt idx="0">
                  <c:v>0.54166666666666663</c:v>
                </c:pt>
                <c:pt idx="1">
                  <c:v>0.5625</c:v>
                </c:pt>
                <c:pt idx="2">
                  <c:v>0.58333333333333337</c:v>
                </c:pt>
                <c:pt idx="3">
                  <c:v>0.60416666666666663</c:v>
                </c:pt>
                <c:pt idx="4">
                  <c:v>0.625</c:v>
                </c:pt>
                <c:pt idx="5" formatCode="h:mm;@">
                  <c:v>0.64583333333333337</c:v>
                </c:pt>
                <c:pt idx="6" formatCode="h:mm;@">
                  <c:v>0.66666666666666663</c:v>
                </c:pt>
                <c:pt idx="7">
                  <c:v>0.6875</c:v>
                </c:pt>
                <c:pt idx="8">
                  <c:v>0.70833333333333337</c:v>
                </c:pt>
                <c:pt idx="9">
                  <c:v>0.72916666666666663</c:v>
                </c:pt>
                <c:pt idx="10">
                  <c:v>0.75</c:v>
                </c:pt>
                <c:pt idx="11">
                  <c:v>0.77083333333333337</c:v>
                </c:pt>
                <c:pt idx="12">
                  <c:v>0.79166666666666663</c:v>
                </c:pt>
                <c:pt idx="13">
                  <c:v>0.8125</c:v>
                </c:pt>
                <c:pt idx="14">
                  <c:v>0.83333333333333337</c:v>
                </c:pt>
                <c:pt idx="15">
                  <c:v>0.85416666666666663</c:v>
                </c:pt>
                <c:pt idx="16">
                  <c:v>0.875</c:v>
                </c:pt>
                <c:pt idx="17">
                  <c:v>0.89583333333333337</c:v>
                </c:pt>
                <c:pt idx="18">
                  <c:v>0.91666666666666663</c:v>
                </c:pt>
                <c:pt idx="19">
                  <c:v>0.9375</c:v>
                </c:pt>
                <c:pt idx="20">
                  <c:v>0.95833333333333337</c:v>
                </c:pt>
                <c:pt idx="21">
                  <c:v>0.97916666666666663</c:v>
                </c:pt>
                <c:pt idx="22">
                  <c:v>1</c:v>
                </c:pt>
              </c:numCache>
            </c:numRef>
          </c:xVal>
          <c:yVal>
            <c:numRef>
              <c:f>'Hyst. Graphs'!$B$50:$B$72</c:f>
              <c:numCache>
                <c:formatCode>General</c:formatCode>
                <c:ptCount val="23"/>
                <c:pt idx="0">
                  <c:v>0.97899999999999998</c:v>
                </c:pt>
                <c:pt idx="1">
                  <c:v>1.1160000000000001</c:v>
                </c:pt>
                <c:pt idx="2">
                  <c:v>1.054</c:v>
                </c:pt>
                <c:pt idx="3">
                  <c:v>1.161</c:v>
                </c:pt>
                <c:pt idx="4">
                  <c:v>2.024</c:v>
                </c:pt>
                <c:pt idx="5">
                  <c:v>2.6480000000000001</c:v>
                </c:pt>
                <c:pt idx="6">
                  <c:v>3.64</c:v>
                </c:pt>
                <c:pt idx="7">
                  <c:v>4.1639999999999997</c:v>
                </c:pt>
                <c:pt idx="8">
                  <c:v>3.96</c:v>
                </c:pt>
                <c:pt idx="9">
                  <c:v>3.516</c:v>
                </c:pt>
                <c:pt idx="10">
                  <c:v>3.13</c:v>
                </c:pt>
                <c:pt idx="11">
                  <c:v>2.847</c:v>
                </c:pt>
                <c:pt idx="12">
                  <c:v>2.6110000000000002</c:v>
                </c:pt>
                <c:pt idx="13">
                  <c:v>2.4279999999999999</c:v>
                </c:pt>
                <c:pt idx="14">
                  <c:v>2.2469999999999999</c:v>
                </c:pt>
                <c:pt idx="15">
                  <c:v>2.1230000000000002</c:v>
                </c:pt>
                <c:pt idx="16">
                  <c:v>2.0190000000000001</c:v>
                </c:pt>
                <c:pt idx="17">
                  <c:v>1.94</c:v>
                </c:pt>
                <c:pt idx="18">
                  <c:v>1.883</c:v>
                </c:pt>
                <c:pt idx="19">
                  <c:v>1.8360000000000001</c:v>
                </c:pt>
                <c:pt idx="20">
                  <c:v>1.794</c:v>
                </c:pt>
                <c:pt idx="21">
                  <c:v>1.75</c:v>
                </c:pt>
                <c:pt idx="22">
                  <c:v>1.714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8A-4466-843D-D69A01C99B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5627544"/>
        <c:axId val="615631152"/>
      </c:scatterChart>
      <c:valAx>
        <c:axId val="615627544"/>
        <c:scaling>
          <c:orientation val="minMax"/>
          <c:min val="0.5416659999999999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(hrs)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631152"/>
        <c:crosses val="autoZero"/>
        <c:crossBetween val="midCat"/>
        <c:majorUnit val="4.1666600000000012E-2"/>
      </c:valAx>
      <c:valAx>
        <c:axId val="61563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Q</a:t>
                </a:r>
                <a:r>
                  <a:rPr lang="en-US" baseline="0"/>
                  <a:t> (cfs)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627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SRP-</a:t>
            </a:r>
            <a:r>
              <a:rPr lang="en-US" baseline="0"/>
              <a:t> Storm 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433092738407698"/>
          <c:y val="5.0925925925925923E-2"/>
          <c:w val="0.82051640419947502"/>
          <c:h val="0.73056357538641004"/>
        </c:manualLayout>
      </c:layout>
      <c:scatterChart>
        <c:scatterStyle val="smoothMarker"/>
        <c:varyColors val="0"/>
        <c:ser>
          <c:idx val="0"/>
          <c:order val="0"/>
          <c:tx>
            <c:v>ISCO 2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'Hyst. Graphs'!$F$32:$F$37</c:f>
              <c:numCache>
                <c:formatCode>0.000</c:formatCode>
                <c:ptCount val="6"/>
                <c:pt idx="0">
                  <c:v>3.3090000000000002</c:v>
                </c:pt>
                <c:pt idx="1">
                  <c:v>3.7970000000000002</c:v>
                </c:pt>
                <c:pt idx="2">
                  <c:v>4.0960000000000001</c:v>
                </c:pt>
                <c:pt idx="3">
                  <c:v>3.9940000000000002</c:v>
                </c:pt>
                <c:pt idx="4">
                  <c:v>2.4950000000000001</c:v>
                </c:pt>
                <c:pt idx="5">
                  <c:v>2.0139999999999998</c:v>
                </c:pt>
              </c:numCache>
            </c:numRef>
          </c:xVal>
          <c:yVal>
            <c:numRef>
              <c:f>'Hyst. Graphs'!$B$32:$B$37</c:f>
              <c:numCache>
                <c:formatCode>0.000</c:formatCode>
                <c:ptCount val="6"/>
                <c:pt idx="0">
                  <c:v>6.2E-2</c:v>
                </c:pt>
                <c:pt idx="1">
                  <c:v>8.7999999999999995E-2</c:v>
                </c:pt>
                <c:pt idx="2">
                  <c:v>8.7999999999999995E-2</c:v>
                </c:pt>
                <c:pt idx="3">
                  <c:v>8.3000000000000004E-2</c:v>
                </c:pt>
                <c:pt idx="4">
                  <c:v>5.2999999999999999E-2</c:v>
                </c:pt>
                <c:pt idx="5">
                  <c:v>4.7E-2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7B3-4BC7-9B88-FCEA7C938641}"/>
            </c:ext>
          </c:extLst>
        </c:ser>
        <c:ser>
          <c:idx val="1"/>
          <c:order val="1"/>
          <c:tx>
            <c:v>ISCO 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'Hyst. Graphs'!$F$38:$F$43</c:f>
              <c:numCache>
                <c:formatCode>0.000</c:formatCode>
                <c:ptCount val="6"/>
                <c:pt idx="0">
                  <c:v>1.851</c:v>
                </c:pt>
                <c:pt idx="1">
                  <c:v>2.0659999999999998</c:v>
                </c:pt>
                <c:pt idx="2">
                  <c:v>3.867</c:v>
                </c:pt>
                <c:pt idx="3">
                  <c:v>3.9740000000000002</c:v>
                </c:pt>
                <c:pt idx="4">
                  <c:v>3.1560000000000001</c:v>
                </c:pt>
                <c:pt idx="5">
                  <c:v>2.1930000000000001</c:v>
                </c:pt>
              </c:numCache>
            </c:numRef>
          </c:xVal>
          <c:yVal>
            <c:numRef>
              <c:f>'Hyst. Graphs'!$B$38:$B$43</c:f>
              <c:numCache>
                <c:formatCode>0.000</c:formatCode>
                <c:ptCount val="6"/>
                <c:pt idx="0">
                  <c:v>4.2000000000000003E-2</c:v>
                </c:pt>
                <c:pt idx="1">
                  <c:v>4.4999999999999998E-2</c:v>
                </c:pt>
                <c:pt idx="2">
                  <c:v>0.09</c:v>
                </c:pt>
                <c:pt idx="3">
                  <c:v>8.3000000000000004E-2</c:v>
                </c:pt>
                <c:pt idx="4">
                  <c:v>6.7000000000000004E-2</c:v>
                </c:pt>
                <c:pt idx="5">
                  <c:v>4.8000000000000001E-2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7B3-4BC7-9B88-FCEA7C938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7986072"/>
        <c:axId val="496347272"/>
      </c:scatterChart>
      <c:valAx>
        <c:axId val="577986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 (cfs)</a:t>
                </a:r>
              </a:p>
            </c:rich>
          </c:tx>
          <c:layout>
            <c:manualLayout>
              <c:xMode val="edge"/>
              <c:yMode val="edge"/>
              <c:x val="0.47218613298337708"/>
              <c:y val="0.851851851851851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347272"/>
        <c:crosses val="autoZero"/>
        <c:crossBetween val="midCat"/>
      </c:valAx>
      <c:valAx>
        <c:axId val="4963472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SRP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9860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60244094488189"/>
          <c:y val="0.92187445319335082"/>
          <c:w val="0.31840048118985126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Storm 1- SRP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433092738407698"/>
          <c:y val="0.14351851851851852"/>
          <c:w val="0.82051640419947502"/>
          <c:h val="0.7305635753864100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848632983377088E-2"/>
                  <c:y val="4.40162948381451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97222222222221E-2"/>
                      <c:h val="6.474555263925341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17AC-4157-AFB9-7C2617543F1F}"/>
                </c:ext>
              </c:extLst>
            </c:dLbl>
            <c:dLbl>
              <c:idx val="1"/>
              <c:layout>
                <c:manualLayout>
                  <c:x val="-7.4319553805774374E-2"/>
                  <c:y val="-3.9317220764071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7AC-4157-AFB9-7C2617543F1F}"/>
                </c:ext>
              </c:extLst>
            </c:dLbl>
            <c:dLbl>
              <c:idx val="2"/>
              <c:layout>
                <c:manualLayout>
                  <c:x val="-4.875109361329834E-3"/>
                  <c:y val="2.3494459025955091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7AC-4157-AFB9-7C2617543F1F}"/>
                </c:ext>
              </c:extLst>
            </c:dLbl>
            <c:dLbl>
              <c:idx val="3"/>
              <c:layout>
                <c:manualLayout>
                  <c:x val="-1.3208442694663269E-2"/>
                  <c:y val="3.93864829396325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7AC-4157-AFB9-7C2617543F1F}"/>
                </c:ext>
              </c:extLst>
            </c:dLbl>
            <c:dLbl>
              <c:idx val="5"/>
              <c:layout>
                <c:manualLayout>
                  <c:x val="-5.3319553805774279E-2"/>
                  <c:y val="-4.85764800233304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FAF-4D5A-A617-5B1E11E4603F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'Hyst. Graphs'!$G$32:$G$37</c:f>
              <c:numCache>
                <c:formatCode>0.000</c:formatCode>
                <c:ptCount val="6"/>
                <c:pt idx="0">
                  <c:v>3.0035280000000002</c:v>
                </c:pt>
                <c:pt idx="1">
                  <c:v>3.4915280000000002</c:v>
                </c:pt>
                <c:pt idx="2">
                  <c:v>3.7905280000000001</c:v>
                </c:pt>
                <c:pt idx="3">
                  <c:v>3.6885280000000003</c:v>
                </c:pt>
                <c:pt idx="4">
                  <c:v>2.1895280000000001</c:v>
                </c:pt>
                <c:pt idx="5">
                  <c:v>1.7085279999999998</c:v>
                </c:pt>
              </c:numCache>
            </c:numRef>
          </c:xVal>
          <c:yVal>
            <c:numRef>
              <c:f>'Hyst. Graphs'!$C$32:$C$37</c:f>
              <c:numCache>
                <c:formatCode>0.000</c:formatCode>
                <c:ptCount val="6"/>
                <c:pt idx="0">
                  <c:v>6.2</c:v>
                </c:pt>
                <c:pt idx="1">
                  <c:v>8.7999999999999989</c:v>
                </c:pt>
                <c:pt idx="2">
                  <c:v>8.7999999999999989</c:v>
                </c:pt>
                <c:pt idx="3">
                  <c:v>8.3000000000000007</c:v>
                </c:pt>
                <c:pt idx="4">
                  <c:v>5.3</c:v>
                </c:pt>
                <c:pt idx="5">
                  <c:v>4.7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7AC-4157-AFB9-7C2617543F1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77986072"/>
        <c:axId val="496347272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ISCO 3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>
                      <c:ext uri="{02D57815-91ED-43cb-92C2-25804820EDAC}">
                        <c15:formulaRef>
                          <c15:sqref>'Hyst. Graphs'!$F$38:$F$43</c15:sqref>
                        </c15:formulaRef>
                      </c:ext>
                    </c:extLst>
                    <c:numCache>
                      <c:formatCode>0.000</c:formatCode>
                      <c:ptCount val="6"/>
                      <c:pt idx="0">
                        <c:v>1.851</c:v>
                      </c:pt>
                      <c:pt idx="1">
                        <c:v>2.0659999999999998</c:v>
                      </c:pt>
                      <c:pt idx="2">
                        <c:v>3.867</c:v>
                      </c:pt>
                      <c:pt idx="3">
                        <c:v>3.9740000000000002</c:v>
                      </c:pt>
                      <c:pt idx="4">
                        <c:v>3.1560000000000001</c:v>
                      </c:pt>
                      <c:pt idx="5">
                        <c:v>2.1930000000000001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'Hyst. Graphs'!$B$38:$B$43</c15:sqref>
                        </c15:formulaRef>
                      </c:ext>
                    </c:extLst>
                    <c:numCache>
                      <c:formatCode>0.000</c:formatCode>
                      <c:ptCount val="6"/>
                      <c:pt idx="0">
                        <c:v>4.2000000000000003E-2</c:v>
                      </c:pt>
                      <c:pt idx="1">
                        <c:v>4.4999999999999998E-2</c:v>
                      </c:pt>
                      <c:pt idx="2">
                        <c:v>0.09</c:v>
                      </c:pt>
                      <c:pt idx="3">
                        <c:v>8.3000000000000004E-2</c:v>
                      </c:pt>
                      <c:pt idx="4">
                        <c:v>6.7000000000000004E-2</c:v>
                      </c:pt>
                      <c:pt idx="5">
                        <c:v>4.8000000000000001E-2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17AC-4157-AFB9-7C2617543F1F}"/>
                  </c:ext>
                </c:extLst>
              </c15:ser>
            </c15:filteredScatterSeries>
          </c:ext>
        </c:extLst>
      </c:scatterChart>
      <c:valAx>
        <c:axId val="577986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 (cfs)</a:t>
                </a:r>
              </a:p>
            </c:rich>
          </c:tx>
          <c:layout>
            <c:manualLayout>
              <c:xMode val="edge"/>
              <c:yMode val="edge"/>
              <c:x val="0.48885279965004375"/>
              <c:y val="0.921296296296296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347272"/>
        <c:crosses val="autoZero"/>
        <c:crossBetween val="midCat"/>
      </c:valAx>
      <c:valAx>
        <c:axId val="496347272"/>
        <c:scaling>
          <c:orientation val="minMax"/>
          <c:min val="3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SRP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9860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398442694663167"/>
          <c:y val="0.15319444444444447"/>
          <c:w val="0.1592001312335958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Storm 1- SRP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599759405074365"/>
          <c:y val="0.14351851851851852"/>
          <c:w val="0.82051640419947502"/>
          <c:h val="0.73056357538641004"/>
        </c:manualLayout>
      </c:layout>
      <c:scatterChart>
        <c:scatterStyle val="smoothMarker"/>
        <c:varyColors val="0"/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6.4430664916885386E-2"/>
                  <c:y val="-3.00579615048118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8F5-42D5-9A9C-55FAC85AA94B}"/>
                </c:ext>
              </c:extLst>
            </c:dLbl>
            <c:dLbl>
              <c:idx val="1"/>
              <c:layout>
                <c:manualLayout>
                  <c:x val="-2.2763998250218773E-2"/>
                  <c:y val="3.93864829396325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8F5-42D5-9A9C-55FAC85AA94B}"/>
                </c:ext>
              </c:extLst>
            </c:dLbl>
            <c:dLbl>
              <c:idx val="2"/>
              <c:layout>
                <c:manualLayout>
                  <c:x val="-6.4430664916885497E-2"/>
                  <c:y val="-4.3946850393700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8F5-42D5-9A9C-55FAC85AA94B}"/>
                </c:ext>
              </c:extLst>
            </c:dLbl>
            <c:dLbl>
              <c:idx val="3"/>
              <c:layout>
                <c:manualLayout>
                  <c:x val="-2.8319553805774278E-2"/>
                  <c:y val="3.93864829396325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8F5-42D5-9A9C-55FAC85AA94B}"/>
                </c:ext>
              </c:extLst>
            </c:dLbl>
            <c:dLbl>
              <c:idx val="4"/>
              <c:layout>
                <c:manualLayout>
                  <c:x val="-1.7208442694663168E-2"/>
                  <c:y val="4.401611256926217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8F5-42D5-9A9C-55FAC85AA94B}"/>
                </c:ext>
              </c:extLst>
            </c:dLbl>
            <c:dLbl>
              <c:idx val="5"/>
              <c:layout>
                <c:manualLayout>
                  <c:x val="-5.8875109361329885E-2"/>
                  <c:y val="-4.3946850393700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8F5-42D5-9A9C-55FAC85AA94B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'Hyst. Graphs'!$G$38:$G$43</c:f>
              <c:numCache>
                <c:formatCode>0.000</c:formatCode>
                <c:ptCount val="6"/>
                <c:pt idx="0">
                  <c:v>1.545528</c:v>
                </c:pt>
                <c:pt idx="1">
                  <c:v>1.7605279999999999</c:v>
                </c:pt>
                <c:pt idx="2">
                  <c:v>3.561528</c:v>
                </c:pt>
                <c:pt idx="3">
                  <c:v>3.6685280000000002</c:v>
                </c:pt>
                <c:pt idx="4">
                  <c:v>2.8505280000000002</c:v>
                </c:pt>
                <c:pt idx="5">
                  <c:v>1.8875280000000001</c:v>
                </c:pt>
              </c:numCache>
            </c:numRef>
          </c:xVal>
          <c:yVal>
            <c:numRef>
              <c:f>'Hyst. Graphs'!$C$38:$C$43</c:f>
              <c:numCache>
                <c:formatCode>0.000</c:formatCode>
                <c:ptCount val="6"/>
                <c:pt idx="0">
                  <c:v>4.2</c:v>
                </c:pt>
                <c:pt idx="1">
                  <c:v>4.5</c:v>
                </c:pt>
                <c:pt idx="2">
                  <c:v>9</c:v>
                </c:pt>
                <c:pt idx="3">
                  <c:v>8.3000000000000007</c:v>
                </c:pt>
                <c:pt idx="4">
                  <c:v>6.7</c:v>
                </c:pt>
                <c:pt idx="5">
                  <c:v>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8F5-42D5-9A9C-55FAC85AA94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77986072"/>
        <c:axId val="49634727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ISCO 2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>
                      <c:ext uri="{02D57815-91ED-43cb-92C2-25804820EDAC}">
                        <c15:formulaRef>
                          <c15:sqref>'Hyst. Graphs'!$F$32:$F$37</c15:sqref>
                        </c15:formulaRef>
                      </c:ext>
                    </c:extLst>
                    <c:numCache>
                      <c:formatCode>0.000</c:formatCode>
                      <c:ptCount val="6"/>
                      <c:pt idx="0">
                        <c:v>3.3090000000000002</c:v>
                      </c:pt>
                      <c:pt idx="1">
                        <c:v>3.7970000000000002</c:v>
                      </c:pt>
                      <c:pt idx="2">
                        <c:v>4.0960000000000001</c:v>
                      </c:pt>
                      <c:pt idx="3">
                        <c:v>3.9940000000000002</c:v>
                      </c:pt>
                      <c:pt idx="4">
                        <c:v>2.4950000000000001</c:v>
                      </c:pt>
                      <c:pt idx="5">
                        <c:v>2.0139999999999998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'Hyst. Graphs'!$B$32:$B$37</c15:sqref>
                        </c15:formulaRef>
                      </c:ext>
                    </c:extLst>
                    <c:numCache>
                      <c:formatCode>0.000</c:formatCode>
                      <c:ptCount val="6"/>
                      <c:pt idx="0">
                        <c:v>6.2E-2</c:v>
                      </c:pt>
                      <c:pt idx="1">
                        <c:v>8.7999999999999995E-2</c:v>
                      </c:pt>
                      <c:pt idx="2">
                        <c:v>8.7999999999999995E-2</c:v>
                      </c:pt>
                      <c:pt idx="3">
                        <c:v>8.3000000000000004E-2</c:v>
                      </c:pt>
                      <c:pt idx="4">
                        <c:v>5.2999999999999999E-2</c:v>
                      </c:pt>
                      <c:pt idx="5">
                        <c:v>4.7E-2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F8F5-42D5-9A9C-55FAC85AA94B}"/>
                  </c:ext>
                </c:extLst>
              </c15:ser>
            </c15:filteredScatterSeries>
          </c:ext>
        </c:extLst>
      </c:scatterChart>
      <c:valAx>
        <c:axId val="577986072"/>
        <c:scaling>
          <c:orientation val="minMax"/>
          <c:max val="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 (cfs)</a:t>
                </a:r>
              </a:p>
            </c:rich>
          </c:tx>
          <c:layout>
            <c:manualLayout>
              <c:xMode val="edge"/>
              <c:yMode val="edge"/>
              <c:x val="0.48885279965004375"/>
              <c:y val="0.925925925925925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347272"/>
        <c:crosses val="autoZero"/>
        <c:crossBetween val="midCat"/>
        <c:majorUnit val="1"/>
      </c:valAx>
      <c:valAx>
        <c:axId val="496347272"/>
        <c:scaling>
          <c:orientation val="minMax"/>
          <c:min val="3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SRP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9860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4539982502187226"/>
          <c:y val="0.14856481481481484"/>
          <c:w val="0.1592001312335958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TP-</a:t>
            </a:r>
            <a:r>
              <a:rPr lang="en-US" baseline="0"/>
              <a:t> Storm 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767825896762906"/>
          <c:y val="0.13467592592592595"/>
          <c:w val="0.81716907261592298"/>
          <c:h val="0.63255358705161846"/>
        </c:manualLayout>
      </c:layout>
      <c:scatterChart>
        <c:scatterStyle val="smoothMarker"/>
        <c:varyColors val="0"/>
        <c:ser>
          <c:idx val="0"/>
          <c:order val="0"/>
          <c:tx>
            <c:v>ISCO 2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'Hyst. Graphs'!$F$32:$F$37</c:f>
              <c:numCache>
                <c:formatCode>0.000</c:formatCode>
                <c:ptCount val="6"/>
                <c:pt idx="0">
                  <c:v>3.3090000000000002</c:v>
                </c:pt>
                <c:pt idx="1">
                  <c:v>3.7970000000000002</c:v>
                </c:pt>
                <c:pt idx="2">
                  <c:v>4.0960000000000001</c:v>
                </c:pt>
                <c:pt idx="3">
                  <c:v>3.9940000000000002</c:v>
                </c:pt>
                <c:pt idx="4">
                  <c:v>2.4950000000000001</c:v>
                </c:pt>
                <c:pt idx="5">
                  <c:v>2.0139999999999998</c:v>
                </c:pt>
              </c:numCache>
            </c:numRef>
          </c:xVal>
          <c:yVal>
            <c:numRef>
              <c:f>'Hyst. Graphs'!$D$32:$D$37</c:f>
              <c:numCache>
                <c:formatCode>0.000</c:formatCode>
                <c:ptCount val="6"/>
                <c:pt idx="0">
                  <c:v>0.36</c:v>
                </c:pt>
                <c:pt idx="1">
                  <c:v>0.44500000000000001</c:v>
                </c:pt>
                <c:pt idx="2">
                  <c:v>0.248</c:v>
                </c:pt>
                <c:pt idx="3">
                  <c:v>0.214</c:v>
                </c:pt>
                <c:pt idx="4">
                  <c:v>9.7000000000000003E-2</c:v>
                </c:pt>
                <c:pt idx="5">
                  <c:v>7.6999999999999999E-2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2E9-4C82-9E82-92357ED8E83E}"/>
            </c:ext>
          </c:extLst>
        </c:ser>
        <c:ser>
          <c:idx val="1"/>
          <c:order val="1"/>
          <c:tx>
            <c:v>ISCO 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'Hyst. Graphs'!$F$38:$F$43</c:f>
              <c:numCache>
                <c:formatCode>0.000</c:formatCode>
                <c:ptCount val="6"/>
                <c:pt idx="0">
                  <c:v>1.851</c:v>
                </c:pt>
                <c:pt idx="1">
                  <c:v>2.0659999999999998</c:v>
                </c:pt>
                <c:pt idx="2">
                  <c:v>3.867</c:v>
                </c:pt>
                <c:pt idx="3">
                  <c:v>3.9740000000000002</c:v>
                </c:pt>
                <c:pt idx="4">
                  <c:v>3.1560000000000001</c:v>
                </c:pt>
                <c:pt idx="5">
                  <c:v>2.1930000000000001</c:v>
                </c:pt>
              </c:numCache>
            </c:numRef>
          </c:xVal>
          <c:yVal>
            <c:numRef>
              <c:f>'Hyst. Graphs'!$D$38:$D$43</c:f>
              <c:numCache>
                <c:formatCode>0.000</c:formatCode>
                <c:ptCount val="6"/>
                <c:pt idx="0">
                  <c:v>9.4E-2</c:v>
                </c:pt>
                <c:pt idx="1">
                  <c:v>0.12</c:v>
                </c:pt>
                <c:pt idx="2">
                  <c:v>0.36199999999999999</c:v>
                </c:pt>
                <c:pt idx="3">
                  <c:v>0.20799999999999999</c:v>
                </c:pt>
                <c:pt idx="4">
                  <c:v>0.13200000000000001</c:v>
                </c:pt>
                <c:pt idx="5">
                  <c:v>8.5999999999999993E-2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2E9-4C82-9E82-92357ED8E8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5622624"/>
        <c:axId val="615617376"/>
      </c:scatterChart>
      <c:valAx>
        <c:axId val="615622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 (cfs)</a:t>
                </a:r>
              </a:p>
            </c:rich>
          </c:tx>
          <c:layout>
            <c:manualLayout>
              <c:xMode val="edge"/>
              <c:yMode val="edge"/>
              <c:x val="0.50148490813648294"/>
              <c:y val="0.837591863517060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617376"/>
        <c:crosses val="autoZero"/>
        <c:crossBetween val="midCat"/>
      </c:valAx>
      <c:valAx>
        <c:axId val="6156173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TP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622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8802187226596679"/>
          <c:y val="0.91261519393409141"/>
          <c:w val="0.31840048118985126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Storm 1- TP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767825896762906"/>
          <c:y val="0.13467592592592595"/>
          <c:w val="0.81716907261592298"/>
          <c:h val="0.73440543890347043"/>
        </c:manualLayout>
      </c:layout>
      <c:scatterChart>
        <c:scatterStyle val="smoothMarker"/>
        <c:varyColors val="0"/>
        <c:ser>
          <c:idx val="0"/>
          <c:order val="0"/>
          <c:tx>
            <c:v>ISCO 2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7.7097331583552059E-2"/>
                  <c:y val="-3.00579615048118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0D5-4247-9482-4760B9D1A08C}"/>
                </c:ext>
              </c:extLst>
            </c:dLbl>
            <c:dLbl>
              <c:idx val="1"/>
              <c:layout>
                <c:manualLayout>
                  <c:x val="-4.0986220472440944E-2"/>
                  <c:y val="-3.00579615048118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0D5-4247-9482-4760B9D1A08C}"/>
                </c:ext>
              </c:extLst>
            </c:dLbl>
            <c:dLbl>
              <c:idx val="2"/>
              <c:layout>
                <c:manualLayout>
                  <c:x val="-2.0973315835519542E-3"/>
                  <c:y val="2.3494459025954241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0D5-4247-9482-4760B9D1A08C}"/>
                </c:ext>
              </c:extLst>
            </c:dLbl>
            <c:dLbl>
              <c:idx val="3"/>
              <c:layout>
                <c:manualLayout>
                  <c:x val="-2.7097331583552157E-2"/>
                  <c:y val="3.93864829396325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0D5-4247-9482-4760B9D1A08C}"/>
                </c:ext>
              </c:extLst>
            </c:dLbl>
            <c:dLbl>
              <c:idx val="4"/>
              <c:layout>
                <c:manualLayout>
                  <c:x val="-3.8208442694663169E-2"/>
                  <c:y val="3.938648293963246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0D5-4247-9482-4760B9D1A08C}"/>
                </c:ext>
              </c:extLst>
            </c:dLbl>
            <c:dLbl>
              <c:idx val="5"/>
              <c:layout>
                <c:manualLayout>
                  <c:x val="-6.0430664916885493E-2"/>
                  <c:y val="4.401611256926217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0D5-4247-9482-4760B9D1A0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'Hyst. Graphs'!$G$32:$G$37</c:f>
              <c:numCache>
                <c:formatCode>0.000</c:formatCode>
                <c:ptCount val="6"/>
                <c:pt idx="0">
                  <c:v>3.0035280000000002</c:v>
                </c:pt>
                <c:pt idx="1">
                  <c:v>3.4915280000000002</c:v>
                </c:pt>
                <c:pt idx="2">
                  <c:v>3.7905280000000001</c:v>
                </c:pt>
                <c:pt idx="3">
                  <c:v>3.6885280000000003</c:v>
                </c:pt>
                <c:pt idx="4">
                  <c:v>2.1895280000000001</c:v>
                </c:pt>
                <c:pt idx="5">
                  <c:v>1.7085279999999998</c:v>
                </c:pt>
              </c:numCache>
            </c:numRef>
          </c:xVal>
          <c:yVal>
            <c:numRef>
              <c:f>'Hyst. Graphs'!$D$32:$D$37</c:f>
              <c:numCache>
                <c:formatCode>0.000</c:formatCode>
                <c:ptCount val="6"/>
                <c:pt idx="0">
                  <c:v>0.36</c:v>
                </c:pt>
                <c:pt idx="1">
                  <c:v>0.44500000000000001</c:v>
                </c:pt>
                <c:pt idx="2">
                  <c:v>0.248</c:v>
                </c:pt>
                <c:pt idx="3">
                  <c:v>0.214</c:v>
                </c:pt>
                <c:pt idx="4">
                  <c:v>9.7000000000000003E-2</c:v>
                </c:pt>
                <c:pt idx="5">
                  <c:v>7.6999999999999999E-2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0D5-4247-9482-4760B9D1A08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615622624"/>
        <c:axId val="615617376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ISCO 3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>
                      <c:ext uri="{02D57815-91ED-43cb-92C2-25804820EDAC}">
                        <c15:formulaRef>
                          <c15:sqref>'Hyst. Graphs'!$F$38:$F$43</c15:sqref>
                        </c15:formulaRef>
                      </c:ext>
                    </c:extLst>
                    <c:numCache>
                      <c:formatCode>0.000</c:formatCode>
                      <c:ptCount val="6"/>
                      <c:pt idx="0">
                        <c:v>1.851</c:v>
                      </c:pt>
                      <c:pt idx="1">
                        <c:v>2.0659999999999998</c:v>
                      </c:pt>
                      <c:pt idx="2">
                        <c:v>3.867</c:v>
                      </c:pt>
                      <c:pt idx="3">
                        <c:v>3.9740000000000002</c:v>
                      </c:pt>
                      <c:pt idx="4">
                        <c:v>3.1560000000000001</c:v>
                      </c:pt>
                      <c:pt idx="5">
                        <c:v>2.1930000000000001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'Hyst. Graphs'!$D$38:$D$43</c15:sqref>
                        </c15:formulaRef>
                      </c:ext>
                    </c:extLst>
                    <c:numCache>
                      <c:formatCode>0.000</c:formatCode>
                      <c:ptCount val="6"/>
                      <c:pt idx="0">
                        <c:v>9.4E-2</c:v>
                      </c:pt>
                      <c:pt idx="1">
                        <c:v>0.12</c:v>
                      </c:pt>
                      <c:pt idx="2">
                        <c:v>0.36199999999999999</c:v>
                      </c:pt>
                      <c:pt idx="3">
                        <c:v>0.20799999999999999</c:v>
                      </c:pt>
                      <c:pt idx="4">
                        <c:v>0.13200000000000001</c:v>
                      </c:pt>
                      <c:pt idx="5">
                        <c:v>8.5999999999999993E-2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90D5-4247-9482-4760B9D1A08C}"/>
                  </c:ext>
                </c:extLst>
              </c15:ser>
            </c15:filteredScatterSeries>
          </c:ext>
        </c:extLst>
      </c:scatterChart>
      <c:valAx>
        <c:axId val="615622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 (cfs)</a:t>
                </a:r>
              </a:p>
            </c:rich>
          </c:tx>
          <c:layout>
            <c:manualLayout>
              <c:xMode val="edge"/>
              <c:yMode val="edge"/>
              <c:x val="0.50148490813648294"/>
              <c:y val="0.911665937591134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617376"/>
        <c:crosses val="autoZero"/>
        <c:crossBetween val="midCat"/>
      </c:valAx>
      <c:valAx>
        <c:axId val="6156173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TP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622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413298337707787"/>
          <c:y val="0.12557815689705454"/>
          <c:w val="0.22951159230096232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Storm 1- TP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767825896762906"/>
          <c:y val="0.13930555555555554"/>
          <c:w val="0.73661351706036748"/>
          <c:h val="0.69736840186643345"/>
        </c:manualLayout>
      </c:layout>
      <c:scatterChart>
        <c:scatterStyle val="smoothMarker"/>
        <c:varyColors val="0"/>
        <c:ser>
          <c:idx val="1"/>
          <c:order val="1"/>
          <c:tx>
            <c:v>ISCO 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9.3763998250218722E-2"/>
                  <c:y val="-2.2801837270342057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6F0-4E5C-BC9C-20B7D167DB46}"/>
                </c:ext>
              </c:extLst>
            </c:dLbl>
            <c:dLbl>
              <c:idx val="1"/>
              <c:layout>
                <c:manualLayout>
                  <c:x val="-6.3208442694663219E-2"/>
                  <c:y val="-4.85764800233304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6F0-4E5C-BC9C-20B7D167DB46}"/>
                </c:ext>
              </c:extLst>
            </c:dLbl>
            <c:dLbl>
              <c:idx val="2"/>
              <c:layout>
                <c:manualLayout>
                  <c:x val="-5.2097331583552058E-2"/>
                  <c:y val="-3.9317220764071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6F0-4E5C-BC9C-20B7D167DB46}"/>
                </c:ext>
              </c:extLst>
            </c:dLbl>
            <c:dLbl>
              <c:idx val="3"/>
              <c:layout>
                <c:manualLayout>
                  <c:x val="-2.9875109361329834E-2"/>
                  <c:y val="3.47568533100029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6F0-4E5C-BC9C-20B7D167DB46}"/>
                </c:ext>
              </c:extLst>
            </c:dLbl>
            <c:dLbl>
              <c:idx val="4"/>
              <c:layout>
                <c:manualLayout>
                  <c:x val="-4.3763998250218726E-2"/>
                  <c:y val="3.012722368037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6F0-4E5C-BC9C-20B7D167DB46}"/>
                </c:ext>
              </c:extLst>
            </c:dLbl>
            <c:dLbl>
              <c:idx val="5"/>
              <c:layout>
                <c:manualLayout>
                  <c:x val="-3.5430664916885388E-2"/>
                  <c:y val="5.32753718285214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6F0-4E5C-BC9C-20B7D167DB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'Hyst. Graphs'!$G$38:$G$43</c:f>
              <c:numCache>
                <c:formatCode>0.000</c:formatCode>
                <c:ptCount val="6"/>
                <c:pt idx="0">
                  <c:v>1.545528</c:v>
                </c:pt>
                <c:pt idx="1">
                  <c:v>1.7605279999999999</c:v>
                </c:pt>
                <c:pt idx="2">
                  <c:v>3.561528</c:v>
                </c:pt>
                <c:pt idx="3">
                  <c:v>3.6685280000000002</c:v>
                </c:pt>
                <c:pt idx="4">
                  <c:v>2.8505280000000002</c:v>
                </c:pt>
                <c:pt idx="5">
                  <c:v>1.8875280000000001</c:v>
                </c:pt>
              </c:numCache>
            </c:numRef>
          </c:xVal>
          <c:yVal>
            <c:numRef>
              <c:f>'Hyst. Graphs'!$D$38:$D$43</c:f>
              <c:numCache>
                <c:formatCode>0.000</c:formatCode>
                <c:ptCount val="6"/>
                <c:pt idx="0">
                  <c:v>9.4E-2</c:v>
                </c:pt>
                <c:pt idx="1">
                  <c:v>0.12</c:v>
                </c:pt>
                <c:pt idx="2">
                  <c:v>0.36199999999999999</c:v>
                </c:pt>
                <c:pt idx="3">
                  <c:v>0.20799999999999999</c:v>
                </c:pt>
                <c:pt idx="4">
                  <c:v>0.13200000000000001</c:v>
                </c:pt>
                <c:pt idx="5">
                  <c:v>8.5999999999999993E-2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6F0-4E5C-BC9C-20B7D167DB4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615622624"/>
        <c:axId val="61561737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ISCO 2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>
                      <c:ext uri="{02D57815-91ED-43cb-92C2-25804820EDAC}">
                        <c15:formulaRef>
                          <c15:sqref>'Hyst. Graphs'!$F$32:$F$37</c15:sqref>
                        </c15:formulaRef>
                      </c:ext>
                    </c:extLst>
                    <c:numCache>
                      <c:formatCode>0.000</c:formatCode>
                      <c:ptCount val="6"/>
                      <c:pt idx="0">
                        <c:v>3.3090000000000002</c:v>
                      </c:pt>
                      <c:pt idx="1">
                        <c:v>3.7970000000000002</c:v>
                      </c:pt>
                      <c:pt idx="2">
                        <c:v>4.0960000000000001</c:v>
                      </c:pt>
                      <c:pt idx="3">
                        <c:v>3.9940000000000002</c:v>
                      </c:pt>
                      <c:pt idx="4">
                        <c:v>2.4950000000000001</c:v>
                      </c:pt>
                      <c:pt idx="5">
                        <c:v>2.0139999999999998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'Hyst. Graphs'!$D$32:$D$37</c15:sqref>
                        </c15:formulaRef>
                      </c:ext>
                    </c:extLst>
                    <c:numCache>
                      <c:formatCode>0.000</c:formatCode>
                      <c:ptCount val="6"/>
                      <c:pt idx="0">
                        <c:v>0.36</c:v>
                      </c:pt>
                      <c:pt idx="1">
                        <c:v>0.44500000000000001</c:v>
                      </c:pt>
                      <c:pt idx="2">
                        <c:v>0.248</c:v>
                      </c:pt>
                      <c:pt idx="3">
                        <c:v>0.214</c:v>
                      </c:pt>
                      <c:pt idx="4">
                        <c:v>9.7000000000000003E-2</c:v>
                      </c:pt>
                      <c:pt idx="5">
                        <c:v>7.6999999999999999E-2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96F0-4E5C-BC9C-20B7D167DB46}"/>
                  </c:ext>
                </c:extLst>
              </c15:ser>
            </c15:filteredScatterSeries>
          </c:ext>
        </c:extLst>
      </c:scatterChart>
      <c:valAx>
        <c:axId val="615622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 (cfs)</a:t>
                </a:r>
              </a:p>
            </c:rich>
          </c:tx>
          <c:layout>
            <c:manualLayout>
              <c:xMode val="edge"/>
              <c:yMode val="edge"/>
              <c:x val="0.50981824146981625"/>
              <c:y val="0.920925196850393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617376"/>
        <c:crosses val="autoZero"/>
        <c:crossBetween val="midCat"/>
      </c:valAx>
      <c:valAx>
        <c:axId val="615617376"/>
        <c:scaling>
          <c:orientation val="minMax"/>
          <c:max val="0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TP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622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135520559930009"/>
          <c:y val="0.13946704578594343"/>
          <c:w val="0.25451159230096232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 Water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SRP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'Hyst. Graphs'!$A$45:$A$48</c:f>
              <c:strCache>
                <c:ptCount val="4"/>
                <c:pt idx="0">
                  <c:v>BS2</c:v>
                </c:pt>
                <c:pt idx="1">
                  <c:v>BS3</c:v>
                </c:pt>
                <c:pt idx="2">
                  <c:v>BS4</c:v>
                </c:pt>
                <c:pt idx="3">
                  <c:v>BS5</c:v>
                </c:pt>
              </c:strCache>
            </c:strRef>
          </c:cat>
          <c:val>
            <c:numRef>
              <c:f>'Hyst. Graphs'!$B$45:$B$48</c:f>
              <c:numCache>
                <c:formatCode>0.000</c:formatCode>
                <c:ptCount val="4"/>
                <c:pt idx="0">
                  <c:v>3.3000000000000002E-2</c:v>
                </c:pt>
                <c:pt idx="1">
                  <c:v>0.52500000000000002</c:v>
                </c:pt>
                <c:pt idx="2">
                  <c:v>0.01</c:v>
                </c:pt>
                <c:pt idx="3">
                  <c:v>4.8000000000000001E-2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F3-4CFA-9CF6-7D6BAECA80E2}"/>
            </c:ext>
          </c:extLst>
        </c:ser>
        <c:ser>
          <c:idx val="1"/>
          <c:order val="1"/>
          <c:tx>
            <c:v>TP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'Hyst. Graphs'!$A$45:$A$48</c:f>
              <c:strCache>
                <c:ptCount val="4"/>
                <c:pt idx="0">
                  <c:v>BS2</c:v>
                </c:pt>
                <c:pt idx="1">
                  <c:v>BS3</c:v>
                </c:pt>
                <c:pt idx="2">
                  <c:v>BS4</c:v>
                </c:pt>
                <c:pt idx="3">
                  <c:v>BS5</c:v>
                </c:pt>
              </c:strCache>
            </c:strRef>
          </c:cat>
          <c:val>
            <c:numRef>
              <c:f>'Hyst. Graphs'!$D$45:$D$48</c:f>
              <c:numCache>
                <c:formatCode>0.000</c:formatCode>
                <c:ptCount val="4"/>
                <c:pt idx="0">
                  <c:v>6.8000000000000005E-2</c:v>
                </c:pt>
                <c:pt idx="1">
                  <c:v>0.746</c:v>
                </c:pt>
                <c:pt idx="2">
                  <c:v>0.17499999999999999</c:v>
                </c:pt>
                <c:pt idx="3">
                  <c:v>5.8999999999999997E-2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F3-4CFA-9CF6-7D6BAECA80E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04414680"/>
        <c:axId val="1004420256"/>
      </c:barChart>
      <c:catAx>
        <c:axId val="1004414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420256"/>
        <c:crosses val="autoZero"/>
        <c:auto val="1"/>
        <c:lblAlgn val="ctr"/>
        <c:lblOffset val="100"/>
        <c:noMultiLvlLbl val="0"/>
      </c:catAx>
      <c:valAx>
        <c:axId val="10044202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414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SRP Flux During Armor Removal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'Exp. Graphs'!$B$2:$B$17</c:f>
              <c:numCache>
                <c:formatCode>General</c:formatCode>
                <c:ptCount val="16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</c:numCache>
            </c:numRef>
          </c:xVal>
          <c:yVal>
            <c:numRef>
              <c:f>'Exp. Graphs'!$C$2:$C$17</c:f>
              <c:numCache>
                <c:formatCode>0.000</c:formatCode>
                <c:ptCount val="16"/>
                <c:pt idx="0">
                  <c:v>2.3E-2</c:v>
                </c:pt>
                <c:pt idx="1">
                  <c:v>2.1999999999999999E-2</c:v>
                </c:pt>
                <c:pt idx="2">
                  <c:v>2.4E-2</c:v>
                </c:pt>
                <c:pt idx="3">
                  <c:v>2.1999999999999999E-2</c:v>
                </c:pt>
                <c:pt idx="4">
                  <c:v>1.9E-2</c:v>
                </c:pt>
                <c:pt idx="5">
                  <c:v>1.7999999999999999E-2</c:v>
                </c:pt>
                <c:pt idx="6">
                  <c:v>1.9E-2</c:v>
                </c:pt>
                <c:pt idx="7">
                  <c:v>1.9E-2</c:v>
                </c:pt>
                <c:pt idx="8">
                  <c:v>1.9E-2</c:v>
                </c:pt>
                <c:pt idx="9">
                  <c:v>2.1000000000000001E-2</c:v>
                </c:pt>
                <c:pt idx="10">
                  <c:v>2.1999999999999999E-2</c:v>
                </c:pt>
                <c:pt idx="11">
                  <c:v>1.9E-2</c:v>
                </c:pt>
                <c:pt idx="12">
                  <c:v>0.02</c:v>
                </c:pt>
                <c:pt idx="13">
                  <c:v>0.02</c:v>
                </c:pt>
                <c:pt idx="14">
                  <c:v>2.1999999999999999E-2</c:v>
                </c:pt>
                <c:pt idx="15">
                  <c:v>2.1000000000000001E-2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68-441D-8D0A-B62AF98884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3890592"/>
        <c:axId val="673892232"/>
      </c:scatterChart>
      <c:valAx>
        <c:axId val="673890592"/>
        <c:scaling>
          <c:orientation val="minMax"/>
          <c:max val="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Minute</a:t>
                </a:r>
              </a:p>
            </c:rich>
          </c:tx>
          <c:layout>
            <c:manualLayout>
              <c:xMode val="edge"/>
              <c:yMode val="edge"/>
              <c:x val="0.44190857392825894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892232"/>
        <c:crosses val="autoZero"/>
        <c:crossBetween val="midCat"/>
      </c:valAx>
      <c:valAx>
        <c:axId val="673892232"/>
        <c:scaling>
          <c:orientation val="minMax"/>
          <c:max val="4.0000000000000008E-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SRP</a:t>
                </a:r>
                <a:r>
                  <a:rPr lang="en-US" baseline="0"/>
                  <a:t> (mg/L)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6666666666666666E-2"/>
              <c:y val="0.366705307669874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890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TP Flux During Armor Removal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'Exp. Graphs'!$B$2:$B$17</c:f>
              <c:numCache>
                <c:formatCode>General</c:formatCode>
                <c:ptCount val="16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</c:numCache>
            </c:numRef>
          </c:xVal>
          <c:yVal>
            <c:numRef>
              <c:f>'Exp. Graphs'!$D$2:$D$17</c:f>
              <c:numCache>
                <c:formatCode>0.000</c:formatCode>
                <c:ptCount val="16"/>
                <c:pt idx="0">
                  <c:v>0.03</c:v>
                </c:pt>
                <c:pt idx="1">
                  <c:v>3.9E-2</c:v>
                </c:pt>
                <c:pt idx="2">
                  <c:v>4.5999999999999999E-2</c:v>
                </c:pt>
                <c:pt idx="3">
                  <c:v>7.1999999999999995E-2</c:v>
                </c:pt>
                <c:pt idx="4">
                  <c:v>8.1000000000000003E-2</c:v>
                </c:pt>
                <c:pt idx="5">
                  <c:v>0.11799999999999999</c:v>
                </c:pt>
                <c:pt idx="6">
                  <c:v>0.05</c:v>
                </c:pt>
                <c:pt idx="7">
                  <c:v>3.3000000000000002E-2</c:v>
                </c:pt>
                <c:pt idx="8">
                  <c:v>0.03</c:v>
                </c:pt>
                <c:pt idx="9">
                  <c:v>2.7E-2</c:v>
                </c:pt>
                <c:pt idx="10">
                  <c:v>2.7E-2</c:v>
                </c:pt>
                <c:pt idx="11">
                  <c:v>2.5999999999999999E-2</c:v>
                </c:pt>
                <c:pt idx="12">
                  <c:v>3.1E-2</c:v>
                </c:pt>
                <c:pt idx="13">
                  <c:v>2.4E-2</c:v>
                </c:pt>
                <c:pt idx="14">
                  <c:v>2.5000000000000001E-2</c:v>
                </c:pt>
                <c:pt idx="15">
                  <c:v>0.03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16-4651-BC97-3E19CC6CD3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3890592"/>
        <c:axId val="673892232"/>
      </c:scatterChart>
      <c:valAx>
        <c:axId val="673890592"/>
        <c:scaling>
          <c:orientation val="minMax"/>
          <c:max val="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Minute</a:t>
                </a:r>
              </a:p>
            </c:rich>
          </c:tx>
          <c:layout>
            <c:manualLayout>
              <c:xMode val="edge"/>
              <c:yMode val="edge"/>
              <c:x val="0.45579746281714778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892232"/>
        <c:crosses val="autoZero"/>
        <c:crossBetween val="midCat"/>
      </c:valAx>
      <c:valAx>
        <c:axId val="6738922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TP</a:t>
                </a:r>
                <a:r>
                  <a:rPr lang="en-US" baseline="0"/>
                  <a:t> (mg/L)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6666666666666666E-2"/>
              <c:y val="0.378626421697287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890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138112</xdr:colOff>
      <xdr:row>0</xdr:row>
      <xdr:rowOff>90487</xdr:rowOff>
    </xdr:from>
    <xdr:to>
      <xdr:col>14</xdr:col>
      <xdr:colOff>442912</xdr:colOff>
      <xdr:row>13</xdr:row>
      <xdr:rowOff>166687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306FC3A-F353-4B2C-B01E-945A5268EA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71437</xdr:colOff>
      <xdr:row>14</xdr:row>
      <xdr:rowOff>176212</xdr:rowOff>
    </xdr:from>
    <xdr:to>
      <xdr:col>14</xdr:col>
      <xdr:colOff>376237</xdr:colOff>
      <xdr:row>29</xdr:row>
      <xdr:rowOff>61912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2E1F1FA-641D-4B2F-B2F3-8AAA5A7BCD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600075</xdr:colOff>
      <xdr:row>14</xdr:row>
      <xdr:rowOff>180975</xdr:rowOff>
    </xdr:from>
    <xdr:to>
      <xdr:col>22</xdr:col>
      <xdr:colOff>295275</xdr:colOff>
      <xdr:row>29</xdr:row>
      <xdr:rowOff>66675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7D43023-BD63-4AC3-A1C4-B61F3590BB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514350</xdr:colOff>
      <xdr:row>14</xdr:row>
      <xdr:rowOff>180975</xdr:rowOff>
    </xdr:from>
    <xdr:to>
      <xdr:col>30</xdr:col>
      <xdr:colOff>209550</xdr:colOff>
      <xdr:row>29</xdr:row>
      <xdr:rowOff>66675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AB18602-7F6D-4699-8946-9221EFA594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119062</xdr:colOff>
      <xdr:row>32</xdr:row>
      <xdr:rowOff>52387</xdr:rowOff>
    </xdr:from>
    <xdr:to>
      <xdr:col>14</xdr:col>
      <xdr:colOff>423862</xdr:colOff>
      <xdr:row>46</xdr:row>
      <xdr:rowOff>128587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37C5858-7EC8-4A3F-A0A5-6B1AC6712B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28575</xdr:colOff>
      <xdr:row>31</xdr:row>
      <xdr:rowOff>152400</xdr:rowOff>
    </xdr:from>
    <xdr:to>
      <xdr:col>22</xdr:col>
      <xdr:colOff>333375</xdr:colOff>
      <xdr:row>46</xdr:row>
      <xdr:rowOff>38100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E8A7C37-E95D-41EF-A8B2-92AC174918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22</xdr:col>
      <xdr:colOff>600075</xdr:colOff>
      <xdr:row>31</xdr:row>
      <xdr:rowOff>133350</xdr:rowOff>
    </xdr:from>
    <xdr:to>
      <xdr:col>30</xdr:col>
      <xdr:colOff>295275</xdr:colOff>
      <xdr:row>46</xdr:row>
      <xdr:rowOff>19050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CD0AD12A-3105-409C-A980-4353E4484F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409575</xdr:colOff>
      <xdr:row>47</xdr:row>
      <xdr:rowOff>71437</xdr:rowOff>
    </xdr:from>
    <xdr:to>
      <xdr:col>15</xdr:col>
      <xdr:colOff>104775</xdr:colOff>
      <xdr:row>61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41058F-7FCD-436A-BAA5-B7FAFC15EB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0.78156</cdr:x>
      <cdr:y>0.06491</cdr:y>
    </cdr:from>
    <cdr:to>
      <cdr:x>0.86941</cdr:x>
      <cdr:y>0.44431</cdr:y>
    </cdr:to>
    <cdr:sp macro="" textlink="">
      <cdr:nvSpPr>
        <cdr:cNvPr id="3" name="Arrow: Curved Right 2">
          <a:extLst xmlns:a="http://schemas.openxmlformats.org/drawingml/2006/main">
            <a:ext uri="{FF2B5EF4-FFF2-40B4-BE49-F238E27FC236}">
              <a16:creationId xmlns:a16="http://schemas.microsoft.com/office/drawing/2014/main" id="{5DAF69DD-1451-66B5-52B3-23176D14179C}"/>
            </a:ext>
          </a:extLst>
        </cdr:cNvPr>
        <cdr:cNvSpPr/>
      </cdr:nvSpPr>
      <cdr:spPr>
        <a:xfrm xmlns:a="http://schemas.openxmlformats.org/drawingml/2006/main" rot="20663299" flipH="1">
          <a:off x="3573303" y="178052"/>
          <a:ext cx="401650" cy="1040769"/>
        </a:xfrm>
        <a:prstGeom xmlns:a="http://schemas.openxmlformats.org/drawingml/2006/main" prst="curvedRightArrow">
          <a:avLst/>
        </a:prstGeom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100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0.85486</cdr:x>
      <cdr:y>0.03588</cdr:y>
    </cdr:from>
    <cdr:to>
      <cdr:x>0.94125</cdr:x>
      <cdr:y>0.43377</cdr:y>
    </cdr:to>
    <cdr:sp macro="" textlink="">
      <cdr:nvSpPr>
        <cdr:cNvPr id="2" name="Arrow: Curved Right 1">
          <a:extLst xmlns:a="http://schemas.openxmlformats.org/drawingml/2006/main">
            <a:ext uri="{FF2B5EF4-FFF2-40B4-BE49-F238E27FC236}">
              <a16:creationId xmlns:a16="http://schemas.microsoft.com/office/drawing/2014/main" id="{C72CFE65-7054-42FF-A12B-38820F9330DC}"/>
            </a:ext>
          </a:extLst>
        </cdr:cNvPr>
        <cdr:cNvSpPr/>
      </cdr:nvSpPr>
      <cdr:spPr>
        <a:xfrm xmlns:a="http://schemas.openxmlformats.org/drawingml/2006/main" rot="19893888" flipH="1">
          <a:off x="3908425" y="98425"/>
          <a:ext cx="394967" cy="1091486"/>
        </a:xfrm>
        <a:prstGeom xmlns:a="http://schemas.openxmlformats.org/drawingml/2006/main" prst="curvedRightArrow">
          <a:avLst/>
        </a:prstGeom>
        <a:solidFill xmlns:a="http://schemas.openxmlformats.org/drawingml/2006/main">
          <a:schemeClr val="accent2"/>
        </a:solidFill>
        <a:ln xmlns:a="http://schemas.openxmlformats.org/drawingml/2006/main">
          <a:solidFill>
            <a:schemeClr val="accent2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100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0.7641</cdr:x>
      <cdr:y>0.05095</cdr:y>
    </cdr:from>
    <cdr:to>
      <cdr:x>0.85626</cdr:x>
      <cdr:y>0.6219</cdr:y>
    </cdr:to>
    <cdr:sp macro="" textlink="">
      <cdr:nvSpPr>
        <cdr:cNvPr id="2" name="Arrow: Curved Right 1">
          <a:extLst xmlns:a="http://schemas.openxmlformats.org/drawingml/2006/main">
            <a:ext uri="{FF2B5EF4-FFF2-40B4-BE49-F238E27FC236}">
              <a16:creationId xmlns:a16="http://schemas.microsoft.com/office/drawing/2014/main" id="{DE11EE74-C0CA-4F64-BBD4-66B88E8ABD92}"/>
            </a:ext>
          </a:extLst>
        </cdr:cNvPr>
        <cdr:cNvSpPr/>
      </cdr:nvSpPr>
      <cdr:spPr>
        <a:xfrm xmlns:a="http://schemas.openxmlformats.org/drawingml/2006/main" rot="9616160" flipV="1">
          <a:off x="3493451" y="139765"/>
          <a:ext cx="421364" cy="1566224"/>
        </a:xfrm>
        <a:prstGeom xmlns:a="http://schemas.openxmlformats.org/drawingml/2006/main" prst="curvedRightArrow">
          <a:avLst/>
        </a:prstGeom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100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0.80462</cdr:x>
      <cdr:y>0.18568</cdr:y>
    </cdr:from>
    <cdr:to>
      <cdr:x>0.89628</cdr:x>
      <cdr:y>0.68867</cdr:y>
    </cdr:to>
    <cdr:sp macro="" textlink="">
      <cdr:nvSpPr>
        <cdr:cNvPr id="2" name="Arrow: Curved Right 1">
          <a:extLst xmlns:a="http://schemas.openxmlformats.org/drawingml/2006/main">
            <a:ext uri="{FF2B5EF4-FFF2-40B4-BE49-F238E27FC236}">
              <a16:creationId xmlns:a16="http://schemas.microsoft.com/office/drawing/2014/main" id="{432472A5-55D5-449F-A6EA-CD7DE24E72F9}"/>
            </a:ext>
          </a:extLst>
        </cdr:cNvPr>
        <cdr:cNvSpPr/>
      </cdr:nvSpPr>
      <cdr:spPr>
        <a:xfrm xmlns:a="http://schemas.openxmlformats.org/drawingml/2006/main" rot="9670993" flipV="1">
          <a:off x="3678737" y="509344"/>
          <a:ext cx="419073" cy="1379802"/>
        </a:xfrm>
        <a:prstGeom xmlns:a="http://schemas.openxmlformats.org/drawingml/2006/main" prst="curvedRightArrow">
          <a:avLst/>
        </a:prstGeom>
        <a:solidFill xmlns:a="http://schemas.openxmlformats.org/drawingml/2006/main">
          <a:schemeClr val="accent2"/>
        </a:solidFill>
        <a:ln xmlns:a="http://schemas.openxmlformats.org/drawingml/2006/main">
          <a:solidFill>
            <a:schemeClr val="accent2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100">
            <a:solidFill>
              <a:schemeClr val="tx1"/>
            </a:solidFill>
          </a:endParaRP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171450</xdr:colOff>
      <xdr:row>0</xdr:row>
      <xdr:rowOff>157162</xdr:rowOff>
    </xdr:from>
    <xdr:to>
      <xdr:col>13</xdr:col>
      <xdr:colOff>476250</xdr:colOff>
      <xdr:row>12</xdr:row>
      <xdr:rowOff>42862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D6BB3B-32BE-4F25-B156-50889F9D80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142875</xdr:colOff>
      <xdr:row>12</xdr:row>
      <xdr:rowOff>95250</xdr:rowOff>
    </xdr:from>
    <xdr:to>
      <xdr:col>13</xdr:col>
      <xdr:colOff>447675</xdr:colOff>
      <xdr:row>26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162FCEE-58B1-4383-9DD8-D366C7FC33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B53A9-7F47-48A9-9A3C-0A6C2378CBC5}">
  <dimension ref="A1:F50"/>
  <sheetViews>
    <sheetView tabSelected="1" topLeftCell="C21" zoomScaleNormal="100" workbookViewId="0">
      <selection activeCell="H42" sqref="H42"/>
    </sheetView>
  </sheetViews>
  <sheetFormatPr defaultRowHeight="15" x14ac:dyDescent="0.25"/>
  <cols>
    <col min="1" max="1" width="21.85546875" style="8" customWidth="1"/>
    <col min="2" max="2" width="18.140625" customWidth="1"/>
    <col min="3" max="3" width="17.42578125" customWidth="1"/>
    <col min="4" max="4" width="11.5703125" style="5" customWidth="1"/>
    <col min="5" max="6" width="18.7109375" style="5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99</v>
      </c>
      <c r="F1" s="3" t="s">
        <v>100</v>
      </c>
    </row>
    <row r="2" spans="1:6" x14ac:dyDescent="0.25">
      <c r="A2" s="7">
        <v>44579.744375000002</v>
      </c>
      <c r="B2" s="2" t="s">
        <v>4</v>
      </c>
      <c r="C2" s="2" t="s">
        <v>5</v>
      </c>
      <c r="D2" s="4" t="s">
        <v>6</v>
      </c>
      <c r="E2" s="6">
        <v>2.3E-2</v>
      </c>
      <c r="F2" s="6">
        <v>0.03</v>
      </c>
    </row>
    <row r="3" spans="1:6" x14ac:dyDescent="0.25">
      <c r="A3" s="7">
        <v>44579.744375000002</v>
      </c>
      <c r="B3" s="2" t="s">
        <v>7</v>
      </c>
      <c r="C3" s="2" t="s">
        <v>8</v>
      </c>
      <c r="D3" s="4" t="s">
        <v>6</v>
      </c>
      <c r="E3" s="6">
        <v>2.1999999999999999E-2</v>
      </c>
      <c r="F3" s="6">
        <v>3.9E-2</v>
      </c>
    </row>
    <row r="4" spans="1:6" x14ac:dyDescent="0.25">
      <c r="A4" s="7">
        <v>44579.744375000002</v>
      </c>
      <c r="B4" s="2" t="s">
        <v>9</v>
      </c>
      <c r="C4" s="2" t="s">
        <v>10</v>
      </c>
      <c r="D4" s="4" t="s">
        <v>6</v>
      </c>
      <c r="E4" s="6">
        <v>2.4E-2</v>
      </c>
      <c r="F4" s="6">
        <v>4.5999999999999999E-2</v>
      </c>
    </row>
    <row r="5" spans="1:6" x14ac:dyDescent="0.25">
      <c r="A5" s="7">
        <v>44579.744375000002</v>
      </c>
      <c r="B5" s="2" t="s">
        <v>11</v>
      </c>
      <c r="C5" s="2" t="s">
        <v>12</v>
      </c>
      <c r="D5" s="4" t="s">
        <v>6</v>
      </c>
      <c r="E5" s="6">
        <v>2.1999999999999999E-2</v>
      </c>
      <c r="F5" s="6">
        <v>7.1999999999999995E-2</v>
      </c>
    </row>
    <row r="6" spans="1:6" x14ac:dyDescent="0.25">
      <c r="A6" s="7">
        <v>44579.744375000002</v>
      </c>
      <c r="B6" s="2" t="s">
        <v>13</v>
      </c>
      <c r="C6" s="2" t="s">
        <v>14</v>
      </c>
      <c r="D6" s="4" t="s">
        <v>6</v>
      </c>
      <c r="E6" s="6">
        <v>1.9E-2</v>
      </c>
      <c r="F6" s="6">
        <v>8.1000000000000003E-2</v>
      </c>
    </row>
    <row r="7" spans="1:6" x14ac:dyDescent="0.25">
      <c r="A7" s="7">
        <v>44579.744375000002</v>
      </c>
      <c r="B7" s="2" t="s">
        <v>15</v>
      </c>
      <c r="C7" s="2" t="s">
        <v>16</v>
      </c>
      <c r="D7" s="4" t="s">
        <v>6</v>
      </c>
      <c r="E7" s="6">
        <v>1.7999999999999999E-2</v>
      </c>
      <c r="F7" s="6">
        <v>0.11799999999999999</v>
      </c>
    </row>
    <row r="8" spans="1:6" x14ac:dyDescent="0.25">
      <c r="A8" s="7">
        <v>44579.744375000002</v>
      </c>
      <c r="B8" s="2" t="s">
        <v>17</v>
      </c>
      <c r="C8" s="2" t="s">
        <v>18</v>
      </c>
      <c r="D8" s="4" t="s">
        <v>6</v>
      </c>
      <c r="E8" s="6">
        <v>1.9E-2</v>
      </c>
      <c r="F8" s="6">
        <v>0.05</v>
      </c>
    </row>
    <row r="9" spans="1:6" x14ac:dyDescent="0.25">
      <c r="A9" s="7">
        <v>44579.744375000002</v>
      </c>
      <c r="B9" s="2" t="s">
        <v>19</v>
      </c>
      <c r="C9" s="2" t="s">
        <v>20</v>
      </c>
      <c r="D9" s="4" t="s">
        <v>6</v>
      </c>
      <c r="E9" s="6">
        <v>1.9E-2</v>
      </c>
      <c r="F9" s="6">
        <v>3.3000000000000002E-2</v>
      </c>
    </row>
    <row r="10" spans="1:6" x14ac:dyDescent="0.25">
      <c r="A10" s="7">
        <v>44579.744375000002</v>
      </c>
      <c r="B10" s="2" t="s">
        <v>21</v>
      </c>
      <c r="C10" s="2" t="s">
        <v>22</v>
      </c>
      <c r="D10" s="4" t="s">
        <v>6</v>
      </c>
      <c r="E10" s="6">
        <v>1.9E-2</v>
      </c>
      <c r="F10" s="6">
        <v>0.03</v>
      </c>
    </row>
    <row r="11" spans="1:6" x14ac:dyDescent="0.25">
      <c r="A11" s="7">
        <v>44579.744375000002</v>
      </c>
      <c r="B11" s="2" t="s">
        <v>23</v>
      </c>
      <c r="C11" s="2" t="s">
        <v>24</v>
      </c>
      <c r="D11" s="4" t="s">
        <v>6</v>
      </c>
      <c r="E11" s="6">
        <v>2.1000000000000001E-2</v>
      </c>
      <c r="F11" s="6">
        <v>2.7E-2</v>
      </c>
    </row>
    <row r="12" spans="1:6" x14ac:dyDescent="0.25">
      <c r="A12" s="7">
        <v>44579.744375000002</v>
      </c>
      <c r="B12" s="2" t="s">
        <v>25</v>
      </c>
      <c r="C12" s="2" t="s">
        <v>26</v>
      </c>
      <c r="D12" s="4" t="s">
        <v>6</v>
      </c>
      <c r="E12" s="6">
        <v>2.1999999999999999E-2</v>
      </c>
      <c r="F12" s="6">
        <v>2.7E-2</v>
      </c>
    </row>
    <row r="13" spans="1:6" x14ac:dyDescent="0.25">
      <c r="A13" s="7">
        <v>44579.744375000002</v>
      </c>
      <c r="B13" s="2" t="s">
        <v>27</v>
      </c>
      <c r="C13" s="2" t="s">
        <v>28</v>
      </c>
      <c r="D13" s="4" t="s">
        <v>6</v>
      </c>
      <c r="E13" s="6">
        <v>1.9E-2</v>
      </c>
      <c r="F13" s="6">
        <v>2.5999999999999999E-2</v>
      </c>
    </row>
    <row r="14" spans="1:6" x14ac:dyDescent="0.25">
      <c r="A14" s="7">
        <v>44579.744375000002</v>
      </c>
      <c r="B14" s="2" t="s">
        <v>29</v>
      </c>
      <c r="C14" s="2" t="s">
        <v>30</v>
      </c>
      <c r="D14" s="4" t="s">
        <v>6</v>
      </c>
      <c r="E14" s="6">
        <v>0.02</v>
      </c>
      <c r="F14" s="6">
        <v>3.1E-2</v>
      </c>
    </row>
    <row r="15" spans="1:6" x14ac:dyDescent="0.25">
      <c r="A15" s="7">
        <v>44579.744375000002</v>
      </c>
      <c r="B15" s="2" t="s">
        <v>31</v>
      </c>
      <c r="C15" s="2" t="s">
        <v>32</v>
      </c>
      <c r="D15" s="4" t="s">
        <v>6</v>
      </c>
      <c r="E15" s="6">
        <v>0.02</v>
      </c>
      <c r="F15" s="6">
        <v>2.4E-2</v>
      </c>
    </row>
    <row r="16" spans="1:6" x14ac:dyDescent="0.25">
      <c r="A16" s="7">
        <v>44579.744375000002</v>
      </c>
      <c r="B16" s="2" t="s">
        <v>33</v>
      </c>
      <c r="C16" s="2" t="s">
        <v>34</v>
      </c>
      <c r="D16" s="4" t="s">
        <v>6</v>
      </c>
      <c r="E16" s="6">
        <v>2.1999999999999999E-2</v>
      </c>
      <c r="F16" s="6">
        <v>2.5000000000000001E-2</v>
      </c>
    </row>
    <row r="17" spans="1:6" x14ac:dyDescent="0.25">
      <c r="A17" s="7">
        <v>44579.744375000002</v>
      </c>
      <c r="B17" s="2" t="s">
        <v>35</v>
      </c>
      <c r="C17" s="2" t="s">
        <v>36</v>
      </c>
      <c r="D17" s="4" t="s">
        <v>6</v>
      </c>
      <c r="E17" s="6">
        <v>2.1000000000000001E-2</v>
      </c>
      <c r="F17" s="6">
        <v>0.03</v>
      </c>
    </row>
    <row r="18" spans="1:6" x14ac:dyDescent="0.25">
      <c r="A18" s="7">
        <v>44579.744375000002</v>
      </c>
      <c r="B18" s="2" t="s">
        <v>37</v>
      </c>
      <c r="C18" s="2" t="s">
        <v>38</v>
      </c>
      <c r="D18" s="4" t="s">
        <v>6</v>
      </c>
      <c r="E18" s="6">
        <v>0.03</v>
      </c>
      <c r="F18" s="6">
        <v>3.6999999999999998E-2</v>
      </c>
    </row>
    <row r="19" spans="1:6" x14ac:dyDescent="0.25">
      <c r="A19" s="7">
        <v>44579.744375000002</v>
      </c>
      <c r="B19" s="2" t="s">
        <v>39</v>
      </c>
      <c r="C19" s="2" t="s">
        <v>40</v>
      </c>
      <c r="D19" s="4" t="s">
        <v>6</v>
      </c>
      <c r="E19" s="6">
        <v>2.8000000000000001E-2</v>
      </c>
      <c r="F19" s="6">
        <v>3.6999999999999998E-2</v>
      </c>
    </row>
    <row r="20" spans="1:6" x14ac:dyDescent="0.25">
      <c r="A20" s="7">
        <v>44579.744375000002</v>
      </c>
      <c r="B20" s="2" t="s">
        <v>41</v>
      </c>
      <c r="C20" s="2" t="s">
        <v>42</v>
      </c>
      <c r="D20" s="4" t="s">
        <v>6</v>
      </c>
      <c r="E20" s="6">
        <v>2.1999999999999999E-2</v>
      </c>
      <c r="F20" s="6">
        <v>2.5999999999999999E-2</v>
      </c>
    </row>
    <row r="21" spans="1:6" x14ac:dyDescent="0.25">
      <c r="A21" s="7">
        <v>44579.744375000002</v>
      </c>
      <c r="B21" s="2" t="s">
        <v>43</v>
      </c>
      <c r="C21" s="2" t="s">
        <v>44</v>
      </c>
      <c r="D21" s="4" t="s">
        <v>6</v>
      </c>
      <c r="E21" s="6">
        <v>2.5000000000000001E-2</v>
      </c>
      <c r="F21" s="6">
        <v>2.5000000000000001E-2</v>
      </c>
    </row>
    <row r="22" spans="1:6" x14ac:dyDescent="0.25">
      <c r="A22" s="7">
        <v>44579.744375000002</v>
      </c>
      <c r="B22" s="2" t="s">
        <v>45</v>
      </c>
      <c r="C22" s="2" t="s">
        <v>46</v>
      </c>
      <c r="D22" s="4" t="s">
        <v>6</v>
      </c>
      <c r="E22" s="6">
        <v>2.8000000000000001E-2</v>
      </c>
      <c r="F22" s="6">
        <v>3.1E-2</v>
      </c>
    </row>
    <row r="23" spans="1:6" x14ac:dyDescent="0.25">
      <c r="A23" s="7">
        <v>44579.744375000002</v>
      </c>
      <c r="B23" s="2" t="s">
        <v>47</v>
      </c>
      <c r="C23" s="2" t="s">
        <v>48</v>
      </c>
      <c r="D23" s="4" t="s">
        <v>6</v>
      </c>
      <c r="E23" s="6">
        <v>2.8000000000000001E-2</v>
      </c>
      <c r="F23" s="6">
        <v>3.1E-2</v>
      </c>
    </row>
    <row r="24" spans="1:6" x14ac:dyDescent="0.25">
      <c r="A24" s="7">
        <v>44579.744375000002</v>
      </c>
      <c r="B24" s="2" t="s">
        <v>49</v>
      </c>
      <c r="C24" s="2" t="s">
        <v>50</v>
      </c>
      <c r="D24" s="4" t="s">
        <v>6</v>
      </c>
      <c r="E24" s="6">
        <v>2.4E-2</v>
      </c>
      <c r="F24" s="6">
        <v>2.1999999999999999E-2</v>
      </c>
    </row>
    <row r="25" spans="1:6" x14ac:dyDescent="0.25">
      <c r="A25" s="7">
        <v>44579.744375000002</v>
      </c>
      <c r="B25" s="2" t="s">
        <v>51</v>
      </c>
      <c r="C25" s="2" t="s">
        <v>52</v>
      </c>
      <c r="D25" s="4" t="s">
        <v>6</v>
      </c>
      <c r="E25" s="6">
        <v>2.4E-2</v>
      </c>
      <c r="F25" s="6">
        <v>2.3E-2</v>
      </c>
    </row>
    <row r="26" spans="1:6" x14ac:dyDescent="0.25">
      <c r="A26" s="7">
        <v>44579.744375000002</v>
      </c>
      <c r="B26" s="2" t="s">
        <v>53</v>
      </c>
      <c r="C26" s="2" t="s">
        <v>54</v>
      </c>
      <c r="D26" s="4" t="s">
        <v>6</v>
      </c>
      <c r="E26" s="6">
        <v>2.1999999999999999E-2</v>
      </c>
      <c r="F26" s="6">
        <v>2.4E-2</v>
      </c>
    </row>
    <row r="27" spans="1:6" x14ac:dyDescent="0.25">
      <c r="A27" s="7">
        <v>44579.744375000002</v>
      </c>
      <c r="B27" s="2" t="s">
        <v>55</v>
      </c>
      <c r="C27" s="2" t="s">
        <v>56</v>
      </c>
      <c r="D27" s="4" t="s">
        <v>6</v>
      </c>
      <c r="E27" s="6">
        <v>2.1000000000000001E-2</v>
      </c>
      <c r="F27" s="6">
        <v>2.1999999999999999E-2</v>
      </c>
    </row>
    <row r="28" spans="1:6" x14ac:dyDescent="0.25">
      <c r="A28" s="7">
        <v>44579.744375000002</v>
      </c>
      <c r="B28" s="2" t="s">
        <v>57</v>
      </c>
      <c r="C28" s="2" t="s">
        <v>58</v>
      </c>
      <c r="D28" s="4" t="s">
        <v>6</v>
      </c>
      <c r="E28" s="6">
        <v>3.0000000000000001E-3</v>
      </c>
      <c r="F28" s="6">
        <v>3.7490000000000001</v>
      </c>
    </row>
    <row r="29" spans="1:6" x14ac:dyDescent="0.25">
      <c r="A29" s="7">
        <v>44579.744375000002</v>
      </c>
      <c r="B29" s="2" t="s">
        <v>59</v>
      </c>
      <c r="C29" s="2" t="s">
        <v>60</v>
      </c>
      <c r="D29" s="4" t="s">
        <v>6</v>
      </c>
      <c r="E29" s="6">
        <v>1.2E-2</v>
      </c>
      <c r="F29" s="6">
        <v>2.9420000000000002</v>
      </c>
    </row>
    <row r="30" spans="1:6" x14ac:dyDescent="0.25">
      <c r="A30" s="7">
        <v>44579.744375000002</v>
      </c>
      <c r="B30" s="2" t="s">
        <v>61</v>
      </c>
      <c r="C30" s="2" t="s">
        <v>62</v>
      </c>
      <c r="D30" s="4" t="s">
        <v>6</v>
      </c>
      <c r="E30" s="6">
        <v>1.4E-2</v>
      </c>
      <c r="F30" s="6">
        <v>9.3710000000000004</v>
      </c>
    </row>
    <row r="31" spans="1:6" x14ac:dyDescent="0.25">
      <c r="A31" s="7">
        <v>44579.744375000002</v>
      </c>
      <c r="B31" s="2" t="s">
        <v>63</v>
      </c>
      <c r="C31" s="2" t="s">
        <v>64</v>
      </c>
      <c r="D31" s="4" t="s">
        <v>6</v>
      </c>
      <c r="E31" s="6">
        <v>7.0000000000000001E-3</v>
      </c>
      <c r="F31" s="6">
        <v>19.283999999999999</v>
      </c>
    </row>
    <row r="32" spans="1:6" x14ac:dyDescent="0.25">
      <c r="A32" s="7">
        <v>44579.744375000002</v>
      </c>
      <c r="B32" s="2" t="s">
        <v>65</v>
      </c>
      <c r="C32" s="2" t="s">
        <v>66</v>
      </c>
      <c r="D32" s="4" t="s">
        <v>6</v>
      </c>
      <c r="E32" s="6">
        <v>6.2E-2</v>
      </c>
      <c r="F32" s="6">
        <v>0.36</v>
      </c>
    </row>
    <row r="33" spans="1:6" x14ac:dyDescent="0.25">
      <c r="A33" s="7">
        <v>44579.744375000002</v>
      </c>
      <c r="B33" s="2" t="s">
        <v>67</v>
      </c>
      <c r="C33" s="2" t="s">
        <v>68</v>
      </c>
      <c r="D33" s="4" t="s">
        <v>6</v>
      </c>
      <c r="E33" s="6">
        <v>8.7999999999999995E-2</v>
      </c>
      <c r="F33" s="6">
        <v>0.44500000000000001</v>
      </c>
    </row>
    <row r="34" spans="1:6" x14ac:dyDescent="0.25">
      <c r="A34" s="7">
        <v>44579.744375000002</v>
      </c>
      <c r="B34" s="2" t="s">
        <v>69</v>
      </c>
      <c r="C34" s="2" t="s">
        <v>70</v>
      </c>
      <c r="D34" s="4" t="s">
        <v>6</v>
      </c>
      <c r="E34" s="6">
        <v>8.7999999999999995E-2</v>
      </c>
      <c r="F34" s="6">
        <v>0.248</v>
      </c>
    </row>
    <row r="35" spans="1:6" x14ac:dyDescent="0.25">
      <c r="A35" s="7">
        <v>44579.744375000002</v>
      </c>
      <c r="B35" s="2" t="s">
        <v>71</v>
      </c>
      <c r="C35" s="2" t="s">
        <v>72</v>
      </c>
      <c r="D35" s="4" t="s">
        <v>6</v>
      </c>
      <c r="E35" s="6">
        <v>8.3000000000000004E-2</v>
      </c>
      <c r="F35" s="6">
        <v>0.214</v>
      </c>
    </row>
    <row r="36" spans="1:6" x14ac:dyDescent="0.25">
      <c r="A36" s="7">
        <v>44579.744375000002</v>
      </c>
      <c r="B36" s="2" t="s">
        <v>73</v>
      </c>
      <c r="C36" s="2" t="s">
        <v>74</v>
      </c>
      <c r="D36" s="4" t="s">
        <v>6</v>
      </c>
      <c r="E36" s="6">
        <v>5.2999999999999999E-2</v>
      </c>
      <c r="F36" s="6">
        <v>9.7000000000000003E-2</v>
      </c>
    </row>
    <row r="37" spans="1:6" x14ac:dyDescent="0.25">
      <c r="A37" s="7">
        <v>44579.744375000002</v>
      </c>
      <c r="B37" s="2" t="s">
        <v>75</v>
      </c>
      <c r="C37" s="2" t="s">
        <v>76</v>
      </c>
      <c r="D37" s="4" t="s">
        <v>6</v>
      </c>
      <c r="E37" s="6">
        <v>4.7E-2</v>
      </c>
      <c r="F37" s="6">
        <v>7.6999999999999999E-2</v>
      </c>
    </row>
    <row r="38" spans="1:6" x14ac:dyDescent="0.25">
      <c r="A38" s="7">
        <v>44579.744375000002</v>
      </c>
      <c r="B38" s="2" t="s">
        <v>77</v>
      </c>
      <c r="C38" s="2" t="s">
        <v>78</v>
      </c>
      <c r="D38" s="4" t="s">
        <v>6</v>
      </c>
      <c r="E38" s="6">
        <v>4.2000000000000003E-2</v>
      </c>
      <c r="F38" s="6">
        <v>9.4E-2</v>
      </c>
    </row>
    <row r="39" spans="1:6" x14ac:dyDescent="0.25">
      <c r="A39" s="7">
        <v>44579.744375000002</v>
      </c>
      <c r="B39" s="2" t="s">
        <v>79</v>
      </c>
      <c r="C39" s="2" t="s">
        <v>80</v>
      </c>
      <c r="D39" s="4" t="s">
        <v>6</v>
      </c>
      <c r="E39" s="6">
        <v>4.4999999999999998E-2</v>
      </c>
      <c r="F39" s="6">
        <v>0.12</v>
      </c>
    </row>
    <row r="40" spans="1:6" x14ac:dyDescent="0.25">
      <c r="A40" s="7">
        <v>44579.744375000002</v>
      </c>
      <c r="B40" s="2" t="s">
        <v>81</v>
      </c>
      <c r="C40" s="2" t="s">
        <v>82</v>
      </c>
      <c r="D40" s="4" t="s">
        <v>6</v>
      </c>
      <c r="E40" s="6">
        <v>0.09</v>
      </c>
      <c r="F40" s="6">
        <v>0.36199999999999999</v>
      </c>
    </row>
    <row r="41" spans="1:6" x14ac:dyDescent="0.25">
      <c r="A41" s="7">
        <v>44579.744375000002</v>
      </c>
      <c r="B41" s="2" t="s">
        <v>83</v>
      </c>
      <c r="C41" s="2" t="s">
        <v>84</v>
      </c>
      <c r="D41" s="4" t="s">
        <v>6</v>
      </c>
      <c r="E41" s="6">
        <v>8.3000000000000004E-2</v>
      </c>
      <c r="F41" s="6">
        <v>0.20799999999999999</v>
      </c>
    </row>
    <row r="42" spans="1:6" x14ac:dyDescent="0.25">
      <c r="A42" s="7">
        <v>44579.744375000002</v>
      </c>
      <c r="B42" s="2" t="s">
        <v>85</v>
      </c>
      <c r="C42" s="2" t="s">
        <v>86</v>
      </c>
      <c r="D42" s="4" t="s">
        <v>6</v>
      </c>
      <c r="E42" s="6">
        <v>6.7000000000000004E-2</v>
      </c>
      <c r="F42" s="6">
        <v>0.13200000000000001</v>
      </c>
    </row>
    <row r="43" spans="1:6" x14ac:dyDescent="0.25">
      <c r="A43" s="7">
        <v>44579.744375000002</v>
      </c>
      <c r="B43" s="2" t="s">
        <v>87</v>
      </c>
      <c r="C43" s="2" t="s">
        <v>88</v>
      </c>
      <c r="D43" s="4" t="s">
        <v>6</v>
      </c>
      <c r="E43" s="6">
        <v>4.8000000000000001E-2</v>
      </c>
      <c r="F43" s="6">
        <v>8.5999999999999993E-2</v>
      </c>
    </row>
    <row r="44" spans="1:6" x14ac:dyDescent="0.25">
      <c r="A44" s="7">
        <v>44579.744375000002</v>
      </c>
      <c r="B44" s="2" t="s">
        <v>89</v>
      </c>
      <c r="C44" s="2" t="s">
        <v>90</v>
      </c>
      <c r="D44" s="4" t="s">
        <v>6</v>
      </c>
      <c r="E44" s="6">
        <v>2.4E-2</v>
      </c>
      <c r="F44" s="6">
        <v>3.3000000000000002E-2</v>
      </c>
    </row>
    <row r="45" spans="1:6" x14ac:dyDescent="0.25">
      <c r="A45" s="7">
        <v>44579.744375000002</v>
      </c>
      <c r="B45" s="2" t="s">
        <v>91</v>
      </c>
      <c r="C45" s="2" t="s">
        <v>92</v>
      </c>
      <c r="D45" s="4" t="s">
        <v>6</v>
      </c>
      <c r="E45" s="6">
        <v>3.3000000000000002E-2</v>
      </c>
      <c r="F45" s="6">
        <v>6.8000000000000005E-2</v>
      </c>
    </row>
    <row r="46" spans="1:6" x14ac:dyDescent="0.25">
      <c r="A46" s="7">
        <v>44579.744375000002</v>
      </c>
      <c r="B46" s="2" t="s">
        <v>93</v>
      </c>
      <c r="C46" s="2" t="s">
        <v>94</v>
      </c>
      <c r="D46" s="4" t="s">
        <v>6</v>
      </c>
      <c r="E46" s="6">
        <v>0.52500000000000002</v>
      </c>
      <c r="F46" s="6">
        <v>0.746</v>
      </c>
    </row>
    <row r="47" spans="1:6" x14ac:dyDescent="0.25">
      <c r="A47" s="7">
        <v>44579.744375000002</v>
      </c>
      <c r="B47" s="2" t="s">
        <v>95</v>
      </c>
      <c r="C47" s="2" t="s">
        <v>96</v>
      </c>
      <c r="D47" s="4" t="s">
        <v>6</v>
      </c>
      <c r="E47" s="6">
        <v>0.01</v>
      </c>
      <c r="F47" s="6">
        <v>0.17499999999999999</v>
      </c>
    </row>
    <row r="48" spans="1:6" x14ac:dyDescent="0.25">
      <c r="A48" s="7">
        <v>44579.744375000002</v>
      </c>
      <c r="B48" s="2" t="s">
        <v>97</v>
      </c>
      <c r="C48" s="2" t="s">
        <v>98</v>
      </c>
      <c r="D48" s="4" t="s">
        <v>6</v>
      </c>
      <c r="E48" s="6">
        <v>4.8000000000000001E-2</v>
      </c>
      <c r="F48" s="6">
        <v>5.8999999999999997E-2</v>
      </c>
    </row>
    <row r="49" spans="4:6" x14ac:dyDescent="0.25">
      <c r="D49" s="5" t="s">
        <v>104</v>
      </c>
      <c r="E49" s="15">
        <f>MAX(E2:E48)</f>
        <v>0.52500000000000002</v>
      </c>
      <c r="F49" s="15">
        <f>MAX(F2:F48)</f>
        <v>19.283999999999999</v>
      </c>
    </row>
    <row r="50" spans="4:6" x14ac:dyDescent="0.25">
      <c r="D50" s="5" t="s">
        <v>105</v>
      </c>
      <c r="E50" s="15">
        <f>MIN(E2:E48)</f>
        <v>3.0000000000000001E-3</v>
      </c>
      <c r="F50" s="15">
        <f>MIN(F2:F48)</f>
        <v>2.1999999999999999E-2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DC927-F2D0-45F7-9BD5-C66188C6CEB1}">
  <dimension ref="A1:G72"/>
  <sheetViews>
    <sheetView topLeftCell="A21" workbookViewId="0">
      <selection activeCell="F35" sqref="F35"/>
    </sheetView>
  </sheetViews>
  <sheetFormatPr defaultRowHeight="15" x14ac:dyDescent="0.25"/>
  <cols>
    <col min="1" max="1" width="17.42578125" customWidth="1"/>
    <col min="2" max="4" width="18.7109375" style="5" customWidth="1"/>
    <col min="6" max="6" width="11.85546875" customWidth="1"/>
    <col min="7" max="7" width="12.5703125" customWidth="1"/>
  </cols>
  <sheetData>
    <row r="1" spans="1:6" ht="30" x14ac:dyDescent="0.25">
      <c r="A1" s="1" t="s">
        <v>2</v>
      </c>
      <c r="B1" s="3" t="s">
        <v>99</v>
      </c>
      <c r="C1" s="3"/>
      <c r="D1" s="3" t="s">
        <v>100</v>
      </c>
      <c r="E1" t="s">
        <v>101</v>
      </c>
      <c r="F1" t="s">
        <v>102</v>
      </c>
    </row>
    <row r="2" spans="1:6" x14ac:dyDescent="0.25">
      <c r="A2" s="2" t="s">
        <v>5</v>
      </c>
      <c r="B2" s="6">
        <v>2.3E-2</v>
      </c>
      <c r="C2" s="6"/>
      <c r="D2" s="6">
        <v>0.03</v>
      </c>
    </row>
    <row r="3" spans="1:6" x14ac:dyDescent="0.25">
      <c r="A3" s="2" t="s">
        <v>8</v>
      </c>
      <c r="B3" s="6">
        <v>2.1999999999999999E-2</v>
      </c>
      <c r="C3" s="6"/>
      <c r="D3" s="6">
        <v>3.9E-2</v>
      </c>
    </row>
    <row r="4" spans="1:6" x14ac:dyDescent="0.25">
      <c r="A4" s="2" t="s">
        <v>10</v>
      </c>
      <c r="B4" s="6">
        <v>2.4E-2</v>
      </c>
      <c r="C4" s="6"/>
      <c r="D4" s="6">
        <v>4.5999999999999999E-2</v>
      </c>
    </row>
    <row r="5" spans="1:6" x14ac:dyDescent="0.25">
      <c r="A5" s="2" t="s">
        <v>12</v>
      </c>
      <c r="B5" s="6">
        <v>2.1999999999999999E-2</v>
      </c>
      <c r="C5" s="6"/>
      <c r="D5" s="6">
        <v>7.1999999999999995E-2</v>
      </c>
    </row>
    <row r="6" spans="1:6" x14ac:dyDescent="0.25">
      <c r="A6" s="2" t="s">
        <v>14</v>
      </c>
      <c r="B6" s="6">
        <v>1.9E-2</v>
      </c>
      <c r="C6" s="6"/>
      <c r="D6" s="6">
        <v>8.1000000000000003E-2</v>
      </c>
    </row>
    <row r="7" spans="1:6" x14ac:dyDescent="0.25">
      <c r="A7" s="2" t="s">
        <v>16</v>
      </c>
      <c r="B7" s="6">
        <v>1.7999999999999999E-2</v>
      </c>
      <c r="C7" s="6"/>
      <c r="D7" s="6">
        <v>0.11799999999999999</v>
      </c>
    </row>
    <row r="8" spans="1:6" x14ac:dyDescent="0.25">
      <c r="A8" s="2" t="s">
        <v>18</v>
      </c>
      <c r="B8" s="6">
        <v>1.9E-2</v>
      </c>
      <c r="C8" s="6"/>
      <c r="D8" s="6">
        <v>0.05</v>
      </c>
    </row>
    <row r="9" spans="1:6" x14ac:dyDescent="0.25">
      <c r="A9" s="2" t="s">
        <v>20</v>
      </c>
      <c r="B9" s="6">
        <v>1.9E-2</v>
      </c>
      <c r="C9" s="6"/>
      <c r="D9" s="6">
        <v>3.3000000000000002E-2</v>
      </c>
    </row>
    <row r="10" spans="1:6" x14ac:dyDescent="0.25">
      <c r="A10" s="2" t="s">
        <v>22</v>
      </c>
      <c r="B10" s="6">
        <v>1.9E-2</v>
      </c>
      <c r="C10" s="6"/>
      <c r="D10" s="6">
        <v>0.03</v>
      </c>
    </row>
    <row r="11" spans="1:6" x14ac:dyDescent="0.25">
      <c r="A11" s="2" t="s">
        <v>24</v>
      </c>
      <c r="B11" s="6">
        <v>2.1000000000000001E-2</v>
      </c>
      <c r="C11" s="6"/>
      <c r="D11" s="6">
        <v>2.7E-2</v>
      </c>
    </row>
    <row r="12" spans="1:6" x14ac:dyDescent="0.25">
      <c r="A12" s="2" t="s">
        <v>26</v>
      </c>
      <c r="B12" s="6">
        <v>2.1999999999999999E-2</v>
      </c>
      <c r="C12" s="6"/>
      <c r="D12" s="6">
        <v>2.7E-2</v>
      </c>
    </row>
    <row r="13" spans="1:6" x14ac:dyDescent="0.25">
      <c r="A13" s="2" t="s">
        <v>28</v>
      </c>
      <c r="B13" s="6">
        <v>1.9E-2</v>
      </c>
      <c r="C13" s="6"/>
      <c r="D13" s="6">
        <v>2.5999999999999999E-2</v>
      </c>
    </row>
    <row r="14" spans="1:6" x14ac:dyDescent="0.25">
      <c r="A14" s="2" t="s">
        <v>30</v>
      </c>
      <c r="B14" s="6">
        <v>0.02</v>
      </c>
      <c r="C14" s="6"/>
      <c r="D14" s="6">
        <v>3.1E-2</v>
      </c>
    </row>
    <row r="15" spans="1:6" x14ac:dyDescent="0.25">
      <c r="A15" s="2" t="s">
        <v>32</v>
      </c>
      <c r="B15" s="6">
        <v>0.02</v>
      </c>
      <c r="C15" s="6"/>
      <c r="D15" s="6">
        <v>2.4E-2</v>
      </c>
    </row>
    <row r="16" spans="1:6" x14ac:dyDescent="0.25">
      <c r="A16" s="2" t="s">
        <v>34</v>
      </c>
      <c r="B16" s="6">
        <v>2.1999999999999999E-2</v>
      </c>
      <c r="C16" s="6"/>
      <c r="D16" s="6">
        <v>2.5000000000000001E-2</v>
      </c>
    </row>
    <row r="17" spans="1:7" x14ac:dyDescent="0.25">
      <c r="A17" s="16" t="s">
        <v>36</v>
      </c>
      <c r="B17" s="17">
        <v>2.1000000000000001E-2</v>
      </c>
      <c r="C17" s="17"/>
      <c r="D17" s="17">
        <v>0.03</v>
      </c>
    </row>
    <row r="18" spans="1:7" x14ac:dyDescent="0.25">
      <c r="A18" s="20" t="s">
        <v>38</v>
      </c>
      <c r="B18" s="21">
        <v>0.03</v>
      </c>
      <c r="C18" s="21"/>
      <c r="D18" s="22">
        <v>3.6999999999999998E-2</v>
      </c>
    </row>
    <row r="19" spans="1:7" x14ac:dyDescent="0.25">
      <c r="A19" s="23" t="s">
        <v>40</v>
      </c>
      <c r="B19" s="6">
        <v>2.8000000000000001E-2</v>
      </c>
      <c r="C19" s="6"/>
      <c r="D19" s="24">
        <v>3.6999999999999998E-2</v>
      </c>
    </row>
    <row r="20" spans="1:7" x14ac:dyDescent="0.25">
      <c r="A20" s="23" t="s">
        <v>42</v>
      </c>
      <c r="B20" s="6">
        <v>2.1999999999999999E-2</v>
      </c>
      <c r="C20" s="6"/>
      <c r="D20" s="24">
        <v>2.5999999999999999E-2</v>
      </c>
    </row>
    <row r="21" spans="1:7" x14ac:dyDescent="0.25">
      <c r="A21" s="23" t="s">
        <v>44</v>
      </c>
      <c r="B21" s="6">
        <v>2.5000000000000001E-2</v>
      </c>
      <c r="C21" s="6"/>
      <c r="D21" s="24">
        <v>2.5000000000000001E-2</v>
      </c>
    </row>
    <row r="22" spans="1:7" x14ac:dyDescent="0.25">
      <c r="A22" s="23" t="s">
        <v>46</v>
      </c>
      <c r="B22" s="6">
        <v>2.8000000000000001E-2</v>
      </c>
      <c r="C22" s="6"/>
      <c r="D22" s="24">
        <v>3.1E-2</v>
      </c>
    </row>
    <row r="23" spans="1:7" x14ac:dyDescent="0.25">
      <c r="A23" s="23" t="s">
        <v>48</v>
      </c>
      <c r="B23" s="6">
        <v>2.8000000000000001E-2</v>
      </c>
      <c r="C23" s="6"/>
      <c r="D23" s="24">
        <v>3.1E-2</v>
      </c>
    </row>
    <row r="24" spans="1:7" x14ac:dyDescent="0.25">
      <c r="A24" s="23" t="s">
        <v>50</v>
      </c>
      <c r="B24" s="6">
        <v>2.4E-2</v>
      </c>
      <c r="C24" s="6"/>
      <c r="D24" s="24">
        <v>2.1999999999999999E-2</v>
      </c>
    </row>
    <row r="25" spans="1:7" x14ac:dyDescent="0.25">
      <c r="A25" s="23" t="s">
        <v>52</v>
      </c>
      <c r="B25" s="6">
        <v>2.4E-2</v>
      </c>
      <c r="C25" s="6"/>
      <c r="D25" s="24">
        <v>2.3E-2</v>
      </c>
    </row>
    <row r="26" spans="1:7" x14ac:dyDescent="0.25">
      <c r="A26" s="23" t="s">
        <v>54</v>
      </c>
      <c r="B26" s="6">
        <v>2.1999999999999999E-2</v>
      </c>
      <c r="C26" s="6"/>
      <c r="D26" s="24">
        <v>2.4E-2</v>
      </c>
    </row>
    <row r="27" spans="1:7" x14ac:dyDescent="0.25">
      <c r="A27" s="25" t="s">
        <v>56</v>
      </c>
      <c r="B27" s="26">
        <v>2.1000000000000001E-2</v>
      </c>
      <c r="C27" s="26"/>
      <c r="D27" s="27">
        <v>2.1999999999999999E-2</v>
      </c>
    </row>
    <row r="28" spans="1:7" x14ac:dyDescent="0.25">
      <c r="A28" s="18" t="s">
        <v>58</v>
      </c>
      <c r="B28" s="19">
        <v>3.0000000000000001E-3</v>
      </c>
      <c r="C28" s="19"/>
      <c r="D28" s="19">
        <v>3.7490000000000001</v>
      </c>
    </row>
    <row r="29" spans="1:7" x14ac:dyDescent="0.25">
      <c r="A29" s="2" t="s">
        <v>60</v>
      </c>
      <c r="B29" s="6">
        <v>1.2E-2</v>
      </c>
      <c r="C29" s="6"/>
      <c r="D29" s="6">
        <v>2.9420000000000002</v>
      </c>
    </row>
    <row r="30" spans="1:7" x14ac:dyDescent="0.25">
      <c r="A30" s="2" t="s">
        <v>62</v>
      </c>
      <c r="B30" s="6">
        <v>1.4E-2</v>
      </c>
      <c r="C30" s="6"/>
      <c r="D30" s="6">
        <v>9.3710000000000004</v>
      </c>
    </row>
    <row r="31" spans="1:7" x14ac:dyDescent="0.25">
      <c r="A31" s="2" t="s">
        <v>64</v>
      </c>
      <c r="B31" s="6">
        <v>7.0000000000000001E-3</v>
      </c>
      <c r="C31" s="6"/>
      <c r="D31" s="6">
        <v>19.283999999999999</v>
      </c>
      <c r="F31" t="s">
        <v>106</v>
      </c>
      <c r="G31" t="s">
        <v>107</v>
      </c>
    </row>
    <row r="32" spans="1:7" x14ac:dyDescent="0.25">
      <c r="A32" s="2" t="s">
        <v>66</v>
      </c>
      <c r="B32" s="6">
        <v>6.2E-2</v>
      </c>
      <c r="C32" s="6">
        <f>B32*100</f>
        <v>6.2</v>
      </c>
      <c r="D32" s="6">
        <v>0.36</v>
      </c>
      <c r="E32" s="9">
        <v>0.65972222222222221</v>
      </c>
      <c r="F32" s="12">
        <v>3.3090000000000002</v>
      </c>
      <c r="G32" s="15">
        <f>F32-0.305472</f>
        <v>3.0035280000000002</v>
      </c>
    </row>
    <row r="33" spans="1:7" x14ac:dyDescent="0.25">
      <c r="A33" s="2" t="s">
        <v>68</v>
      </c>
      <c r="B33" s="6">
        <v>8.7999999999999995E-2</v>
      </c>
      <c r="C33" s="6">
        <f t="shared" ref="C33:C48" si="0">B33*100</f>
        <v>8.7999999999999989</v>
      </c>
      <c r="D33" s="6">
        <v>0.44500000000000001</v>
      </c>
      <c r="E33" s="9">
        <v>0.67291666666666661</v>
      </c>
      <c r="F33" s="12">
        <v>3.7970000000000002</v>
      </c>
      <c r="G33" s="15">
        <f t="shared" ref="G33:G43" si="1">F33-0.305472</f>
        <v>3.4915280000000002</v>
      </c>
    </row>
    <row r="34" spans="1:7" x14ac:dyDescent="0.25">
      <c r="A34" s="2" t="s">
        <v>70</v>
      </c>
      <c r="B34" s="6">
        <v>8.7999999999999995E-2</v>
      </c>
      <c r="C34" s="6">
        <f t="shared" si="0"/>
        <v>8.7999999999999989</v>
      </c>
      <c r="D34" s="6">
        <v>0.248</v>
      </c>
      <c r="E34" s="9">
        <v>0.69444444444444453</v>
      </c>
      <c r="F34" s="12">
        <v>4.0960000000000001</v>
      </c>
      <c r="G34" s="15">
        <f t="shared" si="1"/>
        <v>3.7905280000000001</v>
      </c>
    </row>
    <row r="35" spans="1:7" x14ac:dyDescent="0.25">
      <c r="A35" s="2" t="s">
        <v>72</v>
      </c>
      <c r="B35" s="6">
        <v>8.3000000000000004E-2</v>
      </c>
      <c r="C35" s="6">
        <f t="shared" si="0"/>
        <v>8.3000000000000007</v>
      </c>
      <c r="D35" s="6">
        <v>0.214</v>
      </c>
      <c r="E35" s="9">
        <v>0.70486111111111116</v>
      </c>
      <c r="F35" s="12">
        <v>3.9940000000000002</v>
      </c>
      <c r="G35" s="15">
        <f t="shared" si="1"/>
        <v>3.6885280000000003</v>
      </c>
    </row>
    <row r="36" spans="1:7" x14ac:dyDescent="0.25">
      <c r="A36" s="2" t="s">
        <v>74</v>
      </c>
      <c r="B36" s="6">
        <v>5.2999999999999999E-2</v>
      </c>
      <c r="C36" s="6">
        <f t="shared" si="0"/>
        <v>5.3</v>
      </c>
      <c r="D36" s="6">
        <v>9.7000000000000003E-2</v>
      </c>
      <c r="E36" s="9">
        <v>0.80486111111111114</v>
      </c>
      <c r="F36" s="12">
        <v>2.4950000000000001</v>
      </c>
      <c r="G36" s="15">
        <f t="shared" si="1"/>
        <v>2.1895280000000001</v>
      </c>
    </row>
    <row r="37" spans="1:7" x14ac:dyDescent="0.25">
      <c r="A37" s="2" t="s">
        <v>76</v>
      </c>
      <c r="B37" s="6">
        <v>4.7E-2</v>
      </c>
      <c r="C37" s="6">
        <f t="shared" si="0"/>
        <v>4.7</v>
      </c>
      <c r="D37" s="6">
        <v>7.6999999999999999E-2</v>
      </c>
      <c r="E37" s="9">
        <v>0.87638888888888899</v>
      </c>
      <c r="F37" s="12">
        <v>2.0139999999999998</v>
      </c>
      <c r="G37" s="15">
        <f t="shared" si="1"/>
        <v>1.7085279999999998</v>
      </c>
    </row>
    <row r="38" spans="1:7" x14ac:dyDescent="0.25">
      <c r="A38" s="2" t="s">
        <v>78</v>
      </c>
      <c r="B38" s="6">
        <v>4.2000000000000003E-2</v>
      </c>
      <c r="C38" s="6">
        <f t="shared" si="0"/>
        <v>4.2</v>
      </c>
      <c r="D38" s="6">
        <v>9.4E-2</v>
      </c>
      <c r="E38" s="9">
        <v>0.62083333333333335</v>
      </c>
      <c r="F38" s="12">
        <v>1.851</v>
      </c>
      <c r="G38" s="15">
        <f t="shared" si="1"/>
        <v>1.545528</v>
      </c>
    </row>
    <row r="39" spans="1:7" x14ac:dyDescent="0.25">
      <c r="A39" s="2" t="s">
        <v>80</v>
      </c>
      <c r="B39" s="6">
        <v>4.4999999999999998E-2</v>
      </c>
      <c r="C39" s="6">
        <f t="shared" si="0"/>
        <v>4.5</v>
      </c>
      <c r="D39" s="6">
        <v>0.12</v>
      </c>
      <c r="E39" s="9">
        <v>0.62638888888888888</v>
      </c>
      <c r="F39" s="12">
        <v>2.0659999999999998</v>
      </c>
      <c r="G39" s="15">
        <f t="shared" si="1"/>
        <v>1.7605279999999999</v>
      </c>
    </row>
    <row r="40" spans="1:7" x14ac:dyDescent="0.25">
      <c r="A40" s="2" t="s">
        <v>82</v>
      </c>
      <c r="B40" s="6">
        <v>0.09</v>
      </c>
      <c r="C40" s="6">
        <f t="shared" si="0"/>
        <v>9</v>
      </c>
      <c r="D40" s="6">
        <v>0.36199999999999999</v>
      </c>
      <c r="E40" s="9">
        <v>0.67569444444444438</v>
      </c>
      <c r="F40" s="12">
        <v>3.867</v>
      </c>
      <c r="G40" s="15">
        <f t="shared" si="1"/>
        <v>3.561528</v>
      </c>
    </row>
    <row r="41" spans="1:7" x14ac:dyDescent="0.25">
      <c r="A41" s="2" t="s">
        <v>84</v>
      </c>
      <c r="B41" s="6">
        <v>8.3000000000000004E-2</v>
      </c>
      <c r="C41" s="6">
        <f t="shared" si="0"/>
        <v>8.3000000000000007</v>
      </c>
      <c r="D41" s="6">
        <v>0.20799999999999999</v>
      </c>
      <c r="E41" s="9">
        <v>0.70694444444444438</v>
      </c>
      <c r="F41" s="12">
        <v>3.9740000000000002</v>
      </c>
      <c r="G41" s="15">
        <f t="shared" si="1"/>
        <v>3.6685280000000002</v>
      </c>
    </row>
    <row r="42" spans="1:7" x14ac:dyDescent="0.25">
      <c r="A42" s="2" t="s">
        <v>86</v>
      </c>
      <c r="B42" s="6">
        <v>6.7000000000000004E-2</v>
      </c>
      <c r="C42" s="6">
        <f t="shared" si="0"/>
        <v>6.7</v>
      </c>
      <c r="D42" s="6">
        <v>0.13200000000000001</v>
      </c>
      <c r="E42" s="9">
        <v>0.74861111111111101</v>
      </c>
      <c r="F42" s="12">
        <v>3.1560000000000001</v>
      </c>
      <c r="G42" s="15">
        <f t="shared" si="1"/>
        <v>2.8505280000000002</v>
      </c>
    </row>
    <row r="43" spans="1:7" x14ac:dyDescent="0.25">
      <c r="A43" s="2" t="s">
        <v>88</v>
      </c>
      <c r="B43" s="6">
        <v>4.8000000000000001E-2</v>
      </c>
      <c r="C43" s="6">
        <f t="shared" si="0"/>
        <v>4.8</v>
      </c>
      <c r="D43" s="6">
        <v>8.5999999999999993E-2</v>
      </c>
      <c r="E43" s="9">
        <v>0.84236111111111101</v>
      </c>
      <c r="F43" s="12">
        <v>2.1930000000000001</v>
      </c>
      <c r="G43" s="15">
        <f t="shared" si="1"/>
        <v>1.8875280000000001</v>
      </c>
    </row>
    <row r="44" spans="1:7" x14ac:dyDescent="0.25">
      <c r="A44" s="2" t="s">
        <v>90</v>
      </c>
      <c r="B44" s="6">
        <v>2.4E-2</v>
      </c>
      <c r="C44" s="6">
        <f t="shared" si="0"/>
        <v>2.4</v>
      </c>
      <c r="D44" s="6">
        <v>3.3000000000000002E-2</v>
      </c>
      <c r="G44" s="15"/>
    </row>
    <row r="45" spans="1:7" x14ac:dyDescent="0.25">
      <c r="A45" s="2" t="s">
        <v>92</v>
      </c>
      <c r="B45" s="6">
        <v>3.3000000000000002E-2</v>
      </c>
      <c r="C45" s="6">
        <f t="shared" si="0"/>
        <v>3.3000000000000003</v>
      </c>
      <c r="D45" s="6">
        <v>6.8000000000000005E-2</v>
      </c>
      <c r="G45" s="15"/>
    </row>
    <row r="46" spans="1:7" x14ac:dyDescent="0.25">
      <c r="A46" s="2" t="s">
        <v>94</v>
      </c>
      <c r="B46" s="6">
        <v>0.52500000000000002</v>
      </c>
      <c r="C46" s="6">
        <f t="shared" si="0"/>
        <v>52.5</v>
      </c>
      <c r="D46" s="6">
        <v>0.746</v>
      </c>
      <c r="G46" s="15"/>
    </row>
    <row r="47" spans="1:7" x14ac:dyDescent="0.25">
      <c r="A47" s="2" t="s">
        <v>96</v>
      </c>
      <c r="B47" s="6">
        <v>0.01</v>
      </c>
      <c r="C47" s="6">
        <f t="shared" si="0"/>
        <v>1</v>
      </c>
      <c r="D47" s="6">
        <v>0.17499999999999999</v>
      </c>
      <c r="G47" s="15"/>
    </row>
    <row r="48" spans="1:7" x14ac:dyDescent="0.25">
      <c r="A48" s="2" t="s">
        <v>98</v>
      </c>
      <c r="B48" s="6">
        <v>4.8000000000000001E-2</v>
      </c>
      <c r="C48" s="6">
        <f t="shared" si="0"/>
        <v>4.8</v>
      </c>
      <c r="D48" s="6">
        <v>5.8999999999999997E-2</v>
      </c>
      <c r="G48" s="15"/>
    </row>
    <row r="50" spans="1:5" x14ac:dyDescent="0.25">
      <c r="A50" s="10">
        <v>44400.541666666664</v>
      </c>
      <c r="B50">
        <v>0.97899999999999998</v>
      </c>
      <c r="C50"/>
      <c r="D50" s="11">
        <v>0.54166666666666663</v>
      </c>
      <c r="E50">
        <v>13</v>
      </c>
    </row>
    <row r="51" spans="1:5" x14ac:dyDescent="0.25">
      <c r="A51" s="10">
        <v>44400.5625</v>
      </c>
      <c r="B51">
        <v>1.1160000000000001</v>
      </c>
      <c r="C51"/>
      <c r="D51" s="11">
        <v>0.5625</v>
      </c>
      <c r="E51">
        <v>13.5</v>
      </c>
    </row>
    <row r="52" spans="1:5" x14ac:dyDescent="0.25">
      <c r="A52" s="10">
        <v>44400.583333333336</v>
      </c>
      <c r="B52">
        <v>1.054</v>
      </c>
      <c r="C52"/>
      <c r="D52" s="11">
        <v>0.58333333333333337</v>
      </c>
      <c r="E52">
        <v>14</v>
      </c>
    </row>
    <row r="53" spans="1:5" x14ac:dyDescent="0.25">
      <c r="A53" s="10">
        <v>44400.604166666664</v>
      </c>
      <c r="B53">
        <v>1.161</v>
      </c>
      <c r="C53"/>
      <c r="D53" s="11">
        <v>0.60416666666666663</v>
      </c>
      <c r="E53">
        <v>14.5</v>
      </c>
    </row>
    <row r="54" spans="1:5" x14ac:dyDescent="0.25">
      <c r="A54" s="10">
        <v>44400.625</v>
      </c>
      <c r="B54">
        <v>2.024</v>
      </c>
      <c r="C54"/>
      <c r="D54" s="11">
        <v>0.625</v>
      </c>
      <c r="E54">
        <v>15</v>
      </c>
    </row>
    <row r="55" spans="1:5" x14ac:dyDescent="0.25">
      <c r="A55" s="10">
        <v>44400.645833333336</v>
      </c>
      <c r="B55">
        <v>2.6480000000000001</v>
      </c>
      <c r="C55"/>
      <c r="D55" s="13">
        <v>0.64583333333333337</v>
      </c>
      <c r="E55">
        <v>15.5</v>
      </c>
    </row>
    <row r="56" spans="1:5" x14ac:dyDescent="0.25">
      <c r="A56" s="10">
        <v>44400.666666666664</v>
      </c>
      <c r="B56">
        <v>3.64</v>
      </c>
      <c r="C56"/>
      <c r="D56" s="13">
        <v>0.66666666666666663</v>
      </c>
      <c r="E56">
        <v>16</v>
      </c>
    </row>
    <row r="57" spans="1:5" x14ac:dyDescent="0.25">
      <c r="A57" s="10">
        <v>44400.6875</v>
      </c>
      <c r="B57">
        <v>4.1639999999999997</v>
      </c>
      <c r="C57"/>
      <c r="D57" s="11">
        <v>0.6875</v>
      </c>
      <c r="E57">
        <v>16.5</v>
      </c>
    </row>
    <row r="58" spans="1:5" x14ac:dyDescent="0.25">
      <c r="A58" s="10">
        <v>44400.708333333336</v>
      </c>
      <c r="B58">
        <v>3.96</v>
      </c>
      <c r="C58"/>
      <c r="D58" s="11">
        <v>0.70833333333333337</v>
      </c>
      <c r="E58">
        <v>17</v>
      </c>
    </row>
    <row r="59" spans="1:5" x14ac:dyDescent="0.25">
      <c r="A59" s="10">
        <v>44400.729166666664</v>
      </c>
      <c r="B59">
        <v>3.516</v>
      </c>
      <c r="C59"/>
      <c r="D59" s="11">
        <v>0.72916666666666663</v>
      </c>
      <c r="E59">
        <v>17.5</v>
      </c>
    </row>
    <row r="60" spans="1:5" x14ac:dyDescent="0.25">
      <c r="A60" s="10">
        <v>44400.75</v>
      </c>
      <c r="B60">
        <v>3.13</v>
      </c>
      <c r="C60"/>
      <c r="D60" s="11">
        <v>0.75</v>
      </c>
      <c r="E60">
        <v>18</v>
      </c>
    </row>
    <row r="61" spans="1:5" x14ac:dyDescent="0.25">
      <c r="A61" s="10">
        <v>44400.770833333336</v>
      </c>
      <c r="B61">
        <v>2.847</v>
      </c>
      <c r="C61"/>
      <c r="D61" s="11">
        <v>0.77083333333333337</v>
      </c>
      <c r="E61">
        <v>18.5</v>
      </c>
    </row>
    <row r="62" spans="1:5" x14ac:dyDescent="0.25">
      <c r="A62" s="10">
        <v>44400.791666666664</v>
      </c>
      <c r="B62">
        <v>2.6110000000000002</v>
      </c>
      <c r="C62"/>
      <c r="D62" s="11">
        <v>0.79166666666666663</v>
      </c>
      <c r="E62">
        <v>19</v>
      </c>
    </row>
    <row r="63" spans="1:5" x14ac:dyDescent="0.25">
      <c r="A63" s="10">
        <v>44400.8125</v>
      </c>
      <c r="B63">
        <v>2.4279999999999999</v>
      </c>
      <c r="C63"/>
      <c r="D63" s="11">
        <v>0.8125</v>
      </c>
      <c r="E63">
        <v>19.5</v>
      </c>
    </row>
    <row r="64" spans="1:5" x14ac:dyDescent="0.25">
      <c r="A64" s="10">
        <v>44400.833333333336</v>
      </c>
      <c r="B64">
        <v>2.2469999999999999</v>
      </c>
      <c r="C64"/>
      <c r="D64" s="11">
        <v>0.83333333333333337</v>
      </c>
      <c r="E64">
        <v>20</v>
      </c>
    </row>
    <row r="65" spans="1:5" x14ac:dyDescent="0.25">
      <c r="A65" s="10">
        <v>44400.854166666664</v>
      </c>
      <c r="B65">
        <v>2.1230000000000002</v>
      </c>
      <c r="C65"/>
      <c r="D65" s="11">
        <v>0.85416666666666663</v>
      </c>
      <c r="E65">
        <v>20.5</v>
      </c>
    </row>
    <row r="66" spans="1:5" x14ac:dyDescent="0.25">
      <c r="A66" s="10">
        <v>44400.875</v>
      </c>
      <c r="B66">
        <v>2.0190000000000001</v>
      </c>
      <c r="C66"/>
      <c r="D66" s="11">
        <v>0.875</v>
      </c>
      <c r="E66">
        <v>21</v>
      </c>
    </row>
    <row r="67" spans="1:5" x14ac:dyDescent="0.25">
      <c r="A67" s="10">
        <v>44400.895833333336</v>
      </c>
      <c r="B67">
        <v>1.94</v>
      </c>
      <c r="C67"/>
      <c r="D67" s="11">
        <v>0.89583333333333337</v>
      </c>
      <c r="E67">
        <v>21.5</v>
      </c>
    </row>
    <row r="68" spans="1:5" x14ac:dyDescent="0.25">
      <c r="A68" s="10">
        <v>44400.916666666664</v>
      </c>
      <c r="B68">
        <v>1.883</v>
      </c>
      <c r="C68"/>
      <c r="D68" s="11">
        <v>0.91666666666666663</v>
      </c>
      <c r="E68">
        <v>22</v>
      </c>
    </row>
    <row r="69" spans="1:5" x14ac:dyDescent="0.25">
      <c r="A69" s="10">
        <v>44400.9375</v>
      </c>
      <c r="B69">
        <v>1.8360000000000001</v>
      </c>
      <c r="C69"/>
      <c r="D69" s="11">
        <v>0.9375</v>
      </c>
      <c r="E69">
        <v>22.5</v>
      </c>
    </row>
    <row r="70" spans="1:5" x14ac:dyDescent="0.25">
      <c r="A70" s="10">
        <v>44400.958333333336</v>
      </c>
      <c r="B70">
        <v>1.794</v>
      </c>
      <c r="C70"/>
      <c r="D70" s="11">
        <v>0.95833333333333337</v>
      </c>
      <c r="E70">
        <v>23</v>
      </c>
    </row>
    <row r="71" spans="1:5" x14ac:dyDescent="0.25">
      <c r="A71" s="10">
        <v>44400.979166666664</v>
      </c>
      <c r="B71">
        <v>1.75</v>
      </c>
      <c r="C71"/>
      <c r="D71" s="11">
        <v>0.97916666666666663</v>
      </c>
      <c r="E71">
        <v>23.5</v>
      </c>
    </row>
    <row r="72" spans="1:5" x14ac:dyDescent="0.25">
      <c r="A72" s="10">
        <v>44401</v>
      </c>
      <c r="B72">
        <v>1.714</v>
      </c>
      <c r="C72"/>
      <c r="D72" s="11">
        <v>1</v>
      </c>
      <c r="E72">
        <v>24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06054-7740-4EC3-A1A9-8EDD386EE73D}">
  <dimension ref="A1:D17"/>
  <sheetViews>
    <sheetView workbookViewId="0">
      <selection activeCell="B18" sqref="B18"/>
    </sheetView>
  </sheetViews>
  <sheetFormatPr defaultRowHeight="15" x14ac:dyDescent="0.25"/>
  <cols>
    <col min="1" max="2" width="14.42578125" customWidth="1"/>
  </cols>
  <sheetData>
    <row r="1" spans="1:4" ht="60" x14ac:dyDescent="0.25">
      <c r="A1" s="14" t="s">
        <v>103</v>
      </c>
      <c r="B1" s="1" t="s">
        <v>108</v>
      </c>
      <c r="C1" s="3" t="s">
        <v>99</v>
      </c>
      <c r="D1" s="3" t="s">
        <v>100</v>
      </c>
    </row>
    <row r="2" spans="1:4" x14ac:dyDescent="0.25">
      <c r="A2" s="2">
        <v>1</v>
      </c>
      <c r="B2" s="2">
        <v>0</v>
      </c>
      <c r="C2" s="6">
        <v>2.3E-2</v>
      </c>
      <c r="D2" s="6">
        <v>0.03</v>
      </c>
    </row>
    <row r="3" spans="1:4" x14ac:dyDescent="0.25">
      <c r="A3" s="2">
        <v>2</v>
      </c>
      <c r="B3" s="2">
        <v>3</v>
      </c>
      <c r="C3" s="6">
        <v>2.1999999999999999E-2</v>
      </c>
      <c r="D3" s="6">
        <v>3.9E-2</v>
      </c>
    </row>
    <row r="4" spans="1:4" x14ac:dyDescent="0.25">
      <c r="A4" s="2">
        <v>3</v>
      </c>
      <c r="B4" s="2">
        <v>6</v>
      </c>
      <c r="C4" s="6">
        <v>2.4E-2</v>
      </c>
      <c r="D4" s="6">
        <v>4.5999999999999999E-2</v>
      </c>
    </row>
    <row r="5" spans="1:4" x14ac:dyDescent="0.25">
      <c r="A5" s="2">
        <v>4</v>
      </c>
      <c r="B5" s="2">
        <v>9</v>
      </c>
      <c r="C5" s="6">
        <v>2.1999999999999999E-2</v>
      </c>
      <c r="D5" s="6">
        <v>7.1999999999999995E-2</v>
      </c>
    </row>
    <row r="6" spans="1:4" x14ac:dyDescent="0.25">
      <c r="A6" s="2">
        <v>5</v>
      </c>
      <c r="B6" s="2">
        <v>12</v>
      </c>
      <c r="C6" s="6">
        <v>1.9E-2</v>
      </c>
      <c r="D6" s="6">
        <v>8.1000000000000003E-2</v>
      </c>
    </row>
    <row r="7" spans="1:4" x14ac:dyDescent="0.25">
      <c r="A7" s="2">
        <v>6</v>
      </c>
      <c r="B7" s="2">
        <v>15</v>
      </c>
      <c r="C7" s="6">
        <v>1.7999999999999999E-2</v>
      </c>
      <c r="D7" s="6">
        <v>0.11799999999999999</v>
      </c>
    </row>
    <row r="8" spans="1:4" x14ac:dyDescent="0.25">
      <c r="A8" s="2">
        <v>7</v>
      </c>
      <c r="B8" s="2">
        <v>18</v>
      </c>
      <c r="C8" s="6">
        <v>1.9E-2</v>
      </c>
      <c r="D8" s="6">
        <v>0.05</v>
      </c>
    </row>
    <row r="9" spans="1:4" x14ac:dyDescent="0.25">
      <c r="A9" s="2">
        <v>8</v>
      </c>
      <c r="B9" s="2">
        <v>21</v>
      </c>
      <c r="C9" s="6">
        <v>1.9E-2</v>
      </c>
      <c r="D9" s="6">
        <v>3.3000000000000002E-2</v>
      </c>
    </row>
    <row r="10" spans="1:4" x14ac:dyDescent="0.25">
      <c r="A10" s="2">
        <v>9</v>
      </c>
      <c r="B10" s="2">
        <v>24</v>
      </c>
      <c r="C10" s="6">
        <v>1.9E-2</v>
      </c>
      <c r="D10" s="6">
        <v>0.03</v>
      </c>
    </row>
    <row r="11" spans="1:4" x14ac:dyDescent="0.25">
      <c r="A11" s="2">
        <v>10</v>
      </c>
      <c r="B11" s="2">
        <v>27</v>
      </c>
      <c r="C11" s="6">
        <v>2.1000000000000001E-2</v>
      </c>
      <c r="D11" s="6">
        <v>2.7E-2</v>
      </c>
    </row>
    <row r="12" spans="1:4" x14ac:dyDescent="0.25">
      <c r="A12" s="2">
        <v>11</v>
      </c>
      <c r="B12" s="2">
        <v>30</v>
      </c>
      <c r="C12" s="6">
        <v>2.1999999999999999E-2</v>
      </c>
      <c r="D12" s="6">
        <v>2.7E-2</v>
      </c>
    </row>
    <row r="13" spans="1:4" x14ac:dyDescent="0.25">
      <c r="A13" s="2">
        <v>12</v>
      </c>
      <c r="B13" s="2">
        <v>33</v>
      </c>
      <c r="C13" s="6">
        <v>1.9E-2</v>
      </c>
      <c r="D13" s="6">
        <v>2.5999999999999999E-2</v>
      </c>
    </row>
    <row r="14" spans="1:4" x14ac:dyDescent="0.25">
      <c r="A14" s="2">
        <v>13</v>
      </c>
      <c r="B14" s="2">
        <v>36</v>
      </c>
      <c r="C14" s="6">
        <v>0.02</v>
      </c>
      <c r="D14" s="6">
        <v>3.1E-2</v>
      </c>
    </row>
    <row r="15" spans="1:4" x14ac:dyDescent="0.25">
      <c r="A15" s="2">
        <v>14</v>
      </c>
      <c r="B15" s="2">
        <v>39</v>
      </c>
      <c r="C15" s="6">
        <v>0.02</v>
      </c>
      <c r="D15" s="6">
        <v>2.4E-2</v>
      </c>
    </row>
    <row r="16" spans="1:4" x14ac:dyDescent="0.25">
      <c r="A16" s="2">
        <v>15</v>
      </c>
      <c r="B16" s="2">
        <v>42</v>
      </c>
      <c r="C16" s="6">
        <v>2.1999999999999999E-2</v>
      </c>
      <c r="D16" s="6">
        <v>2.5000000000000001E-2</v>
      </c>
    </row>
    <row r="17" spans="1:4" x14ac:dyDescent="0.25">
      <c r="A17" s="2">
        <v>16</v>
      </c>
      <c r="B17" s="2">
        <v>45</v>
      </c>
      <c r="C17" s="6">
        <v>2.1000000000000001E-2</v>
      </c>
      <c r="D17" s="6">
        <v>0.03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 de ark</vt:lpstr>
      <vt:lpstr>Hyst. Graphs</vt:lpstr>
      <vt:lpstr>Exp. Graphs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Bradley J Austin</dc:creator>
  <cp:lastModifiedBy>Hucke Nunez, Nicole (huck4481@vandals.uidaho.edu)</cp:lastModifiedBy>
  <dcterms:created xsi:type="dcterms:W3CDTF">2022-02-03T15:24:35Z</dcterms:created>
  <dcterms:modified xsi:type="dcterms:W3CDTF">2026-05-20T18:46:45Z</dcterms:modified>
</cp:coreProperties>
</file>