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hysteresis\experiments\HI_calculations\"/>
    </mc:Choice>
  </mc:AlternateContent>
  <xr:revisionPtr revIDLastSave="0" documentId="13_ncr:1_{DAFD4490-D255-427A-9DA0-010D5F99CBE0}" xr6:coauthVersionLast="47" xr6:coauthVersionMax="47" xr10:uidLastSave="{00000000-0000-0000-0000-000000000000}"/>
  <bookViews>
    <workbookView xWindow="-25320" yWindow="360" windowWidth="25440" windowHeight="15270" xr2:uid="{79B9BBCE-B8B3-479F-8F8D-5E0698834AC3}"/>
  </bookViews>
  <sheets>
    <sheet name="Sheet1" sheetId="1" r:id="rId1"/>
    <sheet name="constituent correl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C29" i="1"/>
  <c r="C28" i="1"/>
  <c r="C27" i="1"/>
  <c r="C26" i="1"/>
  <c r="C25" i="1"/>
  <c r="C24" i="1"/>
  <c r="C23" i="1"/>
  <c r="C20" i="1"/>
  <c r="C19" i="1"/>
  <c r="C18" i="1"/>
  <c r="C17" i="1"/>
  <c r="C16" i="1"/>
  <c r="C15" i="1"/>
  <c r="C14" i="1"/>
  <c r="C11" i="1"/>
  <c r="C10" i="1"/>
  <c r="D11" i="1" s="1"/>
  <c r="C9" i="1"/>
  <c r="C8" i="1"/>
  <c r="C7" i="1"/>
  <c r="C6" i="1"/>
  <c r="C5" i="1"/>
  <c r="F11" i="1"/>
  <c r="F10" i="1"/>
  <c r="F9" i="1"/>
  <c r="F8" i="1"/>
  <c r="F7" i="1"/>
  <c r="F6" i="1"/>
  <c r="F5" i="1"/>
  <c r="D20" i="1" l="1"/>
  <c r="D29" i="1"/>
</calcChain>
</file>

<file path=xl/sharedStrings.xml><?xml version="1.0" encoding="utf-8"?>
<sst xmlns="http://schemas.openxmlformats.org/spreadsheetml/2006/main" count="188" uniqueCount="33">
  <si>
    <t>DOC (mg/L)</t>
  </si>
  <si>
    <t>POC (mg/L)</t>
  </si>
  <si>
    <t xml:space="preserve">Experiment Hysteresis </t>
  </si>
  <si>
    <t>Experiment 2</t>
  </si>
  <si>
    <t>Experiment 3</t>
  </si>
  <si>
    <t>Experiment 4</t>
  </si>
  <si>
    <t>Experiment 5</t>
  </si>
  <si>
    <t>Experiment 6</t>
  </si>
  <si>
    <t>Experiment 7</t>
  </si>
  <si>
    <t xml:space="preserve">SSC (mg/L) </t>
  </si>
  <si>
    <t>SSC (mg/L)</t>
  </si>
  <si>
    <t>Aich</t>
  </si>
  <si>
    <t>Clockwise</t>
  </si>
  <si>
    <t>Counter-clockwise</t>
  </si>
  <si>
    <t>Lab ID</t>
  </si>
  <si>
    <t>Date_Time</t>
  </si>
  <si>
    <t>Depth</t>
  </si>
  <si>
    <t>SSC (uL/L)</t>
  </si>
  <si>
    <t>Armor Moved?</t>
  </si>
  <si>
    <t>Max Depth (cm)</t>
  </si>
  <si>
    <t>yes</t>
  </si>
  <si>
    <t>no</t>
  </si>
  <si>
    <t>armor removed</t>
  </si>
  <si>
    <t>Peak Constituent (mg/L)</t>
  </si>
  <si>
    <t>Largest moved size</t>
  </si>
  <si>
    <t>-</t>
  </si>
  <si>
    <t>% moved &gt;44 mm</t>
  </si>
  <si>
    <t>% bed moved</t>
  </si>
  <si>
    <t>Experiment 8</t>
  </si>
  <si>
    <t>PP (mg/L)</t>
  </si>
  <si>
    <t xml:space="preserve">TP (mg/L) </t>
  </si>
  <si>
    <t>SRP (mg/L)</t>
  </si>
  <si>
    <t>TP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</si>
</sst>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22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22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2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2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22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2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Depth</a:t>
            </a:r>
            <a:r>
              <a:rPr lang="en-US" baseline="0"/>
              <a:t> - Peak SSC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88667782560905"/>
                  <c:y val="-0.139552113022089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Sheet1!$C$5:$C$9</c:f>
              <c:numCache>
                <c:formatCode>0.00</c:formatCode>
                <c:ptCount val="5"/>
                <c:pt idx="0">
                  <c:v>167.04416760000001</c:v>
                </c:pt>
                <c:pt idx="1">
                  <c:v>162.5418607</c:v>
                </c:pt>
                <c:pt idx="2">
                  <c:v>174.6761387</c:v>
                </c:pt>
                <c:pt idx="3">
                  <c:v>287.8289474</c:v>
                </c:pt>
                <c:pt idx="4">
                  <c:v>243.34662650000001</c:v>
                </c:pt>
              </c:numCache>
            </c:numRef>
          </c:xVal>
          <c:yVal>
            <c:numRef>
              <c:f>Sheet1!$F$5:$F$9</c:f>
              <c:numCache>
                <c:formatCode>General</c:formatCode>
                <c:ptCount val="5"/>
                <c:pt idx="0">
                  <c:v>22.75</c:v>
                </c:pt>
                <c:pt idx="1">
                  <c:v>21.992000000000001</c:v>
                </c:pt>
                <c:pt idx="2">
                  <c:v>21.641999999999999</c:v>
                </c:pt>
                <c:pt idx="3">
                  <c:v>21.291</c:v>
                </c:pt>
                <c:pt idx="4">
                  <c:v>23.274999999999999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E-4233-992D-47261C6C0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Depth</a:t>
            </a:r>
            <a:r>
              <a:rPr lang="en-US" baseline="0"/>
              <a:t> - Peak POC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88667782560905"/>
                  <c:y val="-0.139552113022089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Sheet1!$C$14:$C$18</c:f>
              <c:numCache>
                <c:formatCode>0.00</c:formatCode>
                <c:ptCount val="5"/>
                <c:pt idx="0">
                  <c:v>12.33049707</c:v>
                </c:pt>
                <c:pt idx="1">
                  <c:v>12.04121088</c:v>
                </c:pt>
                <c:pt idx="2">
                  <c:v>10.93014432</c:v>
                </c:pt>
                <c:pt idx="3">
                  <c:v>24.660150940000001</c:v>
                </c:pt>
                <c:pt idx="4">
                  <c:v>20.72610796</c:v>
                </c:pt>
              </c:numCache>
            </c:numRef>
          </c:xVal>
          <c:yVal>
            <c:numRef>
              <c:f>Sheet1!$F$5:$F$9</c:f>
              <c:numCache>
                <c:formatCode>General</c:formatCode>
                <c:ptCount val="5"/>
                <c:pt idx="0">
                  <c:v>22.75</c:v>
                </c:pt>
                <c:pt idx="1">
                  <c:v>21.992000000000001</c:v>
                </c:pt>
                <c:pt idx="2">
                  <c:v>21.641999999999999</c:v>
                </c:pt>
                <c:pt idx="3">
                  <c:v>21.291</c:v>
                </c:pt>
                <c:pt idx="4">
                  <c:v>23.274999999999999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5E-4FB3-93AC-B66AAE226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Depth</a:t>
            </a:r>
            <a:r>
              <a:rPr lang="en-US" baseline="0"/>
              <a:t> - Peak DOC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274124680358594"/>
                  <c:y val="-5.029324912796594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Sheet1!$C$23:$C$27</c:f>
              <c:numCache>
                <c:formatCode>General</c:formatCode>
                <c:ptCount val="5"/>
                <c:pt idx="0">
                  <c:v>2.64</c:v>
                </c:pt>
                <c:pt idx="1">
                  <c:v>3.0089999999999999</c:v>
                </c:pt>
                <c:pt idx="2">
                  <c:v>2.8980000000000001</c:v>
                </c:pt>
                <c:pt idx="3">
                  <c:v>2.3029999999999999</c:v>
                </c:pt>
                <c:pt idx="4">
                  <c:v>2.883</c:v>
                </c:pt>
              </c:numCache>
            </c:numRef>
          </c:xVal>
          <c:yVal>
            <c:numRef>
              <c:f>Sheet1!$F$5:$F$9</c:f>
              <c:numCache>
                <c:formatCode>General</c:formatCode>
                <c:ptCount val="5"/>
                <c:pt idx="0">
                  <c:v>22.75</c:v>
                </c:pt>
                <c:pt idx="1">
                  <c:v>21.992000000000001</c:v>
                </c:pt>
                <c:pt idx="2">
                  <c:v>21.641999999999999</c:v>
                </c:pt>
                <c:pt idx="3">
                  <c:v>21.291</c:v>
                </c:pt>
                <c:pt idx="4">
                  <c:v>23.274999999999999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49-491C-B70A-A7480AD3B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</a:t>
            </a:r>
            <a:r>
              <a:rPr lang="en-US" baseline="0"/>
              <a:t>- max depth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Sheet1!$B$4</c:f>
              <c:strCache>
                <c:ptCount val="1"/>
                <c:pt idx="0">
                  <c:v>Aich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535005298777314"/>
                  <c:y val="-0.1361353748858395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Sheet1!$F$5:$F$9</c:f>
              <c:numCache>
                <c:formatCode>General</c:formatCode>
                <c:ptCount val="5"/>
                <c:pt idx="0">
                  <c:v>22.75</c:v>
                </c:pt>
                <c:pt idx="1">
                  <c:v>21.992000000000001</c:v>
                </c:pt>
                <c:pt idx="2">
                  <c:v>21.641999999999999</c:v>
                </c:pt>
                <c:pt idx="3">
                  <c:v>21.291</c:v>
                </c:pt>
                <c:pt idx="4">
                  <c:v>23.274999999999999</c:v>
                </c:pt>
              </c:numCache>
            </c:numRef>
          </c:xVal>
          <c:yVal>
            <c:numRef>
              <c:f>Sheet1!$B$5:$B$9</c:f>
              <c:numCache>
                <c:formatCode>0.000</c:formatCode>
                <c:ptCount val="5"/>
                <c:pt idx="0">
                  <c:v>0.453436795025429</c:v>
                </c:pt>
                <c:pt idx="1">
                  <c:v>0.14144997157405101</c:v>
                </c:pt>
                <c:pt idx="2">
                  <c:v>0.13607881876945299</c:v>
                </c:pt>
                <c:pt idx="3">
                  <c:v>0.61769731984154397</c:v>
                </c:pt>
                <c:pt idx="4">
                  <c:v>0.66455526442613699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A9-4C14-9726-1168DCD6B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3804207805497044"/>
          <c:y val="0.8517740200507723"/>
          <c:w val="0.52874664173110819"/>
          <c:h val="9.2213760165225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 </a:t>
            </a:r>
            <a:r>
              <a:rPr lang="en-US" baseline="0"/>
              <a:t>- max depth</a:t>
            </a:r>
            <a:endParaRPr lang="en-US"/>
          </a:p>
        </c:rich>
      </c:tx>
      <c:layout>
        <c:manualLayout>
          <c:xMode val="edge"/>
          <c:yMode val="edge"/>
          <c:x val="0.30301112966268756"/>
          <c:y val="4.9180327868852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Sheet1!$B$13</c:f>
              <c:strCache>
                <c:ptCount val="1"/>
                <c:pt idx="0">
                  <c:v>Aich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1241662726741195E-2"/>
                  <c:y val="0.242434060496536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Sheet1!$F$5:$F$9</c:f>
              <c:numCache>
                <c:formatCode>General</c:formatCode>
                <c:ptCount val="5"/>
                <c:pt idx="0">
                  <c:v>22.75</c:v>
                </c:pt>
                <c:pt idx="1">
                  <c:v>21.992000000000001</c:v>
                </c:pt>
                <c:pt idx="2">
                  <c:v>21.641999999999999</c:v>
                </c:pt>
                <c:pt idx="3">
                  <c:v>21.291</c:v>
                </c:pt>
                <c:pt idx="4">
                  <c:v>23.274999999999999</c:v>
                </c:pt>
              </c:numCache>
            </c:numRef>
          </c:xVal>
          <c:yVal>
            <c:numRef>
              <c:f>Sheet1!$B$14:$B$18</c:f>
              <c:numCache>
                <c:formatCode>0.000</c:formatCode>
                <c:ptCount val="5"/>
                <c:pt idx="0">
                  <c:v>0.262211557214444</c:v>
                </c:pt>
                <c:pt idx="1">
                  <c:v>0.15997395020695501</c:v>
                </c:pt>
                <c:pt idx="2">
                  <c:v>-2.5566841037180299E-3</c:v>
                </c:pt>
                <c:pt idx="3">
                  <c:v>0.62020718230999505</c:v>
                </c:pt>
                <c:pt idx="4">
                  <c:v>0.78199948801270402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39-487E-A311-BCCCAA7A3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3804207805497044"/>
          <c:y val="0.8517740200507723"/>
          <c:w val="0.52874664173110819"/>
          <c:h val="9.2213760165225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</a:t>
            </a:r>
            <a:r>
              <a:rPr lang="en-US" baseline="0"/>
              <a:t>- max depth</a:t>
            </a:r>
            <a:endParaRPr lang="en-US"/>
          </a:p>
        </c:rich>
      </c:tx>
      <c:layout>
        <c:manualLayout>
          <c:xMode val="edge"/>
          <c:yMode val="edge"/>
          <c:x val="0.30301112966268756"/>
          <c:y val="4.9180327868852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Sheet1!$B$22</c:f>
              <c:strCache>
                <c:ptCount val="1"/>
                <c:pt idx="0">
                  <c:v>Aich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282458767050835"/>
                  <c:y val="-8.7987755560450395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Sheet1!$F$5:$F$9</c:f>
              <c:numCache>
                <c:formatCode>General</c:formatCode>
                <c:ptCount val="5"/>
                <c:pt idx="0">
                  <c:v>22.75</c:v>
                </c:pt>
                <c:pt idx="1">
                  <c:v>21.992000000000001</c:v>
                </c:pt>
                <c:pt idx="2">
                  <c:v>21.641999999999999</c:v>
                </c:pt>
                <c:pt idx="3">
                  <c:v>21.291</c:v>
                </c:pt>
                <c:pt idx="4">
                  <c:v>23.274999999999999</c:v>
                </c:pt>
              </c:numCache>
            </c:numRef>
          </c:xVal>
          <c:yVal>
            <c:numRef>
              <c:f>Sheet1!$B$23:$B$27</c:f>
              <c:numCache>
                <c:formatCode>0.000</c:formatCode>
                <c:ptCount val="5"/>
                <c:pt idx="0">
                  <c:v>8.2872285708523799E-2</c:v>
                </c:pt>
                <c:pt idx="1">
                  <c:v>-0.120864394889326</c:v>
                </c:pt>
                <c:pt idx="2">
                  <c:v>1.1974710137234199E-2</c:v>
                </c:pt>
                <c:pt idx="3">
                  <c:v>-9.3327819128066702E-2</c:v>
                </c:pt>
                <c:pt idx="4">
                  <c:v>-7.3285474508812898E-2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0F-4F8C-BA92-5CCDAB8D9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3804207805497044"/>
          <c:y val="0.8517740200507723"/>
          <c:w val="0.52874664173110819"/>
          <c:h val="9.2213760165225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</a:t>
            </a:r>
            <a:r>
              <a:rPr lang="en-US" baseline="0"/>
              <a:t>-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Bed Moved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31102733533501"/>
          <c:y val="0.20525062473719646"/>
          <c:w val="0.6855728393477023"/>
          <c:h val="0.42244042937473991"/>
        </c:manualLayout>
      </c:layout>
      <c:scatterChart>
        <c:scatterStyle val="lineMarker"/>
        <c:varyColors val="0"/>
        <c:ser>
          <c:idx val="2"/>
          <c:order val="0"/>
          <c:tx>
            <c:strRef>
              <c:f>Sheet1!$B$4</c:f>
              <c:strCache>
                <c:ptCount val="1"/>
                <c:pt idx="0">
                  <c:v>Aich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714173298657231"/>
                  <c:y val="1.942949021009035E-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Sheet1!$I$5:$I$9</c:f>
              <c:numCache>
                <c:formatCode>0.00</c:formatCode>
                <c:ptCount val="5"/>
                <c:pt idx="0">
                  <c:v>71.428571428571431</c:v>
                </c:pt>
                <c:pt idx="1">
                  <c:v>77.272727272727266</c:v>
                </c:pt>
                <c:pt idx="2">
                  <c:v>36.363636363636367</c:v>
                </c:pt>
                <c:pt idx="3">
                  <c:v>40</c:v>
                </c:pt>
                <c:pt idx="4">
                  <c:v>47.826086956521742</c:v>
                </c:pt>
              </c:numCache>
            </c:numRef>
          </c:xVal>
          <c:yVal>
            <c:numRef>
              <c:f>Sheet1!$B$5:$B$9</c:f>
              <c:numCache>
                <c:formatCode>0.000</c:formatCode>
                <c:ptCount val="5"/>
                <c:pt idx="0">
                  <c:v>0.453436795025429</c:v>
                </c:pt>
                <c:pt idx="1">
                  <c:v>0.14144997157405101</c:v>
                </c:pt>
                <c:pt idx="2">
                  <c:v>0.13607881876945299</c:v>
                </c:pt>
                <c:pt idx="3">
                  <c:v>0.61769731984154397</c:v>
                </c:pt>
                <c:pt idx="4">
                  <c:v>0.66455526442613699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E6-4FE1-8321-4E3B373DD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Moved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3804207805497044"/>
          <c:y val="0.8517740200507723"/>
          <c:w val="0.52874664173110819"/>
          <c:h val="9.2213760165225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 </a:t>
            </a:r>
            <a:r>
              <a:rPr lang="en-US" baseline="0"/>
              <a:t>-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Bed Moved</a:t>
            </a:r>
            <a:endParaRPr lang="en-US"/>
          </a:p>
        </c:rich>
      </c:tx>
      <c:layout>
        <c:manualLayout>
          <c:xMode val="edge"/>
          <c:yMode val="edge"/>
          <c:x val="0.30301112966268756"/>
          <c:y val="4.9180327868852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Sheet1!$B$13</c:f>
              <c:strCache>
                <c:ptCount val="1"/>
                <c:pt idx="0">
                  <c:v>Aich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974949422554479"/>
                  <c:y val="0.1762226238113678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Sheet1!$I$5:$I$9</c:f>
              <c:numCache>
                <c:formatCode>0.00</c:formatCode>
                <c:ptCount val="5"/>
                <c:pt idx="0">
                  <c:v>71.428571428571431</c:v>
                </c:pt>
                <c:pt idx="1">
                  <c:v>77.272727272727266</c:v>
                </c:pt>
                <c:pt idx="2">
                  <c:v>36.363636363636367</c:v>
                </c:pt>
                <c:pt idx="3">
                  <c:v>40</c:v>
                </c:pt>
                <c:pt idx="4">
                  <c:v>47.826086956521742</c:v>
                </c:pt>
              </c:numCache>
            </c:numRef>
          </c:xVal>
          <c:yVal>
            <c:numRef>
              <c:f>Sheet1!$B$14:$B$18</c:f>
              <c:numCache>
                <c:formatCode>0.000</c:formatCode>
                <c:ptCount val="5"/>
                <c:pt idx="0">
                  <c:v>0.262211557214444</c:v>
                </c:pt>
                <c:pt idx="1">
                  <c:v>0.15997395020695501</c:v>
                </c:pt>
                <c:pt idx="2">
                  <c:v>-2.5566841037180299E-3</c:v>
                </c:pt>
                <c:pt idx="3">
                  <c:v>0.62020718230999505</c:v>
                </c:pt>
                <c:pt idx="4">
                  <c:v>0.78199948801270402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A8-4C5B-9C96-7B3244B72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3804207805497044"/>
          <c:y val="0.8517740200507723"/>
          <c:w val="0.52874664173110819"/>
          <c:h val="9.2213760165225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</a:t>
            </a:r>
            <a:r>
              <a:rPr lang="en-US" baseline="0"/>
              <a:t>-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Bed Moved</a:t>
            </a:r>
            <a:endParaRPr lang="en-US"/>
          </a:p>
        </c:rich>
      </c:tx>
      <c:layout>
        <c:manualLayout>
          <c:xMode val="edge"/>
          <c:yMode val="edge"/>
          <c:x val="0.30301112966268756"/>
          <c:y val="4.9180327868852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Sheet1!$B$22</c:f>
              <c:strCache>
                <c:ptCount val="1"/>
                <c:pt idx="0">
                  <c:v>Aich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1241662726741195E-2"/>
                  <c:y val="-0.1520541284798416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Sheet1!$I$5:$I$9</c:f>
              <c:numCache>
                <c:formatCode>0.00</c:formatCode>
                <c:ptCount val="5"/>
                <c:pt idx="0">
                  <c:v>71.428571428571431</c:v>
                </c:pt>
                <c:pt idx="1">
                  <c:v>77.272727272727266</c:v>
                </c:pt>
                <c:pt idx="2">
                  <c:v>36.363636363636367</c:v>
                </c:pt>
                <c:pt idx="3">
                  <c:v>40</c:v>
                </c:pt>
                <c:pt idx="4">
                  <c:v>47.826086956521742</c:v>
                </c:pt>
              </c:numCache>
            </c:numRef>
          </c:xVal>
          <c:yVal>
            <c:numRef>
              <c:f>Sheet1!$B$23:$B$27</c:f>
              <c:numCache>
                <c:formatCode>0.000</c:formatCode>
                <c:ptCount val="5"/>
                <c:pt idx="0">
                  <c:v>8.2872285708523799E-2</c:v>
                </c:pt>
                <c:pt idx="1">
                  <c:v>-0.120864394889326</c:v>
                </c:pt>
                <c:pt idx="2">
                  <c:v>1.1974710137234199E-2</c:v>
                </c:pt>
                <c:pt idx="3">
                  <c:v>-9.3327819128066702E-2</c:v>
                </c:pt>
                <c:pt idx="4">
                  <c:v>-7.3285474508812898E-2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BC-4E11-9BBF-19EC9EBC7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3804207805497044"/>
          <c:y val="0.8517740200507723"/>
          <c:w val="0.52874664173110819"/>
          <c:h val="9.2213760165225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</a:t>
            </a:r>
            <a:r>
              <a:rPr lang="en-US" baseline="0"/>
              <a:t>-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D50 Moved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Sheet1!$B$4</c:f>
              <c:strCache>
                <c:ptCount val="1"/>
                <c:pt idx="0">
                  <c:v>Aich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0977910056006664E-2"/>
                  <c:y val="-9.206143988020223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Sheet1!$J$5:$J$9</c:f>
              <c:numCache>
                <c:formatCode>0.00</c:formatCode>
                <c:ptCount val="5"/>
                <c:pt idx="0">
                  <c:v>85.714285714285708</c:v>
                </c:pt>
                <c:pt idx="1">
                  <c:v>61.53846153846154</c:v>
                </c:pt>
                <c:pt idx="2">
                  <c:v>30.76923076923077</c:v>
                </c:pt>
                <c:pt idx="3">
                  <c:v>40</c:v>
                </c:pt>
                <c:pt idx="4">
                  <c:v>33.333333333333329</c:v>
                </c:pt>
              </c:numCache>
            </c:numRef>
          </c:xVal>
          <c:yVal>
            <c:numRef>
              <c:f>Sheet1!$B$5:$B$9</c:f>
              <c:numCache>
                <c:formatCode>0.000</c:formatCode>
                <c:ptCount val="5"/>
                <c:pt idx="0">
                  <c:v>0.453436795025429</c:v>
                </c:pt>
                <c:pt idx="1">
                  <c:v>0.14144997157405101</c:v>
                </c:pt>
                <c:pt idx="2">
                  <c:v>0.13607881876945299</c:v>
                </c:pt>
                <c:pt idx="3">
                  <c:v>0.61769731984154397</c:v>
                </c:pt>
                <c:pt idx="4">
                  <c:v>0.66455526442613699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9C-4AD3-B6EE-0FADA5E5F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Moved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3804207805497044"/>
          <c:y val="0.8517740200507723"/>
          <c:w val="0.52874664173110819"/>
          <c:h val="9.2213760165225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 </a:t>
            </a:r>
            <a:r>
              <a:rPr lang="en-US" baseline="0"/>
              <a:t>-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D50 Moved</a:t>
            </a:r>
            <a:endParaRPr lang="en-US"/>
          </a:p>
        </c:rich>
      </c:tx>
      <c:layout>
        <c:manualLayout>
          <c:xMode val="edge"/>
          <c:yMode val="edge"/>
          <c:x val="0.30301112966268756"/>
          <c:y val="4.9180327868852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Sheet1!$B$13</c:f>
              <c:strCache>
                <c:ptCount val="1"/>
                <c:pt idx="0">
                  <c:v>Aich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9486914983042574E-2"/>
                  <c:y val="-0.1907574639616403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Sheet1!$J$5:$J$9</c:f>
              <c:numCache>
                <c:formatCode>0.00</c:formatCode>
                <c:ptCount val="5"/>
                <c:pt idx="0">
                  <c:v>85.714285714285708</c:v>
                </c:pt>
                <c:pt idx="1">
                  <c:v>61.53846153846154</c:v>
                </c:pt>
                <c:pt idx="2">
                  <c:v>30.76923076923077</c:v>
                </c:pt>
                <c:pt idx="3">
                  <c:v>40</c:v>
                </c:pt>
                <c:pt idx="4">
                  <c:v>33.333333333333329</c:v>
                </c:pt>
              </c:numCache>
            </c:numRef>
          </c:xVal>
          <c:yVal>
            <c:numRef>
              <c:f>Sheet1!$B$14:$B$18</c:f>
              <c:numCache>
                <c:formatCode>0.000</c:formatCode>
                <c:ptCount val="5"/>
                <c:pt idx="0">
                  <c:v>0.262211557214444</c:v>
                </c:pt>
                <c:pt idx="1">
                  <c:v>0.15997395020695501</c:v>
                </c:pt>
                <c:pt idx="2">
                  <c:v>-2.5566841037180299E-3</c:v>
                </c:pt>
                <c:pt idx="3">
                  <c:v>0.62020718230999505</c:v>
                </c:pt>
                <c:pt idx="4">
                  <c:v>0.78199948801270402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FB-42AF-B79B-D5E2D924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3804207805497044"/>
          <c:y val="0.8517740200507723"/>
          <c:w val="0.52874664173110819"/>
          <c:h val="9.2213760165225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</a:t>
            </a:r>
            <a:r>
              <a:rPr lang="en-US" baseline="0"/>
              <a:t>-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D50 Moved</a:t>
            </a:r>
            <a:endParaRPr lang="en-US"/>
          </a:p>
        </c:rich>
      </c:tx>
      <c:layout>
        <c:manualLayout>
          <c:xMode val="edge"/>
          <c:yMode val="edge"/>
          <c:x val="0.30301112966268756"/>
          <c:y val="4.9180327868852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Sheet1!$B$22</c:f>
              <c:strCache>
                <c:ptCount val="1"/>
                <c:pt idx="0">
                  <c:v>Aich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1241662726741195E-2"/>
                  <c:y val="-0.1520541284798416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Sheet1!$J$5:$J$9</c:f>
              <c:numCache>
                <c:formatCode>0.00</c:formatCode>
                <c:ptCount val="5"/>
                <c:pt idx="0">
                  <c:v>85.714285714285708</c:v>
                </c:pt>
                <c:pt idx="1">
                  <c:v>61.53846153846154</c:v>
                </c:pt>
                <c:pt idx="2">
                  <c:v>30.76923076923077</c:v>
                </c:pt>
                <c:pt idx="3">
                  <c:v>40</c:v>
                </c:pt>
                <c:pt idx="4">
                  <c:v>33.333333333333329</c:v>
                </c:pt>
              </c:numCache>
            </c:numRef>
          </c:xVal>
          <c:yVal>
            <c:numRef>
              <c:f>Sheet1!$B$23:$B$27</c:f>
              <c:numCache>
                <c:formatCode>0.000</c:formatCode>
                <c:ptCount val="5"/>
                <c:pt idx="0">
                  <c:v>8.2872285708523799E-2</c:v>
                </c:pt>
                <c:pt idx="1">
                  <c:v>-0.120864394889326</c:v>
                </c:pt>
                <c:pt idx="2">
                  <c:v>1.1974710137234199E-2</c:v>
                </c:pt>
                <c:pt idx="3">
                  <c:v>-9.3327819128066702E-2</c:v>
                </c:pt>
                <c:pt idx="4">
                  <c:v>-7.3285474508812898E-2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37-4188-8729-C7C0C5940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3804207805497044"/>
          <c:y val="0.8517740200507723"/>
          <c:w val="0.52874664173110819"/>
          <c:h val="9.2213760165225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</a:t>
            </a:r>
            <a:r>
              <a:rPr lang="en-US" baseline="0"/>
              <a:t> </a:t>
            </a:r>
            <a:r>
              <a:rPr lang="en-US"/>
              <a:t>HI to POC</a:t>
            </a:r>
            <a:r>
              <a:rPr lang="en-US" baseline="0"/>
              <a:t> HI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977602799650044"/>
                  <c:y val="-4.724883347914844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0.000</c:formatCode>
                <c:ptCount val="5"/>
                <c:pt idx="0">
                  <c:v>0.453436795025429</c:v>
                </c:pt>
                <c:pt idx="1">
                  <c:v>0.14144997157405101</c:v>
                </c:pt>
                <c:pt idx="2">
                  <c:v>0.13607881876945299</c:v>
                </c:pt>
                <c:pt idx="3">
                  <c:v>0.61769731984154397</c:v>
                </c:pt>
                <c:pt idx="4">
                  <c:v>0.66455526442613699</c:v>
                </c:pt>
              </c:numCache>
            </c:numRef>
          </c:xVal>
          <c:yVal>
            <c:numRef>
              <c:f>Sheet1!$B$14:$B$18</c:f>
              <c:numCache>
                <c:formatCode>0.000</c:formatCode>
                <c:ptCount val="5"/>
                <c:pt idx="0">
                  <c:v>0.262211557214444</c:v>
                </c:pt>
                <c:pt idx="1">
                  <c:v>0.15997395020695501</c:v>
                </c:pt>
                <c:pt idx="2">
                  <c:v>-2.5566841037180299E-3</c:v>
                </c:pt>
                <c:pt idx="3">
                  <c:v>0.62020718230999505</c:v>
                </c:pt>
                <c:pt idx="4">
                  <c:v>0.78199948801270402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CE-4B85-94F2-97BE322DD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728464"/>
        <c:axId val="420663184"/>
      </c:scatterChart>
      <c:valAx>
        <c:axId val="91972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63184"/>
        <c:crosses val="autoZero"/>
        <c:crossBetween val="midCat"/>
      </c:valAx>
      <c:valAx>
        <c:axId val="4206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Depth</a:t>
            </a:r>
            <a:r>
              <a:rPr lang="en-US" baseline="0"/>
              <a:t> - Peak SSC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303526383781843"/>
                  <c:y val="-8.63562344184393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0.000</c:formatCode>
                <c:ptCount val="5"/>
                <c:pt idx="0">
                  <c:v>0.453436795025429</c:v>
                </c:pt>
                <c:pt idx="1">
                  <c:v>0.14144997157405101</c:v>
                </c:pt>
                <c:pt idx="2">
                  <c:v>0.13607881876945299</c:v>
                </c:pt>
                <c:pt idx="3">
                  <c:v>0.61769731984154397</c:v>
                </c:pt>
                <c:pt idx="4">
                  <c:v>0.66455526442613699</c:v>
                </c:pt>
              </c:numCache>
            </c:numRef>
          </c:xVal>
          <c:yVal>
            <c:numRef>
              <c:f>Sheet1!$C$5:$C$9</c:f>
              <c:numCache>
                <c:formatCode>0.00</c:formatCode>
                <c:ptCount val="5"/>
                <c:pt idx="0">
                  <c:v>167.04416760000001</c:v>
                </c:pt>
                <c:pt idx="1">
                  <c:v>162.5418607</c:v>
                </c:pt>
                <c:pt idx="2">
                  <c:v>174.6761387</c:v>
                </c:pt>
                <c:pt idx="3">
                  <c:v>287.8289474</c:v>
                </c:pt>
                <c:pt idx="4">
                  <c:v>243.34662650000001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98-4ADC-A1B3-4B9CC8A35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3552"/>
        <c:axId val="1720623952"/>
      </c:scatterChart>
      <c:valAx>
        <c:axId val="17206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3952"/>
        <c:crosses val="autoZero"/>
        <c:crossBetween val="midCat"/>
      </c:valAx>
      <c:valAx>
        <c:axId val="1720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SSC (uL/L)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correlations'!$E$4:$E$71</c:f>
              <c:numCache>
                <c:formatCode>0.0</c:formatCode>
                <c:ptCount val="68"/>
                <c:pt idx="0">
                  <c:v>97.69</c:v>
                </c:pt>
                <c:pt idx="1">
                  <c:v>347.61</c:v>
                </c:pt>
                <c:pt idx="2">
                  <c:v>191.85</c:v>
                </c:pt>
                <c:pt idx="3">
                  <c:v>176.97</c:v>
                </c:pt>
                <c:pt idx="4">
                  <c:v>127.27</c:v>
                </c:pt>
                <c:pt idx="5">
                  <c:v>83.04</c:v>
                </c:pt>
                <c:pt idx="6">
                  <c:v>68.69</c:v>
                </c:pt>
                <c:pt idx="7">
                  <c:v>62.04</c:v>
                </c:pt>
                <c:pt idx="8">
                  <c:v>61.07</c:v>
                </c:pt>
                <c:pt idx="9">
                  <c:v>48.37</c:v>
                </c:pt>
                <c:pt idx="10">
                  <c:v>29.69</c:v>
                </c:pt>
                <c:pt idx="11">
                  <c:v>28.69</c:v>
                </c:pt>
                <c:pt idx="12">
                  <c:v>22.43</c:v>
                </c:pt>
                <c:pt idx="13">
                  <c:v>0</c:v>
                </c:pt>
                <c:pt idx="14">
                  <c:v>31.7</c:v>
                </c:pt>
                <c:pt idx="15">
                  <c:v>93.36</c:v>
                </c:pt>
                <c:pt idx="16">
                  <c:v>229.76</c:v>
                </c:pt>
                <c:pt idx="17">
                  <c:v>127.13</c:v>
                </c:pt>
                <c:pt idx="18">
                  <c:v>187.73</c:v>
                </c:pt>
                <c:pt idx="19">
                  <c:v>112.47</c:v>
                </c:pt>
                <c:pt idx="20">
                  <c:v>84.69</c:v>
                </c:pt>
                <c:pt idx="21">
                  <c:v>97.42</c:v>
                </c:pt>
                <c:pt idx="22">
                  <c:v>78.81</c:v>
                </c:pt>
                <c:pt idx="23">
                  <c:v>72.819999999999993</c:v>
                </c:pt>
                <c:pt idx="24">
                  <c:v>55.81</c:v>
                </c:pt>
                <c:pt idx="25">
                  <c:v>45.61</c:v>
                </c:pt>
                <c:pt idx="26">
                  <c:v>47.12</c:v>
                </c:pt>
                <c:pt idx="27">
                  <c:v>34.58</c:v>
                </c:pt>
                <c:pt idx="28">
                  <c:v>34.630000000000003</c:v>
                </c:pt>
                <c:pt idx="29">
                  <c:v>36.229999999999997</c:v>
                </c:pt>
                <c:pt idx="30">
                  <c:v>64.61</c:v>
                </c:pt>
                <c:pt idx="31">
                  <c:v>275.95999999999998</c:v>
                </c:pt>
                <c:pt idx="32">
                  <c:v>159.29</c:v>
                </c:pt>
                <c:pt idx="33">
                  <c:v>121.26</c:v>
                </c:pt>
                <c:pt idx="34">
                  <c:v>90.81</c:v>
                </c:pt>
                <c:pt idx="35">
                  <c:v>71.319999999999993</c:v>
                </c:pt>
                <c:pt idx="36">
                  <c:v>77.03</c:v>
                </c:pt>
                <c:pt idx="37">
                  <c:v>143.56</c:v>
                </c:pt>
                <c:pt idx="38">
                  <c:v>97.7</c:v>
                </c:pt>
                <c:pt idx="39">
                  <c:v>55.95</c:v>
                </c:pt>
                <c:pt idx="40">
                  <c:v>41.32</c:v>
                </c:pt>
                <c:pt idx="41">
                  <c:v>38.15</c:v>
                </c:pt>
                <c:pt idx="42">
                  <c:v>33.28</c:v>
                </c:pt>
                <c:pt idx="43">
                  <c:v>90.23</c:v>
                </c:pt>
                <c:pt idx="44">
                  <c:v>526.33000000000004</c:v>
                </c:pt>
                <c:pt idx="45">
                  <c:v>360.745</c:v>
                </c:pt>
                <c:pt idx="46">
                  <c:v>168.16</c:v>
                </c:pt>
                <c:pt idx="47">
                  <c:v>165.58</c:v>
                </c:pt>
                <c:pt idx="48">
                  <c:v>161.72</c:v>
                </c:pt>
                <c:pt idx="49">
                  <c:v>132.56</c:v>
                </c:pt>
                <c:pt idx="50">
                  <c:v>131.22999999999999</c:v>
                </c:pt>
                <c:pt idx="51">
                  <c:v>94.15</c:v>
                </c:pt>
                <c:pt idx="52">
                  <c:v>77.58</c:v>
                </c:pt>
                <c:pt idx="53">
                  <c:v>61.94</c:v>
                </c:pt>
                <c:pt idx="54">
                  <c:v>48.68</c:v>
                </c:pt>
                <c:pt idx="55">
                  <c:v>90.43</c:v>
                </c:pt>
                <c:pt idx="56">
                  <c:v>426.28</c:v>
                </c:pt>
                <c:pt idx="57">
                  <c:v>258.72000000000003</c:v>
                </c:pt>
                <c:pt idx="58">
                  <c:v>227.15</c:v>
                </c:pt>
                <c:pt idx="59">
                  <c:v>176.59</c:v>
                </c:pt>
                <c:pt idx="60">
                  <c:v>181.06</c:v>
                </c:pt>
                <c:pt idx="61">
                  <c:v>157</c:v>
                </c:pt>
                <c:pt idx="62">
                  <c:v>134.22999999999999</c:v>
                </c:pt>
                <c:pt idx="63">
                  <c:v>88.31</c:v>
                </c:pt>
                <c:pt idx="64">
                  <c:v>88.72</c:v>
                </c:pt>
                <c:pt idx="65">
                  <c:v>71.86</c:v>
                </c:pt>
                <c:pt idx="66">
                  <c:v>59.21</c:v>
                </c:pt>
                <c:pt idx="67">
                  <c:v>51.52</c:v>
                </c:pt>
              </c:numCache>
            </c:numRef>
          </c:xVal>
          <c:yVal>
            <c:numRef>
              <c:f>'constituent correlations'!$F$4:$F$71</c:f>
              <c:numCache>
                <c:formatCode>0.0</c:formatCode>
                <c:ptCount val="68"/>
                <c:pt idx="0">
                  <c:v>167.04416760000001</c:v>
                </c:pt>
                <c:pt idx="1">
                  <c:v>145.0786205</c:v>
                </c:pt>
                <c:pt idx="2">
                  <c:v>76.137884869999993</c:v>
                </c:pt>
                <c:pt idx="3">
                  <c:v>47.967684929999997</c:v>
                </c:pt>
                <c:pt idx="4">
                  <c:v>67.326074309999996</c:v>
                </c:pt>
                <c:pt idx="5">
                  <c:v>61.268421920000002</c:v>
                </c:pt>
                <c:pt idx="6">
                  <c:v>40.782355389999999</c:v>
                </c:pt>
                <c:pt idx="7">
                  <c:v>43.350237200000002</c:v>
                </c:pt>
                <c:pt idx="8">
                  <c:v>37.341299480000004</c:v>
                </c:pt>
                <c:pt idx="9">
                  <c:v>22.213081039999999</c:v>
                </c:pt>
                <c:pt idx="10">
                  <c:v>20.67311668</c:v>
                </c:pt>
                <c:pt idx="11">
                  <c:v>12.54810105</c:v>
                </c:pt>
                <c:pt idx="12">
                  <c:v>10.726957670000001</c:v>
                </c:pt>
                <c:pt idx="13">
                  <c:v>6.5843621399999996</c:v>
                </c:pt>
                <c:pt idx="14">
                  <c:v>22.819885899999999</c:v>
                </c:pt>
                <c:pt idx="15">
                  <c:v>66.633761109999995</c:v>
                </c:pt>
                <c:pt idx="16">
                  <c:v>162.5418607</c:v>
                </c:pt>
                <c:pt idx="17">
                  <c:v>89.561960589999998</c:v>
                </c:pt>
                <c:pt idx="18">
                  <c:v>87.538194730000001</c:v>
                </c:pt>
                <c:pt idx="19">
                  <c:v>67.359667360000003</c:v>
                </c:pt>
                <c:pt idx="20">
                  <c:v>61.637080869999998</c:v>
                </c:pt>
                <c:pt idx="21">
                  <c:v>37.633968750000001</c:v>
                </c:pt>
                <c:pt idx="22">
                  <c:v>49.685326269999997</c:v>
                </c:pt>
                <c:pt idx="23">
                  <c:v>30.500370950000001</c:v>
                </c:pt>
                <c:pt idx="24">
                  <c:v>27.990450320000001</c:v>
                </c:pt>
                <c:pt idx="25">
                  <c:v>16.57275439</c:v>
                </c:pt>
                <c:pt idx="26">
                  <c:v>18.368539699999999</c:v>
                </c:pt>
                <c:pt idx="27">
                  <c:v>6.458383789</c:v>
                </c:pt>
                <c:pt idx="28">
                  <c:v>11.36179192</c:v>
                </c:pt>
                <c:pt idx="29">
                  <c:v>11.501807429999999</c:v>
                </c:pt>
                <c:pt idx="30">
                  <c:v>52.16959258</c:v>
                </c:pt>
                <c:pt idx="31">
                  <c:v>174.6761387</c:v>
                </c:pt>
                <c:pt idx="32">
                  <c:v>78.177538670000004</c:v>
                </c:pt>
                <c:pt idx="33">
                  <c:v>74.758733179999993</c:v>
                </c:pt>
                <c:pt idx="34">
                  <c:v>52.974735129999999</c:v>
                </c:pt>
                <c:pt idx="35">
                  <c:v>40.183696900000001</c:v>
                </c:pt>
                <c:pt idx="36">
                  <c:v>43.398430980000001</c:v>
                </c:pt>
                <c:pt idx="37">
                  <c:v>77.334430280000007</c:v>
                </c:pt>
                <c:pt idx="38">
                  <c:v>58.59536189</c:v>
                </c:pt>
                <c:pt idx="39">
                  <c:v>23.829087919999999</c:v>
                </c:pt>
                <c:pt idx="40">
                  <c:v>26.223059899999999</c:v>
                </c:pt>
                <c:pt idx="41">
                  <c:v>17.731993580000001</c:v>
                </c:pt>
                <c:pt idx="42">
                  <c:v>18.922254219999999</c:v>
                </c:pt>
                <c:pt idx="43">
                  <c:v>70.553888569999998</c:v>
                </c:pt>
                <c:pt idx="44">
                  <c:v>287.8289474</c:v>
                </c:pt>
                <c:pt idx="45">
                  <c:v>200.0498049</c:v>
                </c:pt>
                <c:pt idx="46">
                  <c:v>112.46027220000001</c:v>
                </c:pt>
                <c:pt idx="47">
                  <c:v>111.4662733</c:v>
                </c:pt>
                <c:pt idx="48">
                  <c:v>79.809116340000003</c:v>
                </c:pt>
                <c:pt idx="49">
                  <c:v>80.492813139999996</c:v>
                </c:pt>
                <c:pt idx="50">
                  <c:v>69.473161860000005</c:v>
                </c:pt>
                <c:pt idx="51">
                  <c:v>54.027504909999998</c:v>
                </c:pt>
                <c:pt idx="52">
                  <c:v>44.106836559999998</c:v>
                </c:pt>
                <c:pt idx="53">
                  <c:v>33.532346449999999</c:v>
                </c:pt>
                <c:pt idx="54">
                  <c:v>23.144321380000001</c:v>
                </c:pt>
                <c:pt idx="55">
                  <c:v>62.139769450000003</c:v>
                </c:pt>
                <c:pt idx="56">
                  <c:v>243.34662650000001</c:v>
                </c:pt>
                <c:pt idx="57">
                  <c:v>134.52914799999999</c:v>
                </c:pt>
                <c:pt idx="58">
                  <c:v>135.40290619999999</c:v>
                </c:pt>
                <c:pt idx="59">
                  <c:v>99.901736</c:v>
                </c:pt>
                <c:pt idx="60">
                  <c:v>98.606470540000004</c:v>
                </c:pt>
                <c:pt idx="61">
                  <c:v>93.938898870000003</c:v>
                </c:pt>
                <c:pt idx="62">
                  <c:v>56.216392370000001</c:v>
                </c:pt>
                <c:pt idx="63">
                  <c:v>56.813503500000003</c:v>
                </c:pt>
                <c:pt idx="64">
                  <c:v>48.527718370000002</c:v>
                </c:pt>
                <c:pt idx="65">
                  <c:v>41.608876559999999</c:v>
                </c:pt>
                <c:pt idx="66">
                  <c:v>27.029240720000001</c:v>
                </c:pt>
                <c:pt idx="67">
                  <c:v>22.11845662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0C-4974-A858-468B7BE51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POC (mg/L)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correlations'!$F$4:$F$71</c:f>
              <c:numCache>
                <c:formatCode>0.0</c:formatCode>
                <c:ptCount val="68"/>
                <c:pt idx="0">
                  <c:v>167.04416760000001</c:v>
                </c:pt>
                <c:pt idx="1">
                  <c:v>145.0786205</c:v>
                </c:pt>
                <c:pt idx="2">
                  <c:v>76.137884869999993</c:v>
                </c:pt>
                <c:pt idx="3">
                  <c:v>47.967684929999997</c:v>
                </c:pt>
                <c:pt idx="4">
                  <c:v>67.326074309999996</c:v>
                </c:pt>
                <c:pt idx="5">
                  <c:v>61.268421920000002</c:v>
                </c:pt>
                <c:pt idx="6">
                  <c:v>40.782355389999999</c:v>
                </c:pt>
                <c:pt idx="7">
                  <c:v>43.350237200000002</c:v>
                </c:pt>
                <c:pt idx="8">
                  <c:v>37.341299480000004</c:v>
                </c:pt>
                <c:pt idx="9">
                  <c:v>22.213081039999999</c:v>
                </c:pt>
                <c:pt idx="10">
                  <c:v>20.67311668</c:v>
                </c:pt>
                <c:pt idx="11">
                  <c:v>12.54810105</c:v>
                </c:pt>
                <c:pt idx="12">
                  <c:v>10.726957670000001</c:v>
                </c:pt>
                <c:pt idx="13">
                  <c:v>6.5843621399999996</c:v>
                </c:pt>
                <c:pt idx="14">
                  <c:v>22.819885899999999</c:v>
                </c:pt>
                <c:pt idx="15">
                  <c:v>66.633761109999995</c:v>
                </c:pt>
                <c:pt idx="16">
                  <c:v>162.5418607</c:v>
                </c:pt>
                <c:pt idx="17">
                  <c:v>89.561960589999998</c:v>
                </c:pt>
                <c:pt idx="18">
                  <c:v>87.538194730000001</c:v>
                </c:pt>
                <c:pt idx="19">
                  <c:v>67.359667360000003</c:v>
                </c:pt>
                <c:pt idx="20">
                  <c:v>61.637080869999998</c:v>
                </c:pt>
                <c:pt idx="21">
                  <c:v>37.633968750000001</c:v>
                </c:pt>
                <c:pt idx="22">
                  <c:v>49.685326269999997</c:v>
                </c:pt>
                <c:pt idx="23">
                  <c:v>30.500370950000001</c:v>
                </c:pt>
                <c:pt idx="24">
                  <c:v>27.990450320000001</c:v>
                </c:pt>
                <c:pt idx="25">
                  <c:v>16.57275439</c:v>
                </c:pt>
                <c:pt idx="26">
                  <c:v>18.368539699999999</c:v>
                </c:pt>
                <c:pt idx="27">
                  <c:v>6.458383789</c:v>
                </c:pt>
                <c:pt idx="28">
                  <c:v>11.36179192</c:v>
                </c:pt>
                <c:pt idx="29">
                  <c:v>11.501807429999999</c:v>
                </c:pt>
                <c:pt idx="30">
                  <c:v>52.16959258</c:v>
                </c:pt>
                <c:pt idx="31">
                  <c:v>174.6761387</c:v>
                </c:pt>
                <c:pt idx="32">
                  <c:v>78.177538670000004</c:v>
                </c:pt>
                <c:pt idx="33">
                  <c:v>74.758733179999993</c:v>
                </c:pt>
                <c:pt idx="34">
                  <c:v>52.974735129999999</c:v>
                </c:pt>
                <c:pt idx="35">
                  <c:v>40.183696900000001</c:v>
                </c:pt>
                <c:pt idx="36">
                  <c:v>43.398430980000001</c:v>
                </c:pt>
                <c:pt idx="37">
                  <c:v>77.334430280000007</c:v>
                </c:pt>
                <c:pt idx="38">
                  <c:v>58.59536189</c:v>
                </c:pt>
                <c:pt idx="39">
                  <c:v>23.829087919999999</c:v>
                </c:pt>
                <c:pt idx="40">
                  <c:v>26.223059899999999</c:v>
                </c:pt>
                <c:pt idx="41">
                  <c:v>17.731993580000001</c:v>
                </c:pt>
                <c:pt idx="42">
                  <c:v>18.922254219999999</c:v>
                </c:pt>
                <c:pt idx="43">
                  <c:v>70.553888569999998</c:v>
                </c:pt>
                <c:pt idx="44">
                  <c:v>287.8289474</c:v>
                </c:pt>
                <c:pt idx="45">
                  <c:v>200.0498049</c:v>
                </c:pt>
                <c:pt idx="46">
                  <c:v>112.46027220000001</c:v>
                </c:pt>
                <c:pt idx="47">
                  <c:v>111.4662733</c:v>
                </c:pt>
                <c:pt idx="48">
                  <c:v>79.809116340000003</c:v>
                </c:pt>
                <c:pt idx="49">
                  <c:v>80.492813139999996</c:v>
                </c:pt>
                <c:pt idx="50">
                  <c:v>69.473161860000005</c:v>
                </c:pt>
                <c:pt idx="51">
                  <c:v>54.027504909999998</c:v>
                </c:pt>
                <c:pt idx="52">
                  <c:v>44.106836559999998</c:v>
                </c:pt>
                <c:pt idx="53">
                  <c:v>33.532346449999999</c:v>
                </c:pt>
                <c:pt idx="54">
                  <c:v>23.144321380000001</c:v>
                </c:pt>
                <c:pt idx="55">
                  <c:v>62.139769450000003</c:v>
                </c:pt>
                <c:pt idx="56">
                  <c:v>243.34662650000001</c:v>
                </c:pt>
                <c:pt idx="57">
                  <c:v>134.52914799999999</c:v>
                </c:pt>
                <c:pt idx="58">
                  <c:v>135.40290619999999</c:v>
                </c:pt>
                <c:pt idx="59">
                  <c:v>99.901736</c:v>
                </c:pt>
                <c:pt idx="60">
                  <c:v>98.606470540000004</c:v>
                </c:pt>
                <c:pt idx="61">
                  <c:v>93.938898870000003</c:v>
                </c:pt>
                <c:pt idx="62">
                  <c:v>56.216392370000001</c:v>
                </c:pt>
                <c:pt idx="63">
                  <c:v>56.813503500000003</c:v>
                </c:pt>
                <c:pt idx="64">
                  <c:v>48.527718370000002</c:v>
                </c:pt>
                <c:pt idx="65">
                  <c:v>41.608876559999999</c:v>
                </c:pt>
                <c:pt idx="66">
                  <c:v>27.029240720000001</c:v>
                </c:pt>
                <c:pt idx="67">
                  <c:v>22.11845662</c:v>
                </c:pt>
              </c:numCache>
            </c:numRef>
          </c:xVal>
          <c:yVal>
            <c:numRef>
              <c:f>'constituent correlations'!$H$4:$H$71</c:f>
              <c:numCache>
                <c:formatCode>0.0</c:formatCode>
                <c:ptCount val="68"/>
                <c:pt idx="0">
                  <c:v>10.97452421</c:v>
                </c:pt>
                <c:pt idx="1">
                  <c:v>12.33049707</c:v>
                </c:pt>
                <c:pt idx="3">
                  <c:v>4.9671491120000004</c:v>
                </c:pt>
                <c:pt idx="4">
                  <c:v>8.8903534999999998</c:v>
                </c:pt>
                <c:pt idx="11">
                  <c:v>3.2415982130000001</c:v>
                </c:pt>
                <c:pt idx="14">
                  <c:v>3.3278897669999998</c:v>
                </c:pt>
                <c:pt idx="15">
                  <c:v>6.6628506349999999</c:v>
                </c:pt>
                <c:pt idx="16">
                  <c:v>12.04121088</c:v>
                </c:pt>
                <c:pt idx="18">
                  <c:v>8.058197302</c:v>
                </c:pt>
                <c:pt idx="21">
                  <c:v>5.0565465879999998</c:v>
                </c:pt>
                <c:pt idx="22">
                  <c:v>3.736428037</c:v>
                </c:pt>
                <c:pt idx="25">
                  <c:v>2.771444281</c:v>
                </c:pt>
                <c:pt idx="30">
                  <c:v>4.5952285179999999</c:v>
                </c:pt>
                <c:pt idx="31">
                  <c:v>10.93014432</c:v>
                </c:pt>
                <c:pt idx="33">
                  <c:v>8.9789966309999993</c:v>
                </c:pt>
                <c:pt idx="36">
                  <c:v>4.599424687</c:v>
                </c:pt>
                <c:pt idx="41">
                  <c:v>3.2584248140000001</c:v>
                </c:pt>
                <c:pt idx="43">
                  <c:v>8.3572964289999998</c:v>
                </c:pt>
                <c:pt idx="44">
                  <c:v>24.660150940000001</c:v>
                </c:pt>
                <c:pt idx="45">
                  <c:v>16.60466516</c:v>
                </c:pt>
                <c:pt idx="46">
                  <c:v>10.359493649999999</c:v>
                </c:pt>
                <c:pt idx="48">
                  <c:v>9.2838971560000001</c:v>
                </c:pt>
                <c:pt idx="52">
                  <c:v>5.254678427</c:v>
                </c:pt>
                <c:pt idx="55">
                  <c:v>5.3161272320000004</c:v>
                </c:pt>
                <c:pt idx="56">
                  <c:v>20.72610796</c:v>
                </c:pt>
                <c:pt idx="58">
                  <c:v>11.66797622</c:v>
                </c:pt>
                <c:pt idx="60">
                  <c:v>6.6757924820000003</c:v>
                </c:pt>
                <c:pt idx="64">
                  <c:v>5.6309098449999997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69-4041-A675-17AF50096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  <a:r>
              <a:rPr lang="en-US" baseline="0"/>
              <a:t> vs POC (mg/L)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correlations'!$G$4:$G$71</c:f>
              <c:numCache>
                <c:formatCode>0.0</c:formatCode>
                <c:ptCount val="68"/>
                <c:pt idx="0">
                  <c:v>2.64</c:v>
                </c:pt>
                <c:pt idx="1">
                  <c:v>2.3839999999999999</c:v>
                </c:pt>
                <c:pt idx="2">
                  <c:v>2.2839999999999998</c:v>
                </c:pt>
                <c:pt idx="3">
                  <c:v>2.423</c:v>
                </c:pt>
                <c:pt idx="4">
                  <c:v>2.488</c:v>
                </c:pt>
                <c:pt idx="5">
                  <c:v>2.4729999999999999</c:v>
                </c:pt>
                <c:pt idx="6">
                  <c:v>2.3140000000000001</c:v>
                </c:pt>
                <c:pt idx="7">
                  <c:v>2.4020000000000001</c:v>
                </c:pt>
                <c:pt idx="8">
                  <c:v>2.278</c:v>
                </c:pt>
                <c:pt idx="9">
                  <c:v>2.2730000000000001</c:v>
                </c:pt>
                <c:pt idx="10">
                  <c:v>2.3010000000000002</c:v>
                </c:pt>
                <c:pt idx="11">
                  <c:v>2.3130000000000002</c:v>
                </c:pt>
                <c:pt idx="12">
                  <c:v>2.3079999999999998</c:v>
                </c:pt>
                <c:pt idx="13">
                  <c:v>2.214</c:v>
                </c:pt>
                <c:pt idx="14">
                  <c:v>2.718</c:v>
                </c:pt>
                <c:pt idx="15">
                  <c:v>2.6819999999999999</c:v>
                </c:pt>
                <c:pt idx="16">
                  <c:v>2.6440000000000001</c:v>
                </c:pt>
                <c:pt idx="17">
                  <c:v>2.7519999999999998</c:v>
                </c:pt>
                <c:pt idx="18">
                  <c:v>2.8079999999999998</c:v>
                </c:pt>
                <c:pt idx="19">
                  <c:v>3.0089999999999999</c:v>
                </c:pt>
                <c:pt idx="20">
                  <c:v>2.7839999999999998</c:v>
                </c:pt>
                <c:pt idx="21">
                  <c:v>2.7559999999999998</c:v>
                </c:pt>
                <c:pt idx="22">
                  <c:v>2.8039999999999998</c:v>
                </c:pt>
                <c:pt idx="23">
                  <c:v>2.8039999999999998</c:v>
                </c:pt>
                <c:pt idx="24">
                  <c:v>2.8639999999999999</c:v>
                </c:pt>
                <c:pt idx="25">
                  <c:v>2.76</c:v>
                </c:pt>
                <c:pt idx="26">
                  <c:v>2.7690000000000001</c:v>
                </c:pt>
                <c:pt idx="27">
                  <c:v>2.7410000000000001</c:v>
                </c:pt>
                <c:pt idx="28">
                  <c:v>2.7519999999999998</c:v>
                </c:pt>
                <c:pt idx="29">
                  <c:v>2.7389999999999999</c:v>
                </c:pt>
                <c:pt idx="30">
                  <c:v>2.8980000000000001</c:v>
                </c:pt>
                <c:pt idx="31">
                  <c:v>2.7160000000000002</c:v>
                </c:pt>
                <c:pt idx="32">
                  <c:v>2.7010000000000001</c:v>
                </c:pt>
                <c:pt idx="33">
                  <c:v>2.7810000000000001</c:v>
                </c:pt>
                <c:pt idx="34">
                  <c:v>2.831</c:v>
                </c:pt>
                <c:pt idx="35">
                  <c:v>2.7629999999999999</c:v>
                </c:pt>
                <c:pt idx="36">
                  <c:v>2.8140000000000001</c:v>
                </c:pt>
                <c:pt idx="37">
                  <c:v>2.7469999999999999</c:v>
                </c:pt>
                <c:pt idx="38">
                  <c:v>2.7410000000000001</c:v>
                </c:pt>
                <c:pt idx="39">
                  <c:v>2.7749999999999999</c:v>
                </c:pt>
                <c:pt idx="40">
                  <c:v>2.7330000000000001</c:v>
                </c:pt>
                <c:pt idx="41">
                  <c:v>2.7559999999999998</c:v>
                </c:pt>
                <c:pt idx="42">
                  <c:v>2.7850000000000001</c:v>
                </c:pt>
                <c:pt idx="43">
                  <c:v>2.1829999999999998</c:v>
                </c:pt>
                <c:pt idx="44">
                  <c:v>2.1179999999999999</c:v>
                </c:pt>
                <c:pt idx="45">
                  <c:v>2.073</c:v>
                </c:pt>
                <c:pt idx="46">
                  <c:v>2.0289999999999999</c:v>
                </c:pt>
                <c:pt idx="47">
                  <c:v>2.0779999999999998</c:v>
                </c:pt>
                <c:pt idx="48">
                  <c:v>2.1640000000000001</c:v>
                </c:pt>
                <c:pt idx="49">
                  <c:v>2.1720000000000002</c:v>
                </c:pt>
                <c:pt idx="50">
                  <c:v>2.3029999999999999</c:v>
                </c:pt>
                <c:pt idx="51">
                  <c:v>2.2890000000000001</c:v>
                </c:pt>
                <c:pt idx="52">
                  <c:v>2.1890000000000001</c:v>
                </c:pt>
                <c:pt idx="53">
                  <c:v>2.2829999999999999</c:v>
                </c:pt>
                <c:pt idx="54">
                  <c:v>2.202</c:v>
                </c:pt>
                <c:pt idx="55">
                  <c:v>2.6309999999999998</c:v>
                </c:pt>
                <c:pt idx="56">
                  <c:v>2.581</c:v>
                </c:pt>
                <c:pt idx="57">
                  <c:v>2.5630000000000002</c:v>
                </c:pt>
                <c:pt idx="58">
                  <c:v>2.6619999999999999</c:v>
                </c:pt>
                <c:pt idx="59">
                  <c:v>2.6960000000000002</c:v>
                </c:pt>
                <c:pt idx="60">
                  <c:v>2.6989999999999998</c:v>
                </c:pt>
                <c:pt idx="61">
                  <c:v>2.742</c:v>
                </c:pt>
                <c:pt idx="62">
                  <c:v>2.7610000000000001</c:v>
                </c:pt>
                <c:pt idx="63">
                  <c:v>2.8210000000000002</c:v>
                </c:pt>
                <c:pt idx="64">
                  <c:v>2.7829999999999999</c:v>
                </c:pt>
                <c:pt idx="65">
                  <c:v>2.7559999999999998</c:v>
                </c:pt>
                <c:pt idx="66">
                  <c:v>2.883</c:v>
                </c:pt>
                <c:pt idx="67">
                  <c:v>2.84</c:v>
                </c:pt>
              </c:numCache>
            </c:numRef>
          </c:xVal>
          <c:yVal>
            <c:numRef>
              <c:f>'constituent correlations'!$H$4:$H$71</c:f>
              <c:numCache>
                <c:formatCode>0.0</c:formatCode>
                <c:ptCount val="68"/>
                <c:pt idx="0">
                  <c:v>10.97452421</c:v>
                </c:pt>
                <c:pt idx="1">
                  <c:v>12.33049707</c:v>
                </c:pt>
                <c:pt idx="3">
                  <c:v>4.9671491120000004</c:v>
                </c:pt>
                <c:pt idx="4">
                  <c:v>8.8903534999999998</c:v>
                </c:pt>
                <c:pt idx="11">
                  <c:v>3.2415982130000001</c:v>
                </c:pt>
                <c:pt idx="14">
                  <c:v>3.3278897669999998</c:v>
                </c:pt>
                <c:pt idx="15">
                  <c:v>6.6628506349999999</c:v>
                </c:pt>
                <c:pt idx="16">
                  <c:v>12.04121088</c:v>
                </c:pt>
                <c:pt idx="18">
                  <c:v>8.058197302</c:v>
                </c:pt>
                <c:pt idx="21">
                  <c:v>5.0565465879999998</c:v>
                </c:pt>
                <c:pt idx="22">
                  <c:v>3.736428037</c:v>
                </c:pt>
                <c:pt idx="25">
                  <c:v>2.771444281</c:v>
                </c:pt>
                <c:pt idx="30">
                  <c:v>4.5952285179999999</c:v>
                </c:pt>
                <c:pt idx="31">
                  <c:v>10.93014432</c:v>
                </c:pt>
                <c:pt idx="33">
                  <c:v>8.9789966309999993</c:v>
                </c:pt>
                <c:pt idx="36">
                  <c:v>4.599424687</c:v>
                </c:pt>
                <c:pt idx="41">
                  <c:v>3.2584248140000001</c:v>
                </c:pt>
                <c:pt idx="43">
                  <c:v>8.3572964289999998</c:v>
                </c:pt>
                <c:pt idx="44">
                  <c:v>24.660150940000001</c:v>
                </c:pt>
                <c:pt idx="45">
                  <c:v>16.60466516</c:v>
                </c:pt>
                <c:pt idx="46">
                  <c:v>10.359493649999999</c:v>
                </c:pt>
                <c:pt idx="48">
                  <c:v>9.2838971560000001</c:v>
                </c:pt>
                <c:pt idx="52">
                  <c:v>5.254678427</c:v>
                </c:pt>
                <c:pt idx="55">
                  <c:v>5.3161272320000004</c:v>
                </c:pt>
                <c:pt idx="56">
                  <c:v>20.72610796</c:v>
                </c:pt>
                <c:pt idx="58">
                  <c:v>11.66797622</c:v>
                </c:pt>
                <c:pt idx="60">
                  <c:v>6.6757924820000003</c:v>
                </c:pt>
                <c:pt idx="64">
                  <c:v>5.6309098449999997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6F-46EE-8437-D8BF199DE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SSC (uL/L) - Exp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correlations'!$E$4:$E$17</c:f>
              <c:numCache>
                <c:formatCode>0.0</c:formatCode>
                <c:ptCount val="14"/>
                <c:pt idx="0">
                  <c:v>97.69</c:v>
                </c:pt>
                <c:pt idx="1">
                  <c:v>347.61</c:v>
                </c:pt>
                <c:pt idx="2">
                  <c:v>191.85</c:v>
                </c:pt>
                <c:pt idx="3">
                  <c:v>176.97</c:v>
                </c:pt>
                <c:pt idx="4">
                  <c:v>127.27</c:v>
                </c:pt>
                <c:pt idx="5">
                  <c:v>83.04</c:v>
                </c:pt>
                <c:pt idx="6">
                  <c:v>68.69</c:v>
                </c:pt>
                <c:pt idx="7">
                  <c:v>62.04</c:v>
                </c:pt>
                <c:pt idx="8">
                  <c:v>61.07</c:v>
                </c:pt>
                <c:pt idx="9">
                  <c:v>48.37</c:v>
                </c:pt>
                <c:pt idx="10">
                  <c:v>29.69</c:v>
                </c:pt>
                <c:pt idx="11">
                  <c:v>28.69</c:v>
                </c:pt>
                <c:pt idx="12">
                  <c:v>22.43</c:v>
                </c:pt>
                <c:pt idx="13">
                  <c:v>0</c:v>
                </c:pt>
              </c:numCache>
            </c:numRef>
          </c:xVal>
          <c:yVal>
            <c:numRef>
              <c:f>'constituent correlations'!$F$4:$F$17</c:f>
              <c:numCache>
                <c:formatCode>0.0</c:formatCode>
                <c:ptCount val="14"/>
                <c:pt idx="0">
                  <c:v>167.04416760000001</c:v>
                </c:pt>
                <c:pt idx="1">
                  <c:v>145.0786205</c:v>
                </c:pt>
                <c:pt idx="2">
                  <c:v>76.137884869999993</c:v>
                </c:pt>
                <c:pt idx="3">
                  <c:v>47.967684929999997</c:v>
                </c:pt>
                <c:pt idx="4">
                  <c:v>67.326074309999996</c:v>
                </c:pt>
                <c:pt idx="5">
                  <c:v>61.268421920000002</c:v>
                </c:pt>
                <c:pt idx="6">
                  <c:v>40.782355389999999</c:v>
                </c:pt>
                <c:pt idx="7">
                  <c:v>43.350237200000002</c:v>
                </c:pt>
                <c:pt idx="8">
                  <c:v>37.341299480000004</c:v>
                </c:pt>
                <c:pt idx="9">
                  <c:v>22.213081039999999</c:v>
                </c:pt>
                <c:pt idx="10">
                  <c:v>20.67311668</c:v>
                </c:pt>
                <c:pt idx="11">
                  <c:v>12.54810105</c:v>
                </c:pt>
                <c:pt idx="12">
                  <c:v>10.726957670000001</c:v>
                </c:pt>
                <c:pt idx="13">
                  <c:v>6.5843621399999996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8B-430E-BA47-454CD747A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POC (mg/L) - Exp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correlations'!$F$4:$F$17</c:f>
              <c:numCache>
                <c:formatCode>0.0</c:formatCode>
                <c:ptCount val="14"/>
                <c:pt idx="0">
                  <c:v>167.04416760000001</c:v>
                </c:pt>
                <c:pt idx="1">
                  <c:v>145.0786205</c:v>
                </c:pt>
                <c:pt idx="2">
                  <c:v>76.137884869999993</c:v>
                </c:pt>
                <c:pt idx="3">
                  <c:v>47.967684929999997</c:v>
                </c:pt>
                <c:pt idx="4">
                  <c:v>67.326074309999996</c:v>
                </c:pt>
                <c:pt idx="5">
                  <c:v>61.268421920000002</c:v>
                </c:pt>
                <c:pt idx="6">
                  <c:v>40.782355389999999</c:v>
                </c:pt>
                <c:pt idx="7">
                  <c:v>43.350237200000002</c:v>
                </c:pt>
                <c:pt idx="8">
                  <c:v>37.341299480000004</c:v>
                </c:pt>
                <c:pt idx="9">
                  <c:v>22.213081039999999</c:v>
                </c:pt>
                <c:pt idx="10">
                  <c:v>20.67311668</c:v>
                </c:pt>
                <c:pt idx="11">
                  <c:v>12.54810105</c:v>
                </c:pt>
                <c:pt idx="12">
                  <c:v>10.726957670000001</c:v>
                </c:pt>
                <c:pt idx="13">
                  <c:v>6.5843621399999996</c:v>
                </c:pt>
              </c:numCache>
            </c:numRef>
          </c:xVal>
          <c:yVal>
            <c:numRef>
              <c:f>'constituent correlations'!$H$4:$H$17</c:f>
              <c:numCache>
                <c:formatCode>0.0</c:formatCode>
                <c:ptCount val="14"/>
                <c:pt idx="0">
                  <c:v>10.97452421</c:v>
                </c:pt>
                <c:pt idx="1">
                  <c:v>12.33049707</c:v>
                </c:pt>
                <c:pt idx="3">
                  <c:v>4.9671491120000004</c:v>
                </c:pt>
                <c:pt idx="4">
                  <c:v>8.8903534999999998</c:v>
                </c:pt>
                <c:pt idx="11">
                  <c:v>3.2415982130000001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CF-450D-9FBA-B204481FE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  <a:r>
              <a:rPr lang="en-US" baseline="0"/>
              <a:t> vs POC (mg/L) - Exp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correlations'!$G$4:$G$17</c:f>
              <c:numCache>
                <c:formatCode>0.0</c:formatCode>
                <c:ptCount val="14"/>
                <c:pt idx="0">
                  <c:v>2.64</c:v>
                </c:pt>
                <c:pt idx="1">
                  <c:v>2.3839999999999999</c:v>
                </c:pt>
                <c:pt idx="2">
                  <c:v>2.2839999999999998</c:v>
                </c:pt>
                <c:pt idx="3">
                  <c:v>2.423</c:v>
                </c:pt>
                <c:pt idx="4">
                  <c:v>2.488</c:v>
                </c:pt>
                <c:pt idx="5">
                  <c:v>2.4729999999999999</c:v>
                </c:pt>
                <c:pt idx="6">
                  <c:v>2.3140000000000001</c:v>
                </c:pt>
                <c:pt idx="7">
                  <c:v>2.4020000000000001</c:v>
                </c:pt>
                <c:pt idx="8">
                  <c:v>2.278</c:v>
                </c:pt>
                <c:pt idx="9">
                  <c:v>2.2730000000000001</c:v>
                </c:pt>
                <c:pt idx="10">
                  <c:v>2.3010000000000002</c:v>
                </c:pt>
                <c:pt idx="11">
                  <c:v>2.3130000000000002</c:v>
                </c:pt>
                <c:pt idx="12">
                  <c:v>2.3079999999999998</c:v>
                </c:pt>
                <c:pt idx="13">
                  <c:v>2.214</c:v>
                </c:pt>
              </c:numCache>
            </c:numRef>
          </c:xVal>
          <c:yVal>
            <c:numRef>
              <c:f>'constituent correlations'!$H$4:$H$17</c:f>
              <c:numCache>
                <c:formatCode>0.0</c:formatCode>
                <c:ptCount val="14"/>
                <c:pt idx="0">
                  <c:v>10.97452421</c:v>
                </c:pt>
                <c:pt idx="1">
                  <c:v>12.33049707</c:v>
                </c:pt>
                <c:pt idx="3">
                  <c:v>4.9671491120000004</c:v>
                </c:pt>
                <c:pt idx="4">
                  <c:v>8.8903534999999998</c:v>
                </c:pt>
                <c:pt idx="11">
                  <c:v>3.2415982130000001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47-49F1-B3BC-F749F5E8D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SSC (uL/L) - Exp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correlations'!$E$18:$E$33</c:f>
              <c:numCache>
                <c:formatCode>0.0</c:formatCode>
                <c:ptCount val="16"/>
                <c:pt idx="0">
                  <c:v>31.7</c:v>
                </c:pt>
                <c:pt idx="1">
                  <c:v>93.36</c:v>
                </c:pt>
                <c:pt idx="2">
                  <c:v>229.76</c:v>
                </c:pt>
                <c:pt idx="3">
                  <c:v>127.13</c:v>
                </c:pt>
                <c:pt idx="4">
                  <c:v>187.73</c:v>
                </c:pt>
                <c:pt idx="5">
                  <c:v>112.47</c:v>
                </c:pt>
                <c:pt idx="6">
                  <c:v>84.69</c:v>
                </c:pt>
                <c:pt idx="7">
                  <c:v>97.42</c:v>
                </c:pt>
                <c:pt idx="8">
                  <c:v>78.81</c:v>
                </c:pt>
                <c:pt idx="9">
                  <c:v>72.819999999999993</c:v>
                </c:pt>
                <c:pt idx="10">
                  <c:v>55.81</c:v>
                </c:pt>
                <c:pt idx="11">
                  <c:v>45.61</c:v>
                </c:pt>
                <c:pt idx="12">
                  <c:v>47.12</c:v>
                </c:pt>
                <c:pt idx="13">
                  <c:v>34.58</c:v>
                </c:pt>
                <c:pt idx="14">
                  <c:v>34.630000000000003</c:v>
                </c:pt>
                <c:pt idx="15">
                  <c:v>36.229999999999997</c:v>
                </c:pt>
              </c:numCache>
            </c:numRef>
          </c:xVal>
          <c:yVal>
            <c:numRef>
              <c:f>'constituent correlations'!$F$18:$F$33</c:f>
              <c:numCache>
                <c:formatCode>0.0</c:formatCode>
                <c:ptCount val="16"/>
                <c:pt idx="0">
                  <c:v>22.819885899999999</c:v>
                </c:pt>
                <c:pt idx="1">
                  <c:v>66.633761109999995</c:v>
                </c:pt>
                <c:pt idx="2">
                  <c:v>162.5418607</c:v>
                </c:pt>
                <c:pt idx="3">
                  <c:v>89.561960589999998</c:v>
                </c:pt>
                <c:pt idx="4">
                  <c:v>87.538194730000001</c:v>
                </c:pt>
                <c:pt idx="5">
                  <c:v>67.359667360000003</c:v>
                </c:pt>
                <c:pt idx="6">
                  <c:v>61.637080869999998</c:v>
                </c:pt>
                <c:pt idx="7">
                  <c:v>37.633968750000001</c:v>
                </c:pt>
                <c:pt idx="8">
                  <c:v>49.685326269999997</c:v>
                </c:pt>
                <c:pt idx="9">
                  <c:v>30.500370950000001</c:v>
                </c:pt>
                <c:pt idx="10">
                  <c:v>27.990450320000001</c:v>
                </c:pt>
                <c:pt idx="11">
                  <c:v>16.57275439</c:v>
                </c:pt>
                <c:pt idx="12">
                  <c:v>18.368539699999999</c:v>
                </c:pt>
                <c:pt idx="13">
                  <c:v>6.458383789</c:v>
                </c:pt>
                <c:pt idx="14">
                  <c:v>11.36179192</c:v>
                </c:pt>
                <c:pt idx="15">
                  <c:v>11.501807429999999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93-4587-81DE-74E0B1079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POC (mg/L) - Exp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correlations'!$F$18:$F$33</c:f>
              <c:numCache>
                <c:formatCode>0.0</c:formatCode>
                <c:ptCount val="16"/>
                <c:pt idx="0">
                  <c:v>22.819885899999999</c:v>
                </c:pt>
                <c:pt idx="1">
                  <c:v>66.633761109999995</c:v>
                </c:pt>
                <c:pt idx="2">
                  <c:v>162.5418607</c:v>
                </c:pt>
                <c:pt idx="3">
                  <c:v>89.561960589999998</c:v>
                </c:pt>
                <c:pt idx="4">
                  <c:v>87.538194730000001</c:v>
                </c:pt>
                <c:pt idx="5">
                  <c:v>67.359667360000003</c:v>
                </c:pt>
                <c:pt idx="6">
                  <c:v>61.637080869999998</c:v>
                </c:pt>
                <c:pt idx="7">
                  <c:v>37.633968750000001</c:v>
                </c:pt>
                <c:pt idx="8">
                  <c:v>49.685326269999997</c:v>
                </c:pt>
                <c:pt idx="9">
                  <c:v>30.500370950000001</c:v>
                </c:pt>
                <c:pt idx="10">
                  <c:v>27.990450320000001</c:v>
                </c:pt>
                <c:pt idx="11">
                  <c:v>16.57275439</c:v>
                </c:pt>
                <c:pt idx="12">
                  <c:v>18.368539699999999</c:v>
                </c:pt>
                <c:pt idx="13">
                  <c:v>6.458383789</c:v>
                </c:pt>
                <c:pt idx="14">
                  <c:v>11.36179192</c:v>
                </c:pt>
                <c:pt idx="15">
                  <c:v>11.501807429999999</c:v>
                </c:pt>
              </c:numCache>
            </c:numRef>
          </c:xVal>
          <c:yVal>
            <c:numRef>
              <c:f>'constituent correlations'!$H$18:$H$33</c:f>
              <c:numCache>
                <c:formatCode>0.0</c:formatCode>
                <c:ptCount val="16"/>
                <c:pt idx="0">
                  <c:v>3.3278897669999998</c:v>
                </c:pt>
                <c:pt idx="1">
                  <c:v>6.6628506349999999</c:v>
                </c:pt>
                <c:pt idx="2">
                  <c:v>12.04121088</c:v>
                </c:pt>
                <c:pt idx="4">
                  <c:v>8.058197302</c:v>
                </c:pt>
                <c:pt idx="7">
                  <c:v>5.0565465879999998</c:v>
                </c:pt>
                <c:pt idx="8">
                  <c:v>3.736428037</c:v>
                </c:pt>
                <c:pt idx="11">
                  <c:v>2.771444281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6F-4CA6-A3E9-219659C77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  <a:r>
              <a:rPr lang="en-US" baseline="0"/>
              <a:t> vs POC (mg/L) - Exp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correlations'!$G$18:$G$33</c:f>
              <c:numCache>
                <c:formatCode>0.0</c:formatCode>
                <c:ptCount val="16"/>
                <c:pt idx="0">
                  <c:v>2.718</c:v>
                </c:pt>
                <c:pt idx="1">
                  <c:v>2.6819999999999999</c:v>
                </c:pt>
                <c:pt idx="2">
                  <c:v>2.6440000000000001</c:v>
                </c:pt>
                <c:pt idx="3">
                  <c:v>2.7519999999999998</c:v>
                </c:pt>
                <c:pt idx="4">
                  <c:v>2.8079999999999998</c:v>
                </c:pt>
                <c:pt idx="5">
                  <c:v>3.0089999999999999</c:v>
                </c:pt>
                <c:pt idx="6">
                  <c:v>2.7839999999999998</c:v>
                </c:pt>
                <c:pt idx="7">
                  <c:v>2.7559999999999998</c:v>
                </c:pt>
                <c:pt idx="8">
                  <c:v>2.8039999999999998</c:v>
                </c:pt>
                <c:pt idx="9">
                  <c:v>2.8039999999999998</c:v>
                </c:pt>
                <c:pt idx="10">
                  <c:v>2.8639999999999999</c:v>
                </c:pt>
                <c:pt idx="11">
                  <c:v>2.76</c:v>
                </c:pt>
                <c:pt idx="12">
                  <c:v>2.7690000000000001</c:v>
                </c:pt>
                <c:pt idx="13">
                  <c:v>2.7410000000000001</c:v>
                </c:pt>
                <c:pt idx="14">
                  <c:v>2.7519999999999998</c:v>
                </c:pt>
                <c:pt idx="15">
                  <c:v>2.7389999999999999</c:v>
                </c:pt>
              </c:numCache>
            </c:numRef>
          </c:xVal>
          <c:yVal>
            <c:numRef>
              <c:f>'constituent correlations'!$H$18:$H$33</c:f>
              <c:numCache>
                <c:formatCode>0.0</c:formatCode>
                <c:ptCount val="16"/>
                <c:pt idx="0">
                  <c:v>3.3278897669999998</c:v>
                </c:pt>
                <c:pt idx="1">
                  <c:v>6.6628506349999999</c:v>
                </c:pt>
                <c:pt idx="2">
                  <c:v>12.04121088</c:v>
                </c:pt>
                <c:pt idx="4">
                  <c:v>8.058197302</c:v>
                </c:pt>
                <c:pt idx="7">
                  <c:v>5.0565465879999998</c:v>
                </c:pt>
                <c:pt idx="8">
                  <c:v>3.736428037</c:v>
                </c:pt>
                <c:pt idx="11">
                  <c:v>2.771444281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C3-402E-A9BC-81F1580C6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SSC (uL/L) - Exp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correlations'!$E$34:$E$46</c:f>
              <c:numCache>
                <c:formatCode>0.0</c:formatCode>
                <c:ptCount val="13"/>
                <c:pt idx="0">
                  <c:v>64.61</c:v>
                </c:pt>
                <c:pt idx="1">
                  <c:v>275.95999999999998</c:v>
                </c:pt>
                <c:pt idx="2">
                  <c:v>159.29</c:v>
                </c:pt>
                <c:pt idx="3">
                  <c:v>121.26</c:v>
                </c:pt>
                <c:pt idx="4">
                  <c:v>90.81</c:v>
                </c:pt>
                <c:pt idx="5">
                  <c:v>71.319999999999993</c:v>
                </c:pt>
                <c:pt idx="6">
                  <c:v>77.03</c:v>
                </c:pt>
                <c:pt idx="7">
                  <c:v>143.56</c:v>
                </c:pt>
                <c:pt idx="8">
                  <c:v>97.7</c:v>
                </c:pt>
                <c:pt idx="9">
                  <c:v>55.95</c:v>
                </c:pt>
                <c:pt idx="10">
                  <c:v>41.32</c:v>
                </c:pt>
                <c:pt idx="11">
                  <c:v>38.15</c:v>
                </c:pt>
                <c:pt idx="12">
                  <c:v>33.28</c:v>
                </c:pt>
              </c:numCache>
            </c:numRef>
          </c:xVal>
          <c:yVal>
            <c:numRef>
              <c:f>'constituent correlations'!$F$34:$F$46</c:f>
              <c:numCache>
                <c:formatCode>0.0</c:formatCode>
                <c:ptCount val="13"/>
                <c:pt idx="0">
                  <c:v>52.16959258</c:v>
                </c:pt>
                <c:pt idx="1">
                  <c:v>174.6761387</c:v>
                </c:pt>
                <c:pt idx="2">
                  <c:v>78.177538670000004</c:v>
                </c:pt>
                <c:pt idx="3">
                  <c:v>74.758733179999993</c:v>
                </c:pt>
                <c:pt idx="4">
                  <c:v>52.974735129999999</c:v>
                </c:pt>
                <c:pt idx="5">
                  <c:v>40.183696900000001</c:v>
                </c:pt>
                <c:pt idx="6">
                  <c:v>43.398430980000001</c:v>
                </c:pt>
                <c:pt idx="7">
                  <c:v>77.334430280000007</c:v>
                </c:pt>
                <c:pt idx="8">
                  <c:v>58.59536189</c:v>
                </c:pt>
                <c:pt idx="9">
                  <c:v>23.829087919999999</c:v>
                </c:pt>
                <c:pt idx="10">
                  <c:v>26.223059899999999</c:v>
                </c:pt>
                <c:pt idx="11">
                  <c:v>17.731993580000001</c:v>
                </c:pt>
                <c:pt idx="12">
                  <c:v>18.922254219999999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23-46D2-A098-2FFB655C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POC (mg/L) - Exp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correlations'!$F$34:$F$46</c:f>
              <c:numCache>
                <c:formatCode>0.0</c:formatCode>
                <c:ptCount val="13"/>
                <c:pt idx="0">
                  <c:v>52.16959258</c:v>
                </c:pt>
                <c:pt idx="1">
                  <c:v>174.6761387</c:v>
                </c:pt>
                <c:pt idx="2">
                  <c:v>78.177538670000004</c:v>
                </c:pt>
                <c:pt idx="3">
                  <c:v>74.758733179999993</c:v>
                </c:pt>
                <c:pt idx="4">
                  <c:v>52.974735129999999</c:v>
                </c:pt>
                <c:pt idx="5">
                  <c:v>40.183696900000001</c:v>
                </c:pt>
                <c:pt idx="6">
                  <c:v>43.398430980000001</c:v>
                </c:pt>
                <c:pt idx="7">
                  <c:v>77.334430280000007</c:v>
                </c:pt>
                <c:pt idx="8">
                  <c:v>58.59536189</c:v>
                </c:pt>
                <c:pt idx="9">
                  <c:v>23.829087919999999</c:v>
                </c:pt>
                <c:pt idx="10">
                  <c:v>26.223059899999999</c:v>
                </c:pt>
                <c:pt idx="11">
                  <c:v>17.731993580000001</c:v>
                </c:pt>
                <c:pt idx="12">
                  <c:v>18.922254219999999</c:v>
                </c:pt>
              </c:numCache>
            </c:numRef>
          </c:xVal>
          <c:yVal>
            <c:numRef>
              <c:f>'constituent correlations'!$H$34:$H$46</c:f>
              <c:numCache>
                <c:formatCode>0.0</c:formatCode>
                <c:ptCount val="13"/>
                <c:pt idx="0">
                  <c:v>4.5952285179999999</c:v>
                </c:pt>
                <c:pt idx="1">
                  <c:v>10.93014432</c:v>
                </c:pt>
                <c:pt idx="3">
                  <c:v>8.9789966309999993</c:v>
                </c:pt>
                <c:pt idx="6">
                  <c:v>4.599424687</c:v>
                </c:pt>
                <c:pt idx="11">
                  <c:v>3.2584248140000001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4D-4D3E-A98E-7BCB61715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  <a:r>
              <a:rPr lang="en-US" baseline="0"/>
              <a:t> vs POC (mg/L) - Exp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09125661094165"/>
                  <c:y val="6.55670432500285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correlations'!$G$34:$G$46</c:f>
              <c:numCache>
                <c:formatCode>0.0</c:formatCode>
                <c:ptCount val="13"/>
                <c:pt idx="0">
                  <c:v>2.8980000000000001</c:v>
                </c:pt>
                <c:pt idx="1">
                  <c:v>2.7160000000000002</c:v>
                </c:pt>
                <c:pt idx="2">
                  <c:v>2.7010000000000001</c:v>
                </c:pt>
                <c:pt idx="3">
                  <c:v>2.7810000000000001</c:v>
                </c:pt>
                <c:pt idx="4">
                  <c:v>2.831</c:v>
                </c:pt>
                <c:pt idx="5">
                  <c:v>2.7629999999999999</c:v>
                </c:pt>
                <c:pt idx="6">
                  <c:v>2.8140000000000001</c:v>
                </c:pt>
                <c:pt idx="7">
                  <c:v>2.7469999999999999</c:v>
                </c:pt>
                <c:pt idx="8">
                  <c:v>2.7410000000000001</c:v>
                </c:pt>
                <c:pt idx="9">
                  <c:v>2.7749999999999999</c:v>
                </c:pt>
                <c:pt idx="10">
                  <c:v>2.7330000000000001</c:v>
                </c:pt>
                <c:pt idx="11">
                  <c:v>2.7559999999999998</c:v>
                </c:pt>
                <c:pt idx="12">
                  <c:v>2.7850000000000001</c:v>
                </c:pt>
              </c:numCache>
            </c:numRef>
          </c:xVal>
          <c:yVal>
            <c:numRef>
              <c:f>'constituent correlations'!$H$34:$H$46</c:f>
              <c:numCache>
                <c:formatCode>0.0</c:formatCode>
                <c:ptCount val="13"/>
                <c:pt idx="0">
                  <c:v>4.5952285179999999</c:v>
                </c:pt>
                <c:pt idx="1">
                  <c:v>10.93014432</c:v>
                </c:pt>
                <c:pt idx="3">
                  <c:v>8.9789966309999993</c:v>
                </c:pt>
                <c:pt idx="6">
                  <c:v>4.599424687</c:v>
                </c:pt>
                <c:pt idx="11">
                  <c:v>3.2584248140000001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1C-471C-98DE-7E1EA6162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SSC (uL/L) - Exp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correlations'!$E$47:$E$58</c:f>
              <c:numCache>
                <c:formatCode>0.0</c:formatCode>
                <c:ptCount val="12"/>
                <c:pt idx="0">
                  <c:v>90.23</c:v>
                </c:pt>
                <c:pt idx="1">
                  <c:v>526.33000000000004</c:v>
                </c:pt>
                <c:pt idx="2">
                  <c:v>360.745</c:v>
                </c:pt>
                <c:pt idx="3">
                  <c:v>168.16</c:v>
                </c:pt>
                <c:pt idx="4">
                  <c:v>165.58</c:v>
                </c:pt>
                <c:pt idx="5">
                  <c:v>161.72</c:v>
                </c:pt>
                <c:pt idx="6">
                  <c:v>132.56</c:v>
                </c:pt>
                <c:pt idx="7">
                  <c:v>131.22999999999999</c:v>
                </c:pt>
                <c:pt idx="8">
                  <c:v>94.15</c:v>
                </c:pt>
                <c:pt idx="9">
                  <c:v>77.58</c:v>
                </c:pt>
                <c:pt idx="10">
                  <c:v>61.94</c:v>
                </c:pt>
                <c:pt idx="11">
                  <c:v>48.68</c:v>
                </c:pt>
              </c:numCache>
            </c:numRef>
          </c:xVal>
          <c:yVal>
            <c:numRef>
              <c:f>'constituent correlations'!$F$47:$F$58</c:f>
              <c:numCache>
                <c:formatCode>0.0</c:formatCode>
                <c:ptCount val="12"/>
                <c:pt idx="0">
                  <c:v>70.553888569999998</c:v>
                </c:pt>
                <c:pt idx="1">
                  <c:v>287.8289474</c:v>
                </c:pt>
                <c:pt idx="2">
                  <c:v>200.0498049</c:v>
                </c:pt>
                <c:pt idx="3">
                  <c:v>112.46027220000001</c:v>
                </c:pt>
                <c:pt idx="4">
                  <c:v>111.4662733</c:v>
                </c:pt>
                <c:pt idx="5">
                  <c:v>79.809116340000003</c:v>
                </c:pt>
                <c:pt idx="6">
                  <c:v>80.492813139999996</c:v>
                </c:pt>
                <c:pt idx="7">
                  <c:v>69.473161860000005</c:v>
                </c:pt>
                <c:pt idx="8">
                  <c:v>54.027504909999998</c:v>
                </c:pt>
                <c:pt idx="9">
                  <c:v>44.106836559999998</c:v>
                </c:pt>
                <c:pt idx="10">
                  <c:v>33.532346449999999</c:v>
                </c:pt>
                <c:pt idx="11">
                  <c:v>23.144321380000001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2B-451B-AAAD-46C26939F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POC (mg/L) - Exp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211061455155942"/>
                  <c:y val="4.66401917151660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correlations'!$F$47:$F$58</c:f>
              <c:numCache>
                <c:formatCode>0.0</c:formatCode>
                <c:ptCount val="12"/>
                <c:pt idx="0">
                  <c:v>70.553888569999998</c:v>
                </c:pt>
                <c:pt idx="1">
                  <c:v>287.8289474</c:v>
                </c:pt>
                <c:pt idx="2">
                  <c:v>200.0498049</c:v>
                </c:pt>
                <c:pt idx="3">
                  <c:v>112.46027220000001</c:v>
                </c:pt>
                <c:pt idx="4">
                  <c:v>111.4662733</c:v>
                </c:pt>
                <c:pt idx="5">
                  <c:v>79.809116340000003</c:v>
                </c:pt>
                <c:pt idx="6">
                  <c:v>80.492813139999996</c:v>
                </c:pt>
                <c:pt idx="7">
                  <c:v>69.473161860000005</c:v>
                </c:pt>
                <c:pt idx="8">
                  <c:v>54.027504909999998</c:v>
                </c:pt>
                <c:pt idx="9">
                  <c:v>44.106836559999998</c:v>
                </c:pt>
                <c:pt idx="10">
                  <c:v>33.532346449999999</c:v>
                </c:pt>
                <c:pt idx="11">
                  <c:v>23.144321380000001</c:v>
                </c:pt>
              </c:numCache>
            </c:numRef>
          </c:xVal>
          <c:yVal>
            <c:numRef>
              <c:f>'constituent correlations'!$H$47:$H$58</c:f>
              <c:numCache>
                <c:formatCode>0.0</c:formatCode>
                <c:ptCount val="12"/>
                <c:pt idx="0">
                  <c:v>8.3572964289999998</c:v>
                </c:pt>
                <c:pt idx="1">
                  <c:v>24.660150940000001</c:v>
                </c:pt>
                <c:pt idx="2">
                  <c:v>16.60466516</c:v>
                </c:pt>
                <c:pt idx="3">
                  <c:v>10.359493649999999</c:v>
                </c:pt>
                <c:pt idx="5">
                  <c:v>9.2838971560000001</c:v>
                </c:pt>
                <c:pt idx="9">
                  <c:v>5.254678427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9E-4BFD-9727-04A12D3DC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  <a:r>
              <a:rPr lang="en-US" baseline="0"/>
              <a:t> vs POC (mg/L) - Exp 4</a:t>
            </a:r>
            <a:endParaRPr lang="en-US"/>
          </a:p>
        </c:rich>
      </c:tx>
      <c:layout>
        <c:manualLayout>
          <c:xMode val="edge"/>
          <c:yMode val="edge"/>
          <c:x val="0.11370362488472725"/>
          <c:y val="3.4782608695652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875970458647625"/>
                  <c:y val="4.60025105557457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correlations'!$G$47:$G$58</c:f>
              <c:numCache>
                <c:formatCode>0.0</c:formatCode>
                <c:ptCount val="12"/>
                <c:pt idx="0">
                  <c:v>2.1829999999999998</c:v>
                </c:pt>
                <c:pt idx="1">
                  <c:v>2.1179999999999999</c:v>
                </c:pt>
                <c:pt idx="2">
                  <c:v>2.073</c:v>
                </c:pt>
                <c:pt idx="3">
                  <c:v>2.0289999999999999</c:v>
                </c:pt>
                <c:pt idx="4">
                  <c:v>2.0779999999999998</c:v>
                </c:pt>
                <c:pt idx="5">
                  <c:v>2.1640000000000001</c:v>
                </c:pt>
                <c:pt idx="6">
                  <c:v>2.1720000000000002</c:v>
                </c:pt>
                <c:pt idx="7">
                  <c:v>2.3029999999999999</c:v>
                </c:pt>
                <c:pt idx="8">
                  <c:v>2.2890000000000001</c:v>
                </c:pt>
                <c:pt idx="9">
                  <c:v>2.1890000000000001</c:v>
                </c:pt>
                <c:pt idx="10">
                  <c:v>2.2829999999999999</c:v>
                </c:pt>
                <c:pt idx="11">
                  <c:v>2.202</c:v>
                </c:pt>
              </c:numCache>
            </c:numRef>
          </c:xVal>
          <c:yVal>
            <c:numRef>
              <c:f>'constituent correlations'!$H$47:$H$58</c:f>
              <c:numCache>
                <c:formatCode>0.0</c:formatCode>
                <c:ptCount val="12"/>
                <c:pt idx="0">
                  <c:v>8.3572964289999998</c:v>
                </c:pt>
                <c:pt idx="1">
                  <c:v>24.660150940000001</c:v>
                </c:pt>
                <c:pt idx="2">
                  <c:v>16.60466516</c:v>
                </c:pt>
                <c:pt idx="3">
                  <c:v>10.359493649999999</c:v>
                </c:pt>
                <c:pt idx="5">
                  <c:v>9.2838971560000001</c:v>
                </c:pt>
                <c:pt idx="9">
                  <c:v>5.254678427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3D-493D-A974-BFA599B73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SSC (uL/L) - Exp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correlations'!$E$59:$E$71</c:f>
              <c:numCache>
                <c:formatCode>0.0</c:formatCode>
                <c:ptCount val="13"/>
                <c:pt idx="0">
                  <c:v>90.43</c:v>
                </c:pt>
                <c:pt idx="1">
                  <c:v>426.28</c:v>
                </c:pt>
                <c:pt idx="2">
                  <c:v>258.72000000000003</c:v>
                </c:pt>
                <c:pt idx="3">
                  <c:v>227.15</c:v>
                </c:pt>
                <c:pt idx="4">
                  <c:v>176.59</c:v>
                </c:pt>
                <c:pt idx="5">
                  <c:v>181.06</c:v>
                </c:pt>
                <c:pt idx="6">
                  <c:v>157</c:v>
                </c:pt>
                <c:pt idx="7">
                  <c:v>134.22999999999999</c:v>
                </c:pt>
                <c:pt idx="8">
                  <c:v>88.31</c:v>
                </c:pt>
                <c:pt idx="9">
                  <c:v>88.72</c:v>
                </c:pt>
                <c:pt idx="10">
                  <c:v>71.86</c:v>
                </c:pt>
                <c:pt idx="11">
                  <c:v>59.21</c:v>
                </c:pt>
                <c:pt idx="12">
                  <c:v>51.52</c:v>
                </c:pt>
              </c:numCache>
            </c:numRef>
          </c:xVal>
          <c:yVal>
            <c:numRef>
              <c:f>'constituent correlations'!$F$59:$F$71</c:f>
              <c:numCache>
                <c:formatCode>0.0</c:formatCode>
                <c:ptCount val="13"/>
                <c:pt idx="0">
                  <c:v>62.139769450000003</c:v>
                </c:pt>
                <c:pt idx="1">
                  <c:v>243.34662650000001</c:v>
                </c:pt>
                <c:pt idx="2">
                  <c:v>134.52914799999999</c:v>
                </c:pt>
                <c:pt idx="3">
                  <c:v>135.40290619999999</c:v>
                </c:pt>
                <c:pt idx="4">
                  <c:v>99.901736</c:v>
                </c:pt>
                <c:pt idx="5">
                  <c:v>98.606470540000004</c:v>
                </c:pt>
                <c:pt idx="6">
                  <c:v>93.938898870000003</c:v>
                </c:pt>
                <c:pt idx="7">
                  <c:v>56.216392370000001</c:v>
                </c:pt>
                <c:pt idx="8">
                  <c:v>56.813503500000003</c:v>
                </c:pt>
                <c:pt idx="9">
                  <c:v>48.527718370000002</c:v>
                </c:pt>
                <c:pt idx="10">
                  <c:v>41.608876559999999</c:v>
                </c:pt>
                <c:pt idx="11">
                  <c:v>27.029240720000001</c:v>
                </c:pt>
                <c:pt idx="12">
                  <c:v>22.11845662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67-4846-9CB5-81638E7F6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POC (mg/L) - Exp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211061455155942"/>
                  <c:y val="4.66401917151660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correlations'!$F$59:$F$71</c:f>
              <c:numCache>
                <c:formatCode>0.0</c:formatCode>
                <c:ptCount val="13"/>
                <c:pt idx="0">
                  <c:v>62.139769450000003</c:v>
                </c:pt>
                <c:pt idx="1">
                  <c:v>243.34662650000001</c:v>
                </c:pt>
                <c:pt idx="2">
                  <c:v>134.52914799999999</c:v>
                </c:pt>
                <c:pt idx="3">
                  <c:v>135.40290619999999</c:v>
                </c:pt>
                <c:pt idx="4">
                  <c:v>99.901736</c:v>
                </c:pt>
                <c:pt idx="5">
                  <c:v>98.606470540000004</c:v>
                </c:pt>
                <c:pt idx="6">
                  <c:v>93.938898870000003</c:v>
                </c:pt>
                <c:pt idx="7">
                  <c:v>56.216392370000001</c:v>
                </c:pt>
                <c:pt idx="8">
                  <c:v>56.813503500000003</c:v>
                </c:pt>
                <c:pt idx="9">
                  <c:v>48.527718370000002</c:v>
                </c:pt>
                <c:pt idx="10">
                  <c:v>41.608876559999999</c:v>
                </c:pt>
                <c:pt idx="11">
                  <c:v>27.029240720000001</c:v>
                </c:pt>
                <c:pt idx="12">
                  <c:v>22.11845662</c:v>
                </c:pt>
              </c:numCache>
            </c:numRef>
          </c:xVal>
          <c:yVal>
            <c:numRef>
              <c:f>'constituent correlations'!$H$59:$H$71</c:f>
              <c:numCache>
                <c:formatCode>0.0</c:formatCode>
                <c:ptCount val="13"/>
                <c:pt idx="0">
                  <c:v>5.3161272320000004</c:v>
                </c:pt>
                <c:pt idx="1">
                  <c:v>20.72610796</c:v>
                </c:pt>
                <c:pt idx="3">
                  <c:v>11.66797622</c:v>
                </c:pt>
                <c:pt idx="5">
                  <c:v>6.6757924820000003</c:v>
                </c:pt>
                <c:pt idx="9">
                  <c:v>5.6309098449999997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FA-4733-87C8-A1E422532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  <a:r>
              <a:rPr lang="en-US" baseline="0"/>
              <a:t> vs POC (mg/L) - Exp 5</a:t>
            </a:r>
            <a:endParaRPr lang="en-US"/>
          </a:p>
        </c:rich>
      </c:tx>
      <c:layout>
        <c:manualLayout>
          <c:xMode val="edge"/>
          <c:yMode val="edge"/>
          <c:x val="0.11370362488472725"/>
          <c:y val="3.4782608695652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37853601633129"/>
                  <c:y val="-0.148269314161816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correlations'!$G$59:$G$71</c:f>
              <c:numCache>
                <c:formatCode>0.0</c:formatCode>
                <c:ptCount val="13"/>
                <c:pt idx="0">
                  <c:v>2.6309999999999998</c:v>
                </c:pt>
                <c:pt idx="1">
                  <c:v>2.581</c:v>
                </c:pt>
                <c:pt idx="2">
                  <c:v>2.5630000000000002</c:v>
                </c:pt>
                <c:pt idx="3">
                  <c:v>2.6619999999999999</c:v>
                </c:pt>
                <c:pt idx="4">
                  <c:v>2.6960000000000002</c:v>
                </c:pt>
                <c:pt idx="5">
                  <c:v>2.6989999999999998</c:v>
                </c:pt>
                <c:pt idx="6">
                  <c:v>2.742</c:v>
                </c:pt>
                <c:pt idx="7">
                  <c:v>2.7610000000000001</c:v>
                </c:pt>
                <c:pt idx="8">
                  <c:v>2.8210000000000002</c:v>
                </c:pt>
                <c:pt idx="9">
                  <c:v>2.7829999999999999</c:v>
                </c:pt>
                <c:pt idx="10">
                  <c:v>2.7559999999999998</c:v>
                </c:pt>
                <c:pt idx="11">
                  <c:v>2.883</c:v>
                </c:pt>
                <c:pt idx="12">
                  <c:v>2.84</c:v>
                </c:pt>
              </c:numCache>
            </c:numRef>
          </c:xVal>
          <c:yVal>
            <c:numRef>
              <c:f>'constituent correlations'!$H$59:$H$71</c:f>
              <c:numCache>
                <c:formatCode>0.0</c:formatCode>
                <c:ptCount val="13"/>
                <c:pt idx="0">
                  <c:v>5.3161272320000004</c:v>
                </c:pt>
                <c:pt idx="1">
                  <c:v>20.72610796</c:v>
                </c:pt>
                <c:pt idx="3">
                  <c:v>11.66797622</c:v>
                </c:pt>
                <c:pt idx="5">
                  <c:v>6.6757924820000003</c:v>
                </c:pt>
                <c:pt idx="9">
                  <c:v>5.6309098449999997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F0-4497-BD18-7593EE0A9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SSC (uL/L) - Exp 6</a:t>
            </a:r>
            <a:endParaRPr lang="en-US"/>
          </a:p>
        </c:rich>
      </c:tx>
      <c:layout>
        <c:manualLayout>
          <c:xMode val="edge"/>
          <c:yMode val="edge"/>
          <c:x val="0.12703476168043099"/>
          <c:y val="4.6477839768562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649197338704754"/>
                  <c:y val="2.6708223972003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correlations'!$E$72:$E$82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70.88</c:v>
                </c:pt>
                <c:pt idx="6">
                  <c:v>73.459999999999994</c:v>
                </c:pt>
                <c:pt idx="7">
                  <c:v>84.58</c:v>
                </c:pt>
                <c:pt idx="8">
                  <c:v>67.36</c:v>
                </c:pt>
                <c:pt idx="9">
                  <c:v>65.8</c:v>
                </c:pt>
                <c:pt idx="10">
                  <c:v>65.319999999999993</c:v>
                </c:pt>
              </c:numCache>
            </c:numRef>
          </c:xVal>
          <c:yVal>
            <c:numRef>
              <c:f>'constituent correlations'!$F$72:$F$82</c:f>
              <c:numCache>
                <c:formatCode>0.00</c:formatCode>
                <c:ptCount val="11"/>
                <c:pt idx="0">
                  <c:v>25.420254199999999</c:v>
                </c:pt>
                <c:pt idx="1">
                  <c:v>9.0053213260000007</c:v>
                </c:pt>
                <c:pt idx="2">
                  <c:v>7.4868979290000004</c:v>
                </c:pt>
                <c:pt idx="3">
                  <c:v>4.9549921550000002</c:v>
                </c:pt>
                <c:pt idx="4">
                  <c:v>7.3004542499999996</c:v>
                </c:pt>
                <c:pt idx="5">
                  <c:v>31.924724860000001</c:v>
                </c:pt>
                <c:pt idx="6">
                  <c:v>41.421588929999999</c:v>
                </c:pt>
                <c:pt idx="7">
                  <c:v>44.890630100000003</c:v>
                </c:pt>
                <c:pt idx="8">
                  <c:v>33.184005310000003</c:v>
                </c:pt>
                <c:pt idx="9">
                  <c:v>25.368248770000001</c:v>
                </c:pt>
                <c:pt idx="10">
                  <c:v>6.5455735559999999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95-4034-9990-965C8CE8D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POC (mg/L) - Exp 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211061455155942"/>
                  <c:y val="4.66401917151660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correlations'!$F$72:$F$82</c:f>
              <c:numCache>
                <c:formatCode>0.00</c:formatCode>
                <c:ptCount val="11"/>
                <c:pt idx="0">
                  <c:v>25.420254199999999</c:v>
                </c:pt>
                <c:pt idx="1">
                  <c:v>9.0053213260000007</c:v>
                </c:pt>
                <c:pt idx="2">
                  <c:v>7.4868979290000004</c:v>
                </c:pt>
                <c:pt idx="3">
                  <c:v>4.9549921550000002</c:v>
                </c:pt>
                <c:pt idx="4">
                  <c:v>7.3004542499999996</c:v>
                </c:pt>
                <c:pt idx="5">
                  <c:v>31.924724860000001</c:v>
                </c:pt>
                <c:pt idx="6">
                  <c:v>41.421588929999999</c:v>
                </c:pt>
                <c:pt idx="7">
                  <c:v>44.890630100000003</c:v>
                </c:pt>
                <c:pt idx="8">
                  <c:v>33.184005310000003</c:v>
                </c:pt>
                <c:pt idx="9">
                  <c:v>25.368248770000001</c:v>
                </c:pt>
                <c:pt idx="10">
                  <c:v>6.5455735559999999</c:v>
                </c:pt>
              </c:numCache>
            </c:numRef>
          </c:xVal>
          <c:yVal>
            <c:numRef>
              <c:f>'constituent correlations'!$H$72:$H$82</c:f>
              <c:numCache>
                <c:formatCode>0.00</c:formatCode>
                <c:ptCount val="11"/>
                <c:pt idx="0">
                  <c:v>3.6469399779999998</c:v>
                </c:pt>
                <c:pt idx="2">
                  <c:v>2.38341665</c:v>
                </c:pt>
                <c:pt idx="4">
                  <c:v>2.1756635950000001</c:v>
                </c:pt>
                <c:pt idx="7">
                  <c:v>4.7777531050000004</c:v>
                </c:pt>
                <c:pt idx="9">
                  <c:v>4.9322235059999997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FD-4916-9CF5-8EB664ADD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  <a:r>
              <a:rPr lang="en-US" baseline="0"/>
              <a:t> vs POC (mg/L) - Exp 6</a:t>
            </a:r>
            <a:endParaRPr lang="en-US"/>
          </a:p>
        </c:rich>
      </c:tx>
      <c:layout>
        <c:manualLayout>
          <c:xMode val="edge"/>
          <c:yMode val="edge"/>
          <c:x val="0.11370362488472725"/>
          <c:y val="3.4782608695652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829923469428019"/>
                  <c:y val="-8.21170831906881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correlations'!$G$72:$G$82</c:f>
              <c:numCache>
                <c:formatCode>0.00</c:formatCode>
                <c:ptCount val="11"/>
                <c:pt idx="0">
                  <c:v>2.9359999999999999</c:v>
                </c:pt>
                <c:pt idx="1">
                  <c:v>3.0289999999999999</c:v>
                </c:pt>
                <c:pt idx="2">
                  <c:v>2.923</c:v>
                </c:pt>
                <c:pt idx="3">
                  <c:v>2.976</c:v>
                </c:pt>
                <c:pt idx="4">
                  <c:v>3.641</c:v>
                </c:pt>
                <c:pt idx="5">
                  <c:v>3.0539999999999998</c:v>
                </c:pt>
                <c:pt idx="6">
                  <c:v>3.0379999999999998</c:v>
                </c:pt>
                <c:pt idx="7">
                  <c:v>3.5790000000000002</c:v>
                </c:pt>
                <c:pt idx="8">
                  <c:v>3.1509999999999998</c:v>
                </c:pt>
                <c:pt idx="9">
                  <c:v>3.0059999999999998</c:v>
                </c:pt>
                <c:pt idx="10">
                  <c:v>3.5510000000000002</c:v>
                </c:pt>
              </c:numCache>
            </c:numRef>
          </c:xVal>
          <c:yVal>
            <c:numRef>
              <c:f>'constituent correlations'!$H$72:$H$82</c:f>
              <c:numCache>
                <c:formatCode>0.00</c:formatCode>
                <c:ptCount val="11"/>
                <c:pt idx="0">
                  <c:v>3.6469399779999998</c:v>
                </c:pt>
                <c:pt idx="2">
                  <c:v>2.38341665</c:v>
                </c:pt>
                <c:pt idx="4">
                  <c:v>2.1756635950000001</c:v>
                </c:pt>
                <c:pt idx="7">
                  <c:v>4.7777531050000004</c:v>
                </c:pt>
                <c:pt idx="9">
                  <c:v>4.9322235059999997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38-4FCB-8F7C-C1F6E5500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SSC (uL/L) - Exp 6</a:t>
            </a:r>
            <a:endParaRPr lang="en-US"/>
          </a:p>
        </c:rich>
      </c:tx>
      <c:layout>
        <c:manualLayout>
          <c:xMode val="edge"/>
          <c:yMode val="edge"/>
          <c:x val="0.12703476168043099"/>
          <c:y val="4.6477839768562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200303993766203"/>
                  <c:y val="-8.95659079555788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correlations'!$E$83:$E$93</c:f>
              <c:numCache>
                <c:formatCode>0.00</c:formatCode>
                <c:ptCount val="11"/>
                <c:pt idx="0">
                  <c:v>94.93</c:v>
                </c:pt>
                <c:pt idx="1">
                  <c:v>75.03</c:v>
                </c:pt>
                <c:pt idx="2">
                  <c:v>81.28</c:v>
                </c:pt>
                <c:pt idx="3">
                  <c:v>293.19</c:v>
                </c:pt>
                <c:pt idx="4">
                  <c:v>311.7</c:v>
                </c:pt>
                <c:pt idx="5">
                  <c:v>243.92</c:v>
                </c:pt>
                <c:pt idx="6">
                  <c:v>292.16000000000003</c:v>
                </c:pt>
                <c:pt idx="7">
                  <c:v>260.11</c:v>
                </c:pt>
                <c:pt idx="8">
                  <c:v>194.51</c:v>
                </c:pt>
                <c:pt idx="9">
                  <c:v>189.68</c:v>
                </c:pt>
              </c:numCache>
            </c:numRef>
          </c:xVal>
          <c:yVal>
            <c:numRef>
              <c:f>'constituent correlations'!$F$83:$F$93</c:f>
              <c:numCache>
                <c:formatCode>0.00</c:formatCode>
                <c:ptCount val="11"/>
                <c:pt idx="0">
                  <c:v>46.45476773</c:v>
                </c:pt>
                <c:pt idx="1">
                  <c:v>42.016806719999998</c:v>
                </c:pt>
                <c:pt idx="2">
                  <c:v>43.243243239999998</c:v>
                </c:pt>
                <c:pt idx="3">
                  <c:v>144.48979589999999</c:v>
                </c:pt>
                <c:pt idx="4">
                  <c:v>240.01979539999999</c:v>
                </c:pt>
                <c:pt idx="5">
                  <c:v>191.19209090000001</c:v>
                </c:pt>
                <c:pt idx="6">
                  <c:v>164.10842589999999</c:v>
                </c:pt>
                <c:pt idx="7">
                  <c:v>119.19751530000001</c:v>
                </c:pt>
                <c:pt idx="8">
                  <c:v>96.298777419999993</c:v>
                </c:pt>
                <c:pt idx="9">
                  <c:v>96.842105259999997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94-4B2D-89E8-10C51C70E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LISST (uL/L)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  <a:r>
              <a:rPr lang="en-US" baseline="0"/>
              <a:t> vs POC (mg/L) - Exp 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211061455155942"/>
                  <c:y val="4.66401917151660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correlations'!$F$83:$F$93</c:f>
              <c:numCache>
                <c:formatCode>0.00</c:formatCode>
                <c:ptCount val="11"/>
                <c:pt idx="0">
                  <c:v>46.45476773</c:v>
                </c:pt>
                <c:pt idx="1">
                  <c:v>42.016806719999998</c:v>
                </c:pt>
                <c:pt idx="2">
                  <c:v>43.243243239999998</c:v>
                </c:pt>
                <c:pt idx="3">
                  <c:v>144.48979589999999</c:v>
                </c:pt>
                <c:pt idx="4">
                  <c:v>240.01979539999999</c:v>
                </c:pt>
                <c:pt idx="5">
                  <c:v>191.19209090000001</c:v>
                </c:pt>
                <c:pt idx="6">
                  <c:v>164.10842589999999</c:v>
                </c:pt>
                <c:pt idx="7">
                  <c:v>119.19751530000001</c:v>
                </c:pt>
                <c:pt idx="8">
                  <c:v>96.298777419999993</c:v>
                </c:pt>
                <c:pt idx="9">
                  <c:v>96.842105259999997</c:v>
                </c:pt>
              </c:numCache>
            </c:numRef>
          </c:xVal>
          <c:yVal>
            <c:numRef>
              <c:f>'constituent correlations'!$H$83:$H$93</c:f>
              <c:numCache>
                <c:formatCode>0.00</c:formatCode>
                <c:ptCount val="11"/>
                <c:pt idx="0">
                  <c:v>5.5154976969999998</c:v>
                </c:pt>
                <c:pt idx="2">
                  <c:v>3.927531906</c:v>
                </c:pt>
                <c:pt idx="4">
                  <c:v>15.122709800000001</c:v>
                </c:pt>
                <c:pt idx="6">
                  <c:v>17.196570690000001</c:v>
                </c:pt>
                <c:pt idx="7">
                  <c:v>9.5060401779999992</c:v>
                </c:pt>
                <c:pt idx="8">
                  <c:v>6.3675166709999997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1D-4A73-A50B-EB5198A5B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  <a:r>
              <a:rPr lang="en-US" baseline="0"/>
              <a:t> vs POC (mg/L) - Exp 6</a:t>
            </a:r>
            <a:endParaRPr lang="en-US"/>
          </a:p>
        </c:rich>
      </c:tx>
      <c:layout>
        <c:manualLayout>
          <c:xMode val="edge"/>
          <c:yMode val="edge"/>
          <c:x val="0.11370362488472725"/>
          <c:y val="3.4782608695652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829923469428019"/>
                  <c:y val="-8.21170831906881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'constituent correlations'!$G$83:$G$93</c:f>
              <c:numCache>
                <c:formatCode>0.00</c:formatCode>
                <c:ptCount val="11"/>
                <c:pt idx="0">
                  <c:v>3.0339999999999998</c:v>
                </c:pt>
                <c:pt idx="1">
                  <c:v>3.0539999999999998</c:v>
                </c:pt>
                <c:pt idx="2">
                  <c:v>2.4729999999999999</c:v>
                </c:pt>
                <c:pt idx="3">
                  <c:v>2.6160000000000001</c:v>
                </c:pt>
                <c:pt idx="4">
                  <c:v>3.1349999999999998</c:v>
                </c:pt>
                <c:pt idx="5">
                  <c:v>2.9359999999999999</c:v>
                </c:pt>
                <c:pt idx="6">
                  <c:v>2.9329999999999998</c:v>
                </c:pt>
                <c:pt idx="7">
                  <c:v>2.6339999999999999</c:v>
                </c:pt>
                <c:pt idx="8">
                  <c:v>2.97</c:v>
                </c:pt>
                <c:pt idx="9">
                  <c:v>2.4969999999999999</c:v>
                </c:pt>
              </c:numCache>
            </c:numRef>
          </c:xVal>
          <c:yVal>
            <c:numRef>
              <c:f>'constituent correlations'!$H$83:$H$93</c:f>
              <c:numCache>
                <c:formatCode>0.00</c:formatCode>
                <c:ptCount val="11"/>
                <c:pt idx="0">
                  <c:v>5.5154976969999998</c:v>
                </c:pt>
                <c:pt idx="2">
                  <c:v>3.927531906</c:v>
                </c:pt>
                <c:pt idx="4">
                  <c:v>15.122709800000001</c:v>
                </c:pt>
                <c:pt idx="6">
                  <c:v>17.196570690000001</c:v>
                </c:pt>
                <c:pt idx="7">
                  <c:v>9.5060401779999992</c:v>
                </c:pt>
                <c:pt idx="8">
                  <c:v>6.3675166709999997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FA-489F-A57A-047C72920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3632"/>
        <c:axId val="1366990752"/>
      </c:scatterChart>
      <c:valAx>
        <c:axId val="13669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0752"/>
        <c:crosses val="autoZero"/>
        <c:crossBetween val="midCat"/>
      </c:valAx>
      <c:valAx>
        <c:axId val="1366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POC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3" Type="http://schemas.openxmlformats.org/officeDocument/2006/relationships/chart" Target="../charts/chart17.xml"/><Relationship Id="rId21" Type="http://schemas.openxmlformats.org/officeDocument/2006/relationships/chart" Target="../charts/chart35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17" Type="http://schemas.openxmlformats.org/officeDocument/2006/relationships/chart" Target="../charts/chart31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20" Type="http://schemas.openxmlformats.org/officeDocument/2006/relationships/chart" Target="../charts/chart34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24" Type="http://schemas.openxmlformats.org/officeDocument/2006/relationships/chart" Target="../charts/chart38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23" Type="http://schemas.openxmlformats.org/officeDocument/2006/relationships/chart" Target="../charts/chart37.xml"/><Relationship Id="rId10" Type="http://schemas.openxmlformats.org/officeDocument/2006/relationships/chart" Target="../charts/chart24.xml"/><Relationship Id="rId19" Type="http://schemas.openxmlformats.org/officeDocument/2006/relationships/chart" Target="../charts/chart33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Relationship Id="rId22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11</xdr:row>
      <xdr:rowOff>171450</xdr:rowOff>
    </xdr:from>
    <xdr:to>
      <xdr:col>6</xdr:col>
      <xdr:colOff>66674</xdr:colOff>
      <xdr:row>22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FD85E-E79D-77B6-A39A-7CCBF8331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133350</xdr:colOff>
      <xdr:row>11</xdr:row>
      <xdr:rowOff>171450</xdr:rowOff>
    </xdr:from>
    <xdr:to>
      <xdr:col>8</xdr:col>
      <xdr:colOff>219074</xdr:colOff>
      <xdr:row>22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9A9D62-A623-4084-8E03-DE560A394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266700</xdr:colOff>
      <xdr:row>11</xdr:row>
      <xdr:rowOff>171450</xdr:rowOff>
    </xdr:from>
    <xdr:to>
      <xdr:col>10</xdr:col>
      <xdr:colOff>466724</xdr:colOff>
      <xdr:row>22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56AEC8-60EB-4A00-A828-8B64D5EB2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23</xdr:row>
      <xdr:rowOff>76200</xdr:rowOff>
    </xdr:from>
    <xdr:to>
      <xdr:col>6</xdr:col>
      <xdr:colOff>38099</xdr:colOff>
      <xdr:row>35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C36D5B-861C-4F97-885D-A252DB99E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171450</xdr:colOff>
      <xdr:row>23</xdr:row>
      <xdr:rowOff>95250</xdr:rowOff>
    </xdr:from>
    <xdr:to>
      <xdr:col>8</xdr:col>
      <xdr:colOff>257174</xdr:colOff>
      <xdr:row>35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9F8522-27B9-4D54-AA1C-F1FFF426C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304800</xdr:colOff>
      <xdr:row>23</xdr:row>
      <xdr:rowOff>66675</xdr:rowOff>
    </xdr:from>
    <xdr:to>
      <xdr:col>10</xdr:col>
      <xdr:colOff>504824</xdr:colOff>
      <xdr:row>35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74F7E1E-21DE-4B1E-90BA-6F94210B1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885825</xdr:colOff>
      <xdr:row>35</xdr:row>
      <xdr:rowOff>171450</xdr:rowOff>
    </xdr:from>
    <xdr:to>
      <xdr:col>6</xdr:col>
      <xdr:colOff>28574</xdr:colOff>
      <xdr:row>48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E195B9C-6237-4C66-8BAB-17EF2882A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161925</xdr:colOff>
      <xdr:row>36</xdr:row>
      <xdr:rowOff>0</xdr:rowOff>
    </xdr:from>
    <xdr:to>
      <xdr:col>8</xdr:col>
      <xdr:colOff>247649</xdr:colOff>
      <xdr:row>48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06AFDA4-A3AA-48F8-B436-1CCED5A64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295275</xdr:colOff>
      <xdr:row>35</xdr:row>
      <xdr:rowOff>161925</xdr:rowOff>
    </xdr:from>
    <xdr:to>
      <xdr:col>10</xdr:col>
      <xdr:colOff>495299</xdr:colOff>
      <xdr:row>48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AB9CCA9-6EEE-4592-9185-2D73BDF77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9525</xdr:colOff>
      <xdr:row>48</xdr:row>
      <xdr:rowOff>95250</xdr:rowOff>
    </xdr:from>
    <xdr:to>
      <xdr:col>6</xdr:col>
      <xdr:colOff>47624</xdr:colOff>
      <xdr:row>60</xdr:row>
      <xdr:rowOff>133350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238A6C4-2A90-42E2-AD6A-3FFD38843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180975</xdr:colOff>
      <xdr:row>48</xdr:row>
      <xdr:rowOff>114300</xdr:rowOff>
    </xdr:from>
    <xdr:to>
      <xdr:col>8</xdr:col>
      <xdr:colOff>266699</xdr:colOff>
      <xdr:row>60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199483F-B505-4471-B0F4-A1E79012A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314325</xdr:colOff>
      <xdr:row>48</xdr:row>
      <xdr:rowOff>85725</xdr:rowOff>
    </xdr:from>
    <xdr:to>
      <xdr:col>10</xdr:col>
      <xdr:colOff>514349</xdr:colOff>
      <xdr:row>60</xdr:row>
      <xdr:rowOff>123825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2C8CBFE-B771-4307-8CD0-5C17C77CB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162036</xdr:colOff>
      <xdr:row>62</xdr:row>
      <xdr:rowOff>17256</xdr:rowOff>
    </xdr:from>
    <xdr:to>
      <xdr:col>5</xdr:col>
      <xdr:colOff>1072739</xdr:colOff>
      <xdr:row>71</xdr:row>
      <xdr:rowOff>40509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9F0A67-6375-22F4-1E97-0A1B870E9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1156112</xdr:colOff>
      <xdr:row>62</xdr:row>
      <xdr:rowOff>2240</xdr:rowOff>
    </xdr:from>
    <xdr:to>
      <xdr:col>7</xdr:col>
      <xdr:colOff>919779</xdr:colOff>
      <xdr:row>71</xdr:row>
      <xdr:rowOff>43422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322E80E-5E18-4245-956A-A833C35FD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</xdr:row>
      <xdr:rowOff>128587</xdr:rowOff>
    </xdr:from>
    <xdr:to>
      <xdr:col>16</xdr:col>
      <xdr:colOff>361950</xdr:colOff>
      <xdr:row>13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742C3F-DFB8-0A26-9DAC-93A82ADB5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409575</xdr:colOff>
      <xdr:row>1</xdr:row>
      <xdr:rowOff>114300</xdr:rowOff>
    </xdr:from>
    <xdr:to>
      <xdr:col>21</xdr:col>
      <xdr:colOff>533400</xdr:colOff>
      <xdr:row>13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E13E3E-E9DC-4A34-9A46-3E976FB1C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590550</xdr:colOff>
      <xdr:row>1</xdr:row>
      <xdr:rowOff>104775</xdr:rowOff>
    </xdr:from>
    <xdr:to>
      <xdr:col>27</xdr:col>
      <xdr:colOff>104775</xdr:colOff>
      <xdr:row>13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5F18A5-258C-4545-966A-769F7E74C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495301</xdr:colOff>
      <xdr:row>17</xdr:row>
      <xdr:rowOff>0</xdr:rowOff>
    </xdr:from>
    <xdr:to>
      <xdr:col>16</xdr:col>
      <xdr:colOff>571501</xdr:colOff>
      <xdr:row>28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1DFE7D-87B4-4828-8411-985CAC9EA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9525</xdr:colOff>
      <xdr:row>16</xdr:row>
      <xdr:rowOff>142875</xdr:rowOff>
    </xdr:from>
    <xdr:to>
      <xdr:col>22</xdr:col>
      <xdr:colOff>133350</xdr:colOff>
      <xdr:row>28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A8C718-C69F-4C75-A7E0-91599A43B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190500</xdr:colOff>
      <xdr:row>16</xdr:row>
      <xdr:rowOff>133350</xdr:rowOff>
    </xdr:from>
    <xdr:to>
      <xdr:col>27</xdr:col>
      <xdr:colOff>314325</xdr:colOff>
      <xdr:row>28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46E5B7F-2821-436E-91B5-13B7A79BF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466725</xdr:colOff>
      <xdr:row>28</xdr:row>
      <xdr:rowOff>128587</xdr:rowOff>
    </xdr:from>
    <xdr:to>
      <xdr:col>16</xdr:col>
      <xdr:colOff>533400</xdr:colOff>
      <xdr:row>40</xdr:row>
      <xdr:rowOff>28575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05177F7-BA39-45DF-8F64-E96CA4272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581025</xdr:colOff>
      <xdr:row>28</xdr:row>
      <xdr:rowOff>114300</xdr:rowOff>
    </xdr:from>
    <xdr:to>
      <xdr:col>22</xdr:col>
      <xdr:colOff>95250</xdr:colOff>
      <xdr:row>40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A06427-1D49-4A1D-B79E-95F6CF844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152400</xdr:colOff>
      <xdr:row>28</xdr:row>
      <xdr:rowOff>104775</xdr:rowOff>
    </xdr:from>
    <xdr:to>
      <xdr:col>27</xdr:col>
      <xdr:colOff>276225</xdr:colOff>
      <xdr:row>40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D8D8588-32C6-4778-BBBF-3E73C092F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466725</xdr:colOff>
      <xdr:row>40</xdr:row>
      <xdr:rowOff>90487</xdr:rowOff>
    </xdr:from>
    <xdr:to>
      <xdr:col>16</xdr:col>
      <xdr:colOff>533400</xdr:colOff>
      <xdr:row>51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938F04C-ED9E-42F6-B7CE-094DE0CF0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581025</xdr:colOff>
      <xdr:row>40</xdr:row>
      <xdr:rowOff>76200</xdr:rowOff>
    </xdr:from>
    <xdr:to>
      <xdr:col>22</xdr:col>
      <xdr:colOff>95250</xdr:colOff>
      <xdr:row>51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49BC699-B4F3-48D8-8609-9BD34B745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152400</xdr:colOff>
      <xdr:row>40</xdr:row>
      <xdr:rowOff>66675</xdr:rowOff>
    </xdr:from>
    <xdr:to>
      <xdr:col>27</xdr:col>
      <xdr:colOff>276225</xdr:colOff>
      <xdr:row>51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DA8463F-091C-4586-907E-BF5F1224A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476250</xdr:colOff>
      <xdr:row>52</xdr:row>
      <xdr:rowOff>61912</xdr:rowOff>
    </xdr:from>
    <xdr:to>
      <xdr:col>16</xdr:col>
      <xdr:colOff>542925</xdr:colOff>
      <xdr:row>63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71792A2-E8BF-470C-9848-1A86848B9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590550</xdr:colOff>
      <xdr:row>52</xdr:row>
      <xdr:rowOff>47625</xdr:rowOff>
    </xdr:from>
    <xdr:to>
      <xdr:col>22</xdr:col>
      <xdr:colOff>104775</xdr:colOff>
      <xdr:row>63</xdr:row>
      <xdr:rowOff>142875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931F4BA-B2CD-44DA-B4AE-7A6C8BB0C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161925</xdr:colOff>
      <xdr:row>52</xdr:row>
      <xdr:rowOff>38100</xdr:rowOff>
    </xdr:from>
    <xdr:to>
      <xdr:col>27</xdr:col>
      <xdr:colOff>285750</xdr:colOff>
      <xdr:row>63</xdr:row>
      <xdr:rowOff>133350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CBD6CBE-49BF-4652-9E7E-5EBE49F77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447675</xdr:colOff>
      <xdr:row>64</xdr:row>
      <xdr:rowOff>14287</xdr:rowOff>
    </xdr:from>
    <xdr:to>
      <xdr:col>16</xdr:col>
      <xdr:colOff>514350</xdr:colOff>
      <xdr:row>75</xdr:row>
      <xdr:rowOff>104775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6721CFB-CFE1-4CD2-AC88-82F5C95CA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561975</xdr:colOff>
      <xdr:row>64</xdr:row>
      <xdr:rowOff>0</xdr:rowOff>
    </xdr:from>
    <xdr:to>
      <xdr:col>22</xdr:col>
      <xdr:colOff>76200</xdr:colOff>
      <xdr:row>75</xdr:row>
      <xdr:rowOff>95250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3BEA6D3-D89A-455A-BD46-659CA7F10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133350</xdr:colOff>
      <xdr:row>63</xdr:row>
      <xdr:rowOff>180975</xdr:rowOff>
    </xdr:from>
    <xdr:to>
      <xdr:col>27</xdr:col>
      <xdr:colOff>257175</xdr:colOff>
      <xdr:row>75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83D1CCB-F054-49FB-9D2D-68B6EB592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502920</xdr:colOff>
      <xdr:row>76</xdr:row>
      <xdr:rowOff>23812</xdr:rowOff>
    </xdr:from>
    <xdr:to>
      <xdr:col>16</xdr:col>
      <xdr:colOff>573405</xdr:colOff>
      <xdr:row>87</xdr:row>
      <xdr:rowOff>114300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FA95FCE-4876-41B1-ADD4-FDC1E7701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17</xdr:col>
      <xdr:colOff>7620</xdr:colOff>
      <xdr:row>76</xdr:row>
      <xdr:rowOff>5715</xdr:rowOff>
    </xdr:from>
    <xdr:to>
      <xdr:col>22</xdr:col>
      <xdr:colOff>127635</xdr:colOff>
      <xdr:row>87</xdr:row>
      <xdr:rowOff>108585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FF4F57B-8AF2-495B-B8A5-A0B0C4028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22</xdr:col>
      <xdr:colOff>192405</xdr:colOff>
      <xdr:row>76</xdr:row>
      <xdr:rowOff>0</xdr:rowOff>
    </xdr:from>
    <xdr:to>
      <xdr:col>27</xdr:col>
      <xdr:colOff>312420</xdr:colOff>
      <xdr:row>87</xdr:row>
      <xdr:rowOff>95250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AA2BFA0-FB82-484C-89D9-19CD326AB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514350</xdr:colOff>
      <xdr:row>88</xdr:row>
      <xdr:rowOff>4762</xdr:rowOff>
    </xdr:from>
    <xdr:to>
      <xdr:col>16</xdr:col>
      <xdr:colOff>584835</xdr:colOff>
      <xdr:row>99</xdr:row>
      <xdr:rowOff>95250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D71CEB4-7BC0-4730-B80B-686E3DD9F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17</xdr:col>
      <xdr:colOff>19050</xdr:colOff>
      <xdr:row>87</xdr:row>
      <xdr:rowOff>177165</xdr:rowOff>
    </xdr:from>
    <xdr:to>
      <xdr:col>22</xdr:col>
      <xdr:colOff>139065</xdr:colOff>
      <xdr:row>99</xdr:row>
      <xdr:rowOff>89535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24BC9A3-480A-42E3-8C96-49D8DE719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22</xdr:col>
      <xdr:colOff>203835</xdr:colOff>
      <xdr:row>87</xdr:row>
      <xdr:rowOff>171450</xdr:rowOff>
    </xdr:from>
    <xdr:to>
      <xdr:col>27</xdr:col>
      <xdr:colOff>323850</xdr:colOff>
      <xdr:row>99</xdr:row>
      <xdr:rowOff>76200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650735E7-457E-4A2D-91AD-12DCD5D94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zoomScale="85" zoomScaleNormal="85" workbookViewId="0">
      <selection activeCell="N15" sqref="N15"/>
    </sheetView>
  </sheetViews>
  <sheetFormatPr defaultRowHeight="15" x14ac:dyDescent="0.25"/>
  <cols>
    <col min="1" max="1" width="24.140625" customWidth="1"/>
    <col min="2" max="2" width="18.5703125" customWidth="1"/>
    <col min="3" max="3" width="24.42578125" customWidth="1"/>
    <col min="4" max="4" width="13.42578125" customWidth="1"/>
    <col min="5" max="5" width="22" customWidth="1"/>
    <col min="6" max="6" width="20.28515625" customWidth="1"/>
    <col min="7" max="7" width="19.7109375" customWidth="1"/>
    <col min="8" max="8" width="21.85546875" customWidth="1"/>
    <col min="9" max="9" width="20.7109375" customWidth="1"/>
    <col min="10" max="10" width="19.140625" customWidth="1"/>
    <col min="16" max="16" width="21.5703125" customWidth="1"/>
  </cols>
  <sheetData>
    <row r="1" spans="1:15" x14ac:dyDescent="0.25">
      <c r="A1" s="1" t="s">
        <v>2</v>
      </c>
      <c r="B1" s="2" t="s">
        <v>12</v>
      </c>
      <c r="C1" s="3" t="s">
        <v>13</v>
      </c>
    </row>
    <row r="4" spans="1:15" x14ac:dyDescent="0.25">
      <c r="A4" s="27" t="s">
        <v>9</v>
      </c>
      <c r="B4" s="1" t="s">
        <v>11</v>
      </c>
      <c r="C4" s="1" t="s">
        <v>23</v>
      </c>
      <c r="D4" s="1"/>
      <c r="F4" s="1" t="s">
        <v>19</v>
      </c>
      <c r="G4" s="1" t="s">
        <v>18</v>
      </c>
      <c r="H4" s="26" t="s">
        <v>24</v>
      </c>
      <c r="I4" s="1" t="s">
        <v>27</v>
      </c>
      <c r="J4" s="1" t="s">
        <v>26</v>
      </c>
      <c r="O4" s="33"/>
    </row>
    <row r="5" spans="1:15" x14ac:dyDescent="0.25">
      <c r="A5" s="1" t="s">
        <v>3</v>
      </c>
      <c r="B5" s="35">
        <v>0.453436795025429</v>
      </c>
      <c r="C5" s="6">
        <f>MAX('constituent correlations'!F4:F17)</f>
        <v>167.04416760000001</v>
      </c>
      <c r="D5" s="1"/>
      <c r="E5" s="1" t="s">
        <v>3</v>
      </c>
      <c r="F5" s="1">
        <f>MAX('constituent correlations'!D4:D17)</f>
        <v>22.75</v>
      </c>
      <c r="G5" s="1" t="s">
        <v>20</v>
      </c>
      <c r="H5" s="1">
        <v>128</v>
      </c>
      <c r="I5" s="6">
        <v>71.428571428571431</v>
      </c>
      <c r="J5" s="6">
        <v>85.714285714285708</v>
      </c>
      <c r="O5" s="33"/>
    </row>
    <row r="6" spans="1:15" x14ac:dyDescent="0.25">
      <c r="A6" s="1" t="s">
        <v>4</v>
      </c>
      <c r="B6" s="35">
        <v>0.14144997157405101</v>
      </c>
      <c r="C6" s="6">
        <f>MAX('constituent correlations'!F18:F33)</f>
        <v>162.5418607</v>
      </c>
      <c r="D6" s="1"/>
      <c r="E6" s="1" t="s">
        <v>4</v>
      </c>
      <c r="F6" s="1">
        <f>MAX('constituent correlations'!D18:D33)</f>
        <v>21.992000000000001</v>
      </c>
      <c r="G6" s="1" t="s">
        <v>20</v>
      </c>
      <c r="H6" s="1">
        <v>128</v>
      </c>
      <c r="I6" s="6">
        <v>77.272727272727266</v>
      </c>
      <c r="J6" s="6">
        <v>61.53846153846154</v>
      </c>
      <c r="O6" s="33"/>
    </row>
    <row r="7" spans="1:15" x14ac:dyDescent="0.25">
      <c r="A7" s="1" t="s">
        <v>5</v>
      </c>
      <c r="B7" s="35">
        <v>0.13607881876945299</v>
      </c>
      <c r="C7" s="6">
        <f>MAX('constituent correlations'!F34:F46)</f>
        <v>174.6761387</v>
      </c>
      <c r="D7" s="1"/>
      <c r="E7" s="1" t="s">
        <v>5</v>
      </c>
      <c r="F7" s="1">
        <f>MAX('constituent correlations'!D34:D46)</f>
        <v>21.641999999999999</v>
      </c>
      <c r="G7" s="1" t="s">
        <v>20</v>
      </c>
      <c r="H7" s="1">
        <v>90</v>
      </c>
      <c r="I7" s="6">
        <v>36.363636363636367</v>
      </c>
      <c r="J7" s="6">
        <v>30.76923076923077</v>
      </c>
      <c r="O7" s="33"/>
    </row>
    <row r="8" spans="1:15" x14ac:dyDescent="0.25">
      <c r="A8" s="1" t="s">
        <v>6</v>
      </c>
      <c r="B8" s="35">
        <v>0.61769731984154397</v>
      </c>
      <c r="C8" s="6">
        <f>MAX('constituent correlations'!F47:F58)</f>
        <v>287.8289474</v>
      </c>
      <c r="D8" s="1"/>
      <c r="E8" s="1" t="s">
        <v>6</v>
      </c>
      <c r="F8" s="1">
        <f>MAX('constituent correlations'!D47:D58)</f>
        <v>21.291</v>
      </c>
      <c r="G8" s="1" t="s">
        <v>20</v>
      </c>
      <c r="H8" s="1">
        <v>128</v>
      </c>
      <c r="I8" s="6">
        <v>40</v>
      </c>
      <c r="J8" s="6">
        <v>40</v>
      </c>
      <c r="O8" s="33"/>
    </row>
    <row r="9" spans="1:15" x14ac:dyDescent="0.25">
      <c r="A9" s="28" t="s">
        <v>7</v>
      </c>
      <c r="B9" s="37">
        <v>0.66455526442613699</v>
      </c>
      <c r="C9" s="30">
        <f>MAX('constituent correlations'!F59:F71)</f>
        <v>243.34662650000001</v>
      </c>
      <c r="D9" s="1"/>
      <c r="E9" s="28" t="s">
        <v>7</v>
      </c>
      <c r="F9" s="28">
        <f>MAX('constituent correlations'!D59:D71)</f>
        <v>23.274999999999999</v>
      </c>
      <c r="G9" s="28" t="s">
        <v>20</v>
      </c>
      <c r="H9" s="28">
        <v>64</v>
      </c>
      <c r="I9" s="30">
        <v>47.826086956521742</v>
      </c>
      <c r="J9" s="30">
        <v>33.333333333333329</v>
      </c>
      <c r="O9" s="33"/>
    </row>
    <row r="10" spans="1:15" x14ac:dyDescent="0.25">
      <c r="A10" s="1" t="s">
        <v>8</v>
      </c>
      <c r="B10" s="35">
        <v>0.108961953015194</v>
      </c>
      <c r="C10" s="6">
        <f>MAX('constituent correlations'!F72:F82)</f>
        <v>44.890630100000003</v>
      </c>
      <c r="D10" s="1"/>
      <c r="E10" s="1" t="s">
        <v>8</v>
      </c>
      <c r="F10" s="6">
        <f>MAX('constituent correlations'!D72:D82)</f>
        <v>10.617000000000001</v>
      </c>
      <c r="G10" s="1" t="s">
        <v>21</v>
      </c>
      <c r="H10" s="1" t="s">
        <v>25</v>
      </c>
      <c r="I10" s="1" t="s">
        <v>25</v>
      </c>
      <c r="J10" s="1" t="s">
        <v>25</v>
      </c>
    </row>
    <row r="11" spans="1:15" x14ac:dyDescent="0.25">
      <c r="A11" s="1" t="s">
        <v>28</v>
      </c>
      <c r="B11" s="35">
        <v>0.110130855336203</v>
      </c>
      <c r="C11" s="6">
        <f>MAX('constituent correlations'!F83:F92)</f>
        <v>240.01979539999999</v>
      </c>
      <c r="D11" s="1">
        <f>C10/C11</f>
        <v>0.18702886578662589</v>
      </c>
      <c r="E11" s="1" t="s">
        <v>28</v>
      </c>
      <c r="F11" s="6">
        <f>MAX('constituent correlations'!D83:D92)</f>
        <v>9.3919999999999995</v>
      </c>
      <c r="G11" s="1" t="s">
        <v>22</v>
      </c>
      <c r="H11" s="1" t="s">
        <v>25</v>
      </c>
      <c r="I11" s="1" t="s">
        <v>25</v>
      </c>
      <c r="J11" s="1" t="s">
        <v>25</v>
      </c>
      <c r="O11" s="33"/>
    </row>
    <row r="12" spans="1:15" x14ac:dyDescent="0.25">
      <c r="I12" s="1"/>
      <c r="O12" s="33"/>
    </row>
    <row r="13" spans="1:15" x14ac:dyDescent="0.25">
      <c r="A13" s="27" t="s">
        <v>1</v>
      </c>
      <c r="B13" s="1" t="s">
        <v>11</v>
      </c>
      <c r="C13" s="1" t="s">
        <v>23</v>
      </c>
      <c r="D13" s="1"/>
      <c r="O13" s="33"/>
    </row>
    <row r="14" spans="1:15" x14ac:dyDescent="0.25">
      <c r="A14" s="1" t="s">
        <v>3</v>
      </c>
      <c r="B14" s="35">
        <v>0.262211557214444</v>
      </c>
      <c r="C14" s="6">
        <f>MAX('constituent correlations'!H4:H17)</f>
        <v>12.33049707</v>
      </c>
      <c r="D14" s="1"/>
    </row>
    <row r="15" spans="1:15" x14ac:dyDescent="0.25">
      <c r="A15" s="1" t="s">
        <v>4</v>
      </c>
      <c r="B15" s="35">
        <v>0.15997395020695501</v>
      </c>
      <c r="C15" s="6">
        <f>MAX('constituent correlations'!H18:H33)</f>
        <v>12.04121088</v>
      </c>
      <c r="D15" s="1"/>
      <c r="O15" s="33"/>
    </row>
    <row r="16" spans="1:15" x14ac:dyDescent="0.25">
      <c r="A16" s="1" t="s">
        <v>5</v>
      </c>
      <c r="B16" s="31">
        <v>-2.5566841037180299E-3</v>
      </c>
      <c r="C16" s="6">
        <f>MAX('constituent correlations'!H34:H46)</f>
        <v>10.93014432</v>
      </c>
      <c r="D16" s="1"/>
      <c r="O16" s="33"/>
    </row>
    <row r="17" spans="1:15" x14ac:dyDescent="0.25">
      <c r="A17" s="1" t="s">
        <v>6</v>
      </c>
      <c r="B17" s="35">
        <v>0.62020718230999505</v>
      </c>
      <c r="C17" s="6">
        <f>MAX('constituent correlations'!H47:H58)</f>
        <v>24.660150940000001</v>
      </c>
      <c r="D17" s="1"/>
      <c r="O17" s="33"/>
    </row>
    <row r="18" spans="1:15" x14ac:dyDescent="0.25">
      <c r="A18" s="28" t="s">
        <v>7</v>
      </c>
      <c r="B18" s="37">
        <v>0.78199948801270402</v>
      </c>
      <c r="C18" s="30">
        <f>MAX('constituent correlations'!H59:H71)</f>
        <v>20.72610796</v>
      </c>
      <c r="D18" s="1"/>
    </row>
    <row r="19" spans="1:15" x14ac:dyDescent="0.25">
      <c r="A19" s="1" t="s">
        <v>8</v>
      </c>
      <c r="B19" s="31">
        <v>-0.501279910362319</v>
      </c>
      <c r="C19" s="6">
        <f>MAX('constituent correlations'!H72:H82)</f>
        <v>4.9322235059999997</v>
      </c>
      <c r="D19" s="1"/>
      <c r="O19" s="33"/>
    </row>
    <row r="20" spans="1:15" x14ac:dyDescent="0.25">
      <c r="A20" s="1" t="s">
        <v>28</v>
      </c>
      <c r="B20" s="35">
        <v>9.1527185590156004E-2</v>
      </c>
      <c r="C20" s="6">
        <f>MAX('constituent correlations'!H83:H92)</f>
        <v>17.196570690000001</v>
      </c>
      <c r="D20" s="1">
        <f>C19/C20</f>
        <v>0.28681436519597148</v>
      </c>
      <c r="O20" s="33"/>
    </row>
    <row r="21" spans="1:15" x14ac:dyDescent="0.25">
      <c r="O21" s="33"/>
    </row>
    <row r="22" spans="1:15" x14ac:dyDescent="0.25">
      <c r="A22" s="27" t="s">
        <v>0</v>
      </c>
      <c r="B22" s="1" t="s">
        <v>11</v>
      </c>
      <c r="C22" s="1" t="s">
        <v>23</v>
      </c>
      <c r="D22" s="1"/>
    </row>
    <row r="23" spans="1:15" x14ac:dyDescent="0.25">
      <c r="A23" s="1" t="s">
        <v>3</v>
      </c>
      <c r="B23" s="35">
        <v>8.2872285708523799E-2</v>
      </c>
      <c r="C23" s="1">
        <f>MAX('constituent correlations'!G4:G17)</f>
        <v>2.64</v>
      </c>
      <c r="D23" s="1"/>
      <c r="O23" s="33"/>
    </row>
    <row r="24" spans="1:15" x14ac:dyDescent="0.25">
      <c r="A24" s="1" t="s">
        <v>4</v>
      </c>
      <c r="B24" s="31">
        <v>-0.120864394889326</v>
      </c>
      <c r="C24" s="1">
        <f>MAX('constituent correlations'!G18:G33)</f>
        <v>3.0089999999999999</v>
      </c>
      <c r="D24" s="1"/>
      <c r="O24" s="33"/>
    </row>
    <row r="25" spans="1:15" x14ac:dyDescent="0.25">
      <c r="A25" s="1" t="s">
        <v>5</v>
      </c>
      <c r="B25" s="35">
        <v>1.1974710137234199E-2</v>
      </c>
      <c r="C25" s="1">
        <f>MAX('constituent correlations'!G34:G46)</f>
        <v>2.8980000000000001</v>
      </c>
      <c r="D25" s="1"/>
      <c r="O25" s="33"/>
    </row>
    <row r="26" spans="1:15" x14ac:dyDescent="0.25">
      <c r="A26" s="1" t="s">
        <v>6</v>
      </c>
      <c r="B26" s="31">
        <v>-9.3327819128066702E-2</v>
      </c>
      <c r="C26" s="1">
        <f>MAX('constituent correlations'!G47:G58)</f>
        <v>2.3029999999999999</v>
      </c>
      <c r="D26" s="1"/>
      <c r="O26" s="33"/>
    </row>
    <row r="27" spans="1:15" x14ac:dyDescent="0.25">
      <c r="A27" s="28" t="s">
        <v>7</v>
      </c>
      <c r="B27" s="34">
        <v>-7.3285474508812898E-2</v>
      </c>
      <c r="C27" s="28">
        <f>MAX('constituent correlations'!G59:G71)</f>
        <v>2.883</v>
      </c>
      <c r="D27" s="1"/>
      <c r="O27" s="33"/>
    </row>
    <row r="28" spans="1:15" x14ac:dyDescent="0.25">
      <c r="A28" s="1" t="s">
        <v>8</v>
      </c>
      <c r="B28" s="31">
        <v>-8.6314057587169295E-3</v>
      </c>
      <c r="C28" s="6">
        <f>MAX('constituent correlations'!G72:G82)</f>
        <v>3.641</v>
      </c>
      <c r="D28" s="1"/>
      <c r="O28" s="33"/>
    </row>
    <row r="29" spans="1:15" x14ac:dyDescent="0.25">
      <c r="A29" s="1" t="s">
        <v>28</v>
      </c>
      <c r="B29" s="35">
        <v>0.11666545665484999</v>
      </c>
      <c r="C29" s="6">
        <f>MAX('constituent correlations'!G83:G92)</f>
        <v>3.1349999999999998</v>
      </c>
      <c r="D29" s="1">
        <f>C28/C29</f>
        <v>1.1614035087719299</v>
      </c>
    </row>
    <row r="30" spans="1:15" x14ac:dyDescent="0.25">
      <c r="O30" s="33"/>
    </row>
    <row r="31" spans="1:15" x14ac:dyDescent="0.25">
      <c r="A31" s="27" t="s">
        <v>29</v>
      </c>
      <c r="B31" s="1" t="s">
        <v>11</v>
      </c>
      <c r="C31" s="1" t="s">
        <v>23</v>
      </c>
      <c r="D31" s="1"/>
      <c r="O31" s="33"/>
    </row>
    <row r="32" spans="1:15" x14ac:dyDescent="0.25">
      <c r="A32" s="1" t="s">
        <v>3</v>
      </c>
      <c r="B32" s="4">
        <v>0.39025509275430098</v>
      </c>
      <c r="C32" s="33">
        <v>2.2338385851655443E-2</v>
      </c>
      <c r="D32" s="1"/>
      <c r="O32" s="33"/>
    </row>
    <row r="33" spans="1:15" x14ac:dyDescent="0.25">
      <c r="A33" s="1" t="s">
        <v>4</v>
      </c>
      <c r="B33" s="32"/>
      <c r="C33" s="33"/>
      <c r="D33" s="1"/>
    </row>
    <row r="34" spans="1:15" x14ac:dyDescent="0.25">
      <c r="A34" s="1" t="s">
        <v>5</v>
      </c>
      <c r="B34" s="32"/>
      <c r="C34" s="33"/>
      <c r="D34" s="1"/>
      <c r="O34" s="33"/>
    </row>
    <row r="35" spans="1:15" x14ac:dyDescent="0.25">
      <c r="A35" s="1" t="s">
        <v>6</v>
      </c>
      <c r="B35" s="32"/>
      <c r="C35" s="33"/>
      <c r="D35" s="1"/>
      <c r="O35" s="33"/>
    </row>
    <row r="36" spans="1:15" x14ac:dyDescent="0.25">
      <c r="A36" s="28" t="s">
        <v>7</v>
      </c>
      <c r="B36" s="29">
        <v>0.54200255292126898</v>
      </c>
      <c r="C36" s="36">
        <v>2.3321471582393793E-2</v>
      </c>
      <c r="D36" s="1"/>
      <c r="O36" s="33"/>
    </row>
    <row r="37" spans="1:15" x14ac:dyDescent="0.25">
      <c r="A37" s="1" t="s">
        <v>8</v>
      </c>
      <c r="B37" s="32"/>
      <c r="C37" s="6"/>
      <c r="D37" s="1"/>
    </row>
    <row r="38" spans="1:15" x14ac:dyDescent="0.25">
      <c r="A38" s="1" t="s">
        <v>28</v>
      </c>
      <c r="B38" s="32"/>
      <c r="C38" s="6"/>
      <c r="D38" s="1" t="e">
        <f>C37/C38</f>
        <v>#DIV/0!</v>
      </c>
    </row>
    <row r="39" spans="1:15" x14ac:dyDescent="0.25">
      <c r="B39" s="1"/>
    </row>
    <row r="40" spans="1:15" x14ac:dyDescent="0.25">
      <c r="A40" s="27" t="s">
        <v>31</v>
      </c>
      <c r="B40" s="1" t="s">
        <v>11</v>
      </c>
      <c r="C40" s="1" t="s">
        <v>23</v>
      </c>
    </row>
    <row r="41" spans="1:15" x14ac:dyDescent="0.25">
      <c r="A41" s="1" t="s">
        <v>3</v>
      </c>
      <c r="B41" s="5">
        <v>-0.26955872659063201</v>
      </c>
      <c r="C41" s="33">
        <v>2.9876399999999997E-2</v>
      </c>
    </row>
    <row r="42" spans="1:15" x14ac:dyDescent="0.25">
      <c r="A42" s="1" t="s">
        <v>4</v>
      </c>
      <c r="B42" s="32"/>
      <c r="C42" s="33"/>
    </row>
    <row r="43" spans="1:15" x14ac:dyDescent="0.25">
      <c r="A43" s="1" t="s">
        <v>5</v>
      </c>
      <c r="B43" s="32"/>
      <c r="C43" s="33"/>
    </row>
    <row r="44" spans="1:15" x14ac:dyDescent="0.25">
      <c r="A44" s="1" t="s">
        <v>6</v>
      </c>
      <c r="B44" s="32"/>
      <c r="C44" s="33"/>
    </row>
    <row r="45" spans="1:15" x14ac:dyDescent="0.25">
      <c r="A45" s="28" t="s">
        <v>7</v>
      </c>
      <c r="B45" s="29">
        <v>2.6807256740673498E-3</v>
      </c>
      <c r="C45" s="36">
        <v>2.6339799999999997E-2</v>
      </c>
    </row>
    <row r="46" spans="1:15" x14ac:dyDescent="0.25">
      <c r="A46" s="1" t="s">
        <v>8</v>
      </c>
      <c r="B46" s="32"/>
      <c r="C46" s="6"/>
    </row>
    <row r="47" spans="1:15" x14ac:dyDescent="0.25">
      <c r="A47" s="1" t="s">
        <v>28</v>
      </c>
      <c r="B47" s="32"/>
      <c r="C47" s="6"/>
    </row>
    <row r="48" spans="1:15" x14ac:dyDescent="0.25">
      <c r="B48" s="1"/>
    </row>
    <row r="49" spans="1:3" x14ac:dyDescent="0.25">
      <c r="A49" s="27" t="s">
        <v>32</v>
      </c>
      <c r="B49" s="1" t="s">
        <v>11</v>
      </c>
      <c r="C49" s="1" t="s">
        <v>23</v>
      </c>
    </row>
    <row r="50" spans="1:3" x14ac:dyDescent="0.25">
      <c r="A50" s="1" t="s">
        <v>3</v>
      </c>
      <c r="B50" s="31">
        <v>-0.33213619826679402</v>
      </c>
      <c r="C50" s="33">
        <v>8.9288000000000034E-2</v>
      </c>
    </row>
    <row r="51" spans="1:3" x14ac:dyDescent="0.25">
      <c r="A51" s="1" t="s">
        <v>4</v>
      </c>
      <c r="B51" s="33"/>
      <c r="C51" s="33"/>
    </row>
    <row r="52" spans="1:3" x14ac:dyDescent="0.25">
      <c r="A52" s="1" t="s">
        <v>5</v>
      </c>
      <c r="B52" s="33"/>
      <c r="C52" s="33"/>
    </row>
    <row r="53" spans="1:3" x14ac:dyDescent="0.25">
      <c r="A53" s="1" t="s">
        <v>6</v>
      </c>
      <c r="B53" s="33"/>
      <c r="C53" s="33"/>
    </row>
    <row r="54" spans="1:3" x14ac:dyDescent="0.25">
      <c r="A54" s="28" t="s">
        <v>7</v>
      </c>
      <c r="B54" s="34">
        <v>-0.235823563048565</v>
      </c>
      <c r="C54" s="36">
        <v>8.2011200000000006E-2</v>
      </c>
    </row>
    <row r="55" spans="1:3" x14ac:dyDescent="0.25">
      <c r="A55" s="1" t="s">
        <v>8</v>
      </c>
      <c r="B55" s="32"/>
      <c r="C55" s="6"/>
    </row>
    <row r="56" spans="1:3" x14ac:dyDescent="0.25">
      <c r="A56" s="1" t="s">
        <v>28</v>
      </c>
      <c r="B56" s="32"/>
      <c r="C56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C4C3-E8D9-4F2F-B205-014F15A76EA5}">
  <dimension ref="A3:K92"/>
  <sheetViews>
    <sheetView zoomScale="85" zoomScaleNormal="85" workbookViewId="0">
      <selection activeCell="V16" sqref="V16"/>
    </sheetView>
  </sheetViews>
  <sheetFormatPr defaultRowHeight="15" x14ac:dyDescent="0.25"/>
  <cols>
    <col min="1" max="1" width="22.7109375" customWidth="1"/>
    <col min="3" max="3" width="17.140625" customWidth="1"/>
    <col min="5" max="5" width="10.28515625" customWidth="1"/>
    <col min="6" max="6" width="12.28515625" customWidth="1"/>
    <col min="7" max="7" width="12.5703125" customWidth="1"/>
    <col min="8" max="11" width="12.7109375" customWidth="1"/>
  </cols>
  <sheetData>
    <row r="3" spans="1:11" x14ac:dyDescent="0.25">
      <c r="A3" s="7" t="s">
        <v>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10</v>
      </c>
      <c r="G3" s="7" t="s">
        <v>0</v>
      </c>
      <c r="H3" s="7" t="s">
        <v>1</v>
      </c>
      <c r="I3" s="7" t="s">
        <v>29</v>
      </c>
      <c r="J3" s="7" t="s">
        <v>30</v>
      </c>
      <c r="K3" s="7" t="s">
        <v>31</v>
      </c>
    </row>
    <row r="4" spans="1:11" x14ac:dyDescent="0.25">
      <c r="A4" s="7" t="s">
        <v>3</v>
      </c>
      <c r="B4" s="7">
        <v>1</v>
      </c>
      <c r="C4" s="8">
        <v>44775.498020833336</v>
      </c>
      <c r="D4" s="9">
        <v>9.2750000000000004</v>
      </c>
      <c r="E4" s="9">
        <v>97.69</v>
      </c>
      <c r="F4" s="9">
        <v>167.04416760000001</v>
      </c>
      <c r="G4" s="9">
        <v>2.64</v>
      </c>
      <c r="H4" s="9">
        <v>10.97452421</v>
      </c>
      <c r="I4" s="5">
        <v>1.003934430437827E-2</v>
      </c>
      <c r="J4" s="5">
        <v>6.0180800000000007E-2</v>
      </c>
      <c r="K4" s="5">
        <v>2.45715E-2</v>
      </c>
    </row>
    <row r="5" spans="1:11" x14ac:dyDescent="0.25">
      <c r="A5" s="7" t="s">
        <v>3</v>
      </c>
      <c r="B5" s="7">
        <v>2</v>
      </c>
      <c r="C5" s="8">
        <v>44775.498159722221</v>
      </c>
      <c r="D5" s="9">
        <v>22.75</v>
      </c>
      <c r="E5" s="9">
        <v>347.61</v>
      </c>
      <c r="F5" s="9">
        <v>145.0786205</v>
      </c>
      <c r="G5" s="9">
        <v>2.3839999999999999</v>
      </c>
      <c r="H5" s="9">
        <v>12.33049707</v>
      </c>
      <c r="I5" s="5">
        <v>2.2338385851655443E-2</v>
      </c>
      <c r="J5" s="5">
        <v>3.6531200000000014E-2</v>
      </c>
      <c r="K5" s="5">
        <v>1.7498300000000022E-2</v>
      </c>
    </row>
    <row r="6" spans="1:11" x14ac:dyDescent="0.25">
      <c r="A6" s="7" t="s">
        <v>3</v>
      </c>
      <c r="B6" s="7">
        <v>3</v>
      </c>
      <c r="C6" s="8">
        <v>44775.498287037037</v>
      </c>
      <c r="D6" s="9">
        <v>19.25</v>
      </c>
      <c r="E6" s="9">
        <v>191.85</v>
      </c>
      <c r="F6" s="9">
        <v>76.137884869999993</v>
      </c>
      <c r="G6" s="9">
        <v>2.2839999999999998</v>
      </c>
      <c r="H6" s="9"/>
      <c r="I6" s="5">
        <v>9.8099758295017991E-3</v>
      </c>
      <c r="J6" s="5">
        <v>3.28928E-2</v>
      </c>
      <c r="K6" s="5">
        <v>2.1034899999999995E-2</v>
      </c>
    </row>
    <row r="7" spans="1:11" x14ac:dyDescent="0.25">
      <c r="A7" s="7" t="s">
        <v>3</v>
      </c>
      <c r="B7" s="7">
        <v>4</v>
      </c>
      <c r="C7" s="8">
        <v>44775.498402777775</v>
      </c>
      <c r="D7" s="9">
        <v>16.100000000000001</v>
      </c>
      <c r="E7" s="9">
        <v>176.97</v>
      </c>
      <c r="F7" s="9">
        <v>47.967684929999997</v>
      </c>
      <c r="G7" s="9">
        <v>2.423</v>
      </c>
      <c r="H7" s="9">
        <v>4.9671491120000004</v>
      </c>
      <c r="I7" s="5">
        <v>1.031870116219955E-2</v>
      </c>
      <c r="J7" s="5">
        <v>3.28928E-2</v>
      </c>
      <c r="K7" s="5">
        <v>2.9876399999999997E-2</v>
      </c>
    </row>
    <row r="8" spans="1:11" x14ac:dyDescent="0.25">
      <c r="A8" s="7" t="s">
        <v>3</v>
      </c>
      <c r="B8" s="7">
        <v>5</v>
      </c>
      <c r="C8" s="8">
        <v>44775.498530092591</v>
      </c>
      <c r="D8" s="9">
        <v>13.884</v>
      </c>
      <c r="E8" s="9">
        <v>127.27</v>
      </c>
      <c r="F8" s="9">
        <v>67.326074309999996</v>
      </c>
      <c r="G8" s="9">
        <v>2.488</v>
      </c>
      <c r="H8" s="9">
        <v>8.8903534999999998</v>
      </c>
      <c r="I8" s="5">
        <v>6.2101564483107649E-3</v>
      </c>
      <c r="J8" s="5">
        <v>3.4711999999999993E-2</v>
      </c>
      <c r="K8" s="5">
        <v>2.6339799999999997E-2</v>
      </c>
    </row>
    <row r="9" spans="1:11" x14ac:dyDescent="0.25">
      <c r="A9" s="7" t="s">
        <v>3</v>
      </c>
      <c r="B9" s="7">
        <v>6</v>
      </c>
      <c r="C9" s="8">
        <v>44775.498657407406</v>
      </c>
      <c r="D9" s="9">
        <v>12.775</v>
      </c>
      <c r="E9" s="9">
        <v>83.04</v>
      </c>
      <c r="F9" s="9">
        <v>61.268421920000002</v>
      </c>
      <c r="G9" s="9">
        <v>2.4729999999999999</v>
      </c>
      <c r="H9" s="9"/>
      <c r="I9" s="5">
        <v>5.2426659536415413E-3</v>
      </c>
      <c r="J9" s="5">
        <v>8.9288000000000034E-2</v>
      </c>
      <c r="K9" s="5">
        <v>2.8108099999999997E-2</v>
      </c>
    </row>
    <row r="10" spans="1:11" x14ac:dyDescent="0.25">
      <c r="A10" s="7" t="s">
        <v>3</v>
      </c>
      <c r="B10" s="7">
        <v>7</v>
      </c>
      <c r="C10" s="8">
        <v>44775.498773148145</v>
      </c>
      <c r="D10" s="9">
        <v>12.134</v>
      </c>
      <c r="E10" s="9">
        <v>68.69</v>
      </c>
      <c r="F10" s="9">
        <v>40.782355389999999</v>
      </c>
      <c r="G10" s="9">
        <v>2.3140000000000001</v>
      </c>
      <c r="H10" s="9"/>
      <c r="I10" s="5">
        <v>3.2996877945532998E-3</v>
      </c>
      <c r="J10" s="5">
        <v>3.8350400000000007E-2</v>
      </c>
      <c r="K10" s="5">
        <v>2.8108099999999997E-2</v>
      </c>
    </row>
    <row r="11" spans="1:11" x14ac:dyDescent="0.25">
      <c r="A11" s="7" t="s">
        <v>3</v>
      </c>
      <c r="B11" s="7">
        <v>8</v>
      </c>
      <c r="C11" s="8">
        <v>44775.498900462961</v>
      </c>
      <c r="D11" s="9">
        <v>11.959</v>
      </c>
      <c r="E11" s="9">
        <v>62.04</v>
      </c>
      <c r="F11" s="9">
        <v>43.350237200000002</v>
      </c>
      <c r="G11" s="9">
        <v>2.4020000000000001</v>
      </c>
      <c r="H11" s="9"/>
      <c r="I11" s="5">
        <v>2.600539216633088E-3</v>
      </c>
      <c r="J11" s="5">
        <v>3.4711999999999993E-2</v>
      </c>
      <c r="K11" s="5">
        <v>2.9876399999999997E-2</v>
      </c>
    </row>
    <row r="12" spans="1:11" x14ac:dyDescent="0.25">
      <c r="A12" s="7" t="s">
        <v>3</v>
      </c>
      <c r="B12" s="7">
        <v>9</v>
      </c>
      <c r="C12" s="8">
        <v>44775.49900462963</v>
      </c>
      <c r="D12" s="9">
        <v>11.959</v>
      </c>
      <c r="E12" s="9">
        <v>61.07</v>
      </c>
      <c r="F12" s="9">
        <v>37.341299480000004</v>
      </c>
      <c r="G12" s="9">
        <v>2.278</v>
      </c>
      <c r="H12" s="9"/>
      <c r="I12" s="5">
        <v>2.618500653426792E-3</v>
      </c>
      <c r="J12" s="5">
        <v>4.01696E-2</v>
      </c>
      <c r="K12" s="5">
        <v>2.4571499999999996E-2</v>
      </c>
    </row>
    <row r="13" spans="1:11" x14ac:dyDescent="0.25">
      <c r="A13" s="7" t="s">
        <v>3</v>
      </c>
      <c r="B13" s="7">
        <v>10</v>
      </c>
      <c r="C13" s="8">
        <v>44775.499120370368</v>
      </c>
      <c r="D13" s="9">
        <v>11.784000000000001</v>
      </c>
      <c r="E13" s="9">
        <v>48.37</v>
      </c>
      <c r="F13" s="9">
        <v>22.213081039999999</v>
      </c>
      <c r="G13" s="9">
        <v>2.2730000000000001</v>
      </c>
      <c r="H13" s="9"/>
      <c r="I13" s="5">
        <v>4.3689279273505278E-3</v>
      </c>
      <c r="J13" s="5">
        <v>3.8350400000000007E-2</v>
      </c>
      <c r="K13" s="5">
        <v>2.8108099999999997E-2</v>
      </c>
    </row>
    <row r="14" spans="1:11" x14ac:dyDescent="0.25">
      <c r="A14" s="7" t="s">
        <v>3</v>
      </c>
      <c r="B14" s="7">
        <v>11</v>
      </c>
      <c r="C14" s="8">
        <v>44775.499236111114</v>
      </c>
      <c r="D14" s="9">
        <v>11.959</v>
      </c>
      <c r="E14" s="9">
        <v>29.69</v>
      </c>
      <c r="F14" s="9">
        <v>20.67311668</v>
      </c>
      <c r="G14" s="9">
        <v>2.3010000000000002</v>
      </c>
      <c r="H14" s="9"/>
      <c r="I14" s="5">
        <v>3.1173927792587626E-3</v>
      </c>
      <c r="J14" s="5">
        <v>3.28928E-2</v>
      </c>
      <c r="K14" s="5">
        <v>2.6339799999999997E-2</v>
      </c>
    </row>
    <row r="15" spans="1:11" x14ac:dyDescent="0.25">
      <c r="A15" s="7" t="s">
        <v>3</v>
      </c>
      <c r="B15" s="7">
        <v>12</v>
      </c>
      <c r="C15" s="8">
        <v>44775.499351851853</v>
      </c>
      <c r="D15" s="9">
        <v>11.667</v>
      </c>
      <c r="E15" s="9">
        <v>28.69</v>
      </c>
      <c r="F15" s="9">
        <v>12.54810105</v>
      </c>
      <c r="G15" s="9">
        <v>2.3130000000000002</v>
      </c>
      <c r="H15" s="9">
        <v>3.2415982130000001</v>
      </c>
      <c r="I15" s="5">
        <v>2.5711583887521052E-3</v>
      </c>
      <c r="J15" s="5">
        <v>3.6531200000000014E-2</v>
      </c>
      <c r="K15" s="5">
        <v>1.9266599999999995E-2</v>
      </c>
    </row>
    <row r="16" spans="1:11" x14ac:dyDescent="0.25">
      <c r="A16" s="7" t="s">
        <v>3</v>
      </c>
      <c r="B16" s="7">
        <v>13</v>
      </c>
      <c r="C16" s="8">
        <v>44775.499456018515</v>
      </c>
      <c r="D16" s="9">
        <v>11.492000000000001</v>
      </c>
      <c r="E16" s="9">
        <v>22.43</v>
      </c>
      <c r="F16" s="9">
        <v>10.726957670000001</v>
      </c>
      <c r="G16" s="9">
        <v>2.3079999999999998</v>
      </c>
      <c r="H16" s="9"/>
      <c r="I16" s="5">
        <v>2.600539216633088E-3</v>
      </c>
      <c r="J16" s="5">
        <v>3.4711999999999993E-2</v>
      </c>
      <c r="K16" s="5">
        <v>2.1034899999999995E-2</v>
      </c>
    </row>
    <row r="17" spans="1:11" x14ac:dyDescent="0.25">
      <c r="A17" s="7" t="s">
        <v>3</v>
      </c>
      <c r="B17" s="7">
        <v>14</v>
      </c>
      <c r="C17" s="8">
        <v>44775.499583333331</v>
      </c>
      <c r="D17" s="9">
        <v>11.667</v>
      </c>
      <c r="E17" s="9">
        <v>0</v>
      </c>
      <c r="F17" s="9">
        <v>6.5843621399999996</v>
      </c>
      <c r="G17" s="9">
        <v>2.214</v>
      </c>
      <c r="H17" s="9"/>
      <c r="I17" s="5">
        <v>2.2886277341208801E-3</v>
      </c>
      <c r="J17" s="5">
        <v>3.8350400000000007E-2</v>
      </c>
      <c r="K17" s="5">
        <v>2.2803199999999996E-2</v>
      </c>
    </row>
    <row r="18" spans="1:11" x14ac:dyDescent="0.25">
      <c r="A18" s="10" t="s">
        <v>4</v>
      </c>
      <c r="B18" s="10">
        <v>15</v>
      </c>
      <c r="C18" s="11">
        <v>44775.078923611109</v>
      </c>
      <c r="D18" s="12">
        <v>10.092000000000001</v>
      </c>
      <c r="E18" s="12">
        <v>31.7</v>
      </c>
      <c r="F18" s="12">
        <v>22.819885899999999</v>
      </c>
      <c r="G18" s="12">
        <v>2.718</v>
      </c>
      <c r="H18" s="12">
        <v>3.3278897669999998</v>
      </c>
      <c r="I18" s="12"/>
      <c r="J18" s="12"/>
      <c r="K18" s="12"/>
    </row>
    <row r="19" spans="1:11" x14ac:dyDescent="0.25">
      <c r="A19" s="10" t="s">
        <v>4</v>
      </c>
      <c r="B19" s="10">
        <v>16</v>
      </c>
      <c r="C19" s="11">
        <v>44775.079050925924</v>
      </c>
      <c r="D19" s="12">
        <v>10.382999999999999</v>
      </c>
      <c r="E19" s="12">
        <v>93.36</v>
      </c>
      <c r="F19" s="12">
        <v>66.633761109999995</v>
      </c>
      <c r="G19" s="12">
        <v>2.6819999999999999</v>
      </c>
      <c r="H19" s="12">
        <v>6.6628506349999999</v>
      </c>
      <c r="I19" s="12"/>
      <c r="J19" s="12"/>
      <c r="K19" s="12"/>
    </row>
    <row r="20" spans="1:11" x14ac:dyDescent="0.25">
      <c r="A20" s="10" t="s">
        <v>4</v>
      </c>
      <c r="B20" s="10">
        <v>17</v>
      </c>
      <c r="C20" s="11">
        <v>44775.07916666667</v>
      </c>
      <c r="D20" s="12">
        <v>21.992000000000001</v>
      </c>
      <c r="E20" s="12">
        <v>229.76</v>
      </c>
      <c r="F20" s="12">
        <v>162.5418607</v>
      </c>
      <c r="G20" s="12">
        <v>2.6440000000000001</v>
      </c>
      <c r="H20" s="12">
        <v>12.04121088</v>
      </c>
      <c r="I20" s="12"/>
      <c r="J20" s="12"/>
      <c r="K20" s="12"/>
    </row>
    <row r="21" spans="1:11" x14ac:dyDescent="0.25">
      <c r="A21" s="10" t="s">
        <v>4</v>
      </c>
      <c r="B21" s="10">
        <v>18</v>
      </c>
      <c r="C21" s="11">
        <v>44775.079282407409</v>
      </c>
      <c r="D21" s="12">
        <v>18.317</v>
      </c>
      <c r="E21" s="12">
        <v>127.13</v>
      </c>
      <c r="F21" s="12">
        <v>89.561960589999998</v>
      </c>
      <c r="G21" s="12">
        <v>2.7519999999999998</v>
      </c>
      <c r="H21" s="12"/>
      <c r="I21" s="12"/>
      <c r="J21" s="12"/>
      <c r="K21" s="12"/>
    </row>
    <row r="22" spans="1:11" x14ac:dyDescent="0.25">
      <c r="A22" s="10" t="s">
        <v>4</v>
      </c>
      <c r="B22" s="10">
        <v>19</v>
      </c>
      <c r="C22" s="11">
        <v>44775.079398148147</v>
      </c>
      <c r="D22" s="12">
        <v>15.983000000000001</v>
      </c>
      <c r="E22" s="12">
        <v>187.73</v>
      </c>
      <c r="F22" s="12">
        <v>87.538194730000001</v>
      </c>
      <c r="G22" s="12">
        <v>2.8079999999999998</v>
      </c>
      <c r="H22" s="12">
        <v>8.058197302</v>
      </c>
      <c r="I22" s="12"/>
      <c r="J22" s="12"/>
      <c r="K22" s="12"/>
    </row>
    <row r="23" spans="1:11" x14ac:dyDescent="0.25">
      <c r="A23" s="10" t="s">
        <v>4</v>
      </c>
      <c r="B23" s="10">
        <v>20</v>
      </c>
      <c r="C23" s="11">
        <v>44775.079513888886</v>
      </c>
      <c r="D23" s="12">
        <v>14.525</v>
      </c>
      <c r="E23" s="12">
        <v>112.47</v>
      </c>
      <c r="F23" s="12">
        <v>67.359667360000003</v>
      </c>
      <c r="G23" s="12">
        <v>3.0089999999999999</v>
      </c>
      <c r="H23" s="12"/>
      <c r="I23" s="12"/>
      <c r="J23" s="12"/>
      <c r="K23" s="12"/>
    </row>
    <row r="24" spans="1:11" x14ac:dyDescent="0.25">
      <c r="A24" s="10" t="s">
        <v>4</v>
      </c>
      <c r="B24" s="10">
        <v>21</v>
      </c>
      <c r="C24" s="11">
        <v>44775.079629629632</v>
      </c>
      <c r="D24" s="12">
        <v>13.532999999999999</v>
      </c>
      <c r="E24" s="12">
        <v>84.69</v>
      </c>
      <c r="F24" s="12">
        <v>61.637080869999998</v>
      </c>
      <c r="G24" s="12">
        <v>2.7839999999999998</v>
      </c>
      <c r="H24" s="12"/>
      <c r="I24" s="12"/>
      <c r="J24" s="12"/>
      <c r="K24" s="12"/>
    </row>
    <row r="25" spans="1:11" x14ac:dyDescent="0.25">
      <c r="A25" s="10" t="s">
        <v>4</v>
      </c>
      <c r="B25" s="10">
        <v>22</v>
      </c>
      <c r="C25" s="11">
        <v>44775.079745370371</v>
      </c>
      <c r="D25" s="12">
        <v>13.708</v>
      </c>
      <c r="E25" s="12">
        <v>97.42</v>
      </c>
      <c r="F25" s="12">
        <v>37.633968750000001</v>
      </c>
      <c r="G25" s="12">
        <v>2.7559999999999998</v>
      </c>
      <c r="H25" s="12">
        <v>5.0565465879999998</v>
      </c>
      <c r="I25" s="12"/>
      <c r="J25" s="12"/>
      <c r="K25" s="12"/>
    </row>
    <row r="26" spans="1:11" x14ac:dyDescent="0.25">
      <c r="A26" s="10" t="s">
        <v>4</v>
      </c>
      <c r="B26" s="10">
        <v>23</v>
      </c>
      <c r="C26" s="11">
        <v>44775.079861111109</v>
      </c>
      <c r="D26" s="12">
        <v>12.775</v>
      </c>
      <c r="E26" s="12">
        <v>78.81</v>
      </c>
      <c r="F26" s="12">
        <v>49.685326269999997</v>
      </c>
      <c r="G26" s="12">
        <v>2.8039999999999998</v>
      </c>
      <c r="H26" s="12">
        <v>3.736428037</v>
      </c>
      <c r="I26" s="12"/>
      <c r="J26" s="12"/>
      <c r="K26" s="12"/>
    </row>
    <row r="27" spans="1:11" x14ac:dyDescent="0.25">
      <c r="A27" s="10" t="s">
        <v>4</v>
      </c>
      <c r="B27" s="10">
        <v>24</v>
      </c>
      <c r="C27" s="11">
        <v>44775.079976851855</v>
      </c>
      <c r="D27" s="12">
        <v>12.132999999999999</v>
      </c>
      <c r="E27" s="12">
        <v>72.819999999999993</v>
      </c>
      <c r="F27" s="12">
        <v>30.500370950000001</v>
      </c>
      <c r="G27" s="12">
        <v>2.8039999999999998</v>
      </c>
      <c r="H27" s="12"/>
      <c r="I27" s="12"/>
      <c r="J27" s="12"/>
      <c r="K27" s="12"/>
    </row>
    <row r="28" spans="1:11" x14ac:dyDescent="0.25">
      <c r="A28" s="10" t="s">
        <v>4</v>
      </c>
      <c r="B28" s="10">
        <v>25</v>
      </c>
      <c r="C28" s="11">
        <v>44775.080092592594</v>
      </c>
      <c r="D28" s="12">
        <v>12.132999999999999</v>
      </c>
      <c r="E28" s="12">
        <v>55.81</v>
      </c>
      <c r="F28" s="12">
        <v>27.990450320000001</v>
      </c>
      <c r="G28" s="12">
        <v>2.8639999999999999</v>
      </c>
      <c r="H28" s="12"/>
      <c r="I28" s="12"/>
      <c r="J28" s="12"/>
      <c r="K28" s="12"/>
    </row>
    <row r="29" spans="1:11" x14ac:dyDescent="0.25">
      <c r="A29" s="10" t="s">
        <v>4</v>
      </c>
      <c r="B29" s="10">
        <v>26</v>
      </c>
      <c r="C29" s="11">
        <v>44775.080208333333</v>
      </c>
      <c r="D29" s="12">
        <v>11.958</v>
      </c>
      <c r="E29" s="12">
        <v>45.61</v>
      </c>
      <c r="F29" s="12">
        <v>16.57275439</v>
      </c>
      <c r="G29" s="12">
        <v>2.76</v>
      </c>
      <c r="H29" s="12">
        <v>2.771444281</v>
      </c>
      <c r="I29" s="12"/>
      <c r="J29" s="12"/>
      <c r="K29" s="12"/>
    </row>
    <row r="30" spans="1:11" x14ac:dyDescent="0.25">
      <c r="A30" s="10" t="s">
        <v>4</v>
      </c>
      <c r="B30" s="10">
        <v>27</v>
      </c>
      <c r="C30" s="11">
        <v>44775.080324074072</v>
      </c>
      <c r="D30" s="12">
        <v>11.317</v>
      </c>
      <c r="E30" s="12">
        <v>47.12</v>
      </c>
      <c r="F30" s="12">
        <v>18.368539699999999</v>
      </c>
      <c r="G30" s="12">
        <v>2.7690000000000001</v>
      </c>
      <c r="H30" s="12"/>
      <c r="I30" s="12"/>
      <c r="J30" s="12"/>
      <c r="K30" s="12"/>
    </row>
    <row r="31" spans="1:11" x14ac:dyDescent="0.25">
      <c r="A31" s="10" t="s">
        <v>4</v>
      </c>
      <c r="B31" s="10">
        <v>28</v>
      </c>
      <c r="C31" s="11">
        <v>44775.080439814818</v>
      </c>
      <c r="D31" s="12">
        <v>11.667</v>
      </c>
      <c r="E31" s="12">
        <v>34.58</v>
      </c>
      <c r="F31" s="12">
        <v>6.458383789</v>
      </c>
      <c r="G31" s="12">
        <v>2.7410000000000001</v>
      </c>
      <c r="H31" s="12"/>
      <c r="I31" s="12"/>
      <c r="J31" s="12"/>
      <c r="K31" s="12"/>
    </row>
    <row r="32" spans="1:11" x14ac:dyDescent="0.25">
      <c r="A32" s="10" t="s">
        <v>4</v>
      </c>
      <c r="B32" s="10">
        <v>29</v>
      </c>
      <c r="C32" s="11">
        <v>44775.080555555556</v>
      </c>
      <c r="D32" s="12">
        <v>11.667</v>
      </c>
      <c r="E32" s="12">
        <v>34.630000000000003</v>
      </c>
      <c r="F32" s="12">
        <v>11.36179192</v>
      </c>
      <c r="G32" s="12">
        <v>2.7519999999999998</v>
      </c>
      <c r="H32" s="12"/>
      <c r="I32" s="12"/>
      <c r="J32" s="12"/>
      <c r="K32" s="12"/>
    </row>
    <row r="33" spans="1:11" x14ac:dyDescent="0.25">
      <c r="A33" s="10" t="s">
        <v>4</v>
      </c>
      <c r="B33" s="10">
        <v>30</v>
      </c>
      <c r="C33" s="11">
        <v>44775.080671296295</v>
      </c>
      <c r="D33" s="12">
        <v>11.492000000000001</v>
      </c>
      <c r="E33" s="12">
        <v>36.229999999999997</v>
      </c>
      <c r="F33" s="12">
        <v>11.501807429999999</v>
      </c>
      <c r="G33" s="12">
        <v>2.7389999999999999</v>
      </c>
      <c r="H33" s="12"/>
      <c r="I33" s="12"/>
      <c r="J33" s="12"/>
      <c r="K33" s="12"/>
    </row>
    <row r="34" spans="1:11" x14ac:dyDescent="0.25">
      <c r="A34" s="13" t="s">
        <v>5</v>
      </c>
      <c r="B34" s="13">
        <v>31</v>
      </c>
      <c r="C34" s="14">
        <v>44775.104745370372</v>
      </c>
      <c r="D34" s="15">
        <v>8.3420000000000005</v>
      </c>
      <c r="E34" s="15">
        <v>64.61</v>
      </c>
      <c r="F34" s="15">
        <v>52.16959258</v>
      </c>
      <c r="G34" s="15">
        <v>2.8980000000000001</v>
      </c>
      <c r="H34" s="15">
        <v>4.5952285179999999</v>
      </c>
      <c r="I34" s="15"/>
      <c r="J34" s="15"/>
      <c r="K34" s="15"/>
    </row>
    <row r="35" spans="1:11" x14ac:dyDescent="0.25">
      <c r="A35" s="13" t="s">
        <v>5</v>
      </c>
      <c r="B35" s="13">
        <v>32</v>
      </c>
      <c r="C35" s="14">
        <v>44775.104861111111</v>
      </c>
      <c r="D35" s="15">
        <v>21.641999999999999</v>
      </c>
      <c r="E35" s="15">
        <v>275.95999999999998</v>
      </c>
      <c r="F35" s="15">
        <v>174.6761387</v>
      </c>
      <c r="G35" s="15">
        <v>2.7160000000000002</v>
      </c>
      <c r="H35" s="15">
        <v>10.93014432</v>
      </c>
      <c r="I35" s="15"/>
      <c r="J35" s="15"/>
      <c r="K35" s="15"/>
    </row>
    <row r="36" spans="1:11" x14ac:dyDescent="0.25">
      <c r="A36" s="13" t="s">
        <v>5</v>
      </c>
      <c r="B36" s="13">
        <v>33</v>
      </c>
      <c r="C36" s="14">
        <v>44775.10497685185</v>
      </c>
      <c r="D36" s="15">
        <v>16.917000000000002</v>
      </c>
      <c r="E36" s="15">
        <v>159.29</v>
      </c>
      <c r="F36" s="15">
        <v>78.177538670000004</v>
      </c>
      <c r="G36" s="15">
        <v>2.7010000000000001</v>
      </c>
      <c r="H36" s="15"/>
      <c r="I36" s="15"/>
      <c r="J36" s="15"/>
      <c r="K36" s="15"/>
    </row>
    <row r="37" spans="1:11" x14ac:dyDescent="0.25">
      <c r="A37" s="13" t="s">
        <v>5</v>
      </c>
      <c r="B37" s="13">
        <v>34</v>
      </c>
      <c r="C37" s="14">
        <v>44775.105092592596</v>
      </c>
      <c r="D37" s="15">
        <v>14.175000000000001</v>
      </c>
      <c r="E37" s="15">
        <v>121.26</v>
      </c>
      <c r="F37" s="15">
        <v>74.758733179999993</v>
      </c>
      <c r="G37" s="15">
        <v>2.7810000000000001</v>
      </c>
      <c r="H37" s="15">
        <v>8.9789966309999993</v>
      </c>
      <c r="I37" s="15"/>
      <c r="J37" s="15"/>
      <c r="K37" s="15"/>
    </row>
    <row r="38" spans="1:11" x14ac:dyDescent="0.25">
      <c r="A38" s="13" t="s">
        <v>5</v>
      </c>
      <c r="B38" s="13">
        <v>35</v>
      </c>
      <c r="C38" s="14">
        <v>44775.105208333334</v>
      </c>
      <c r="D38" s="15">
        <v>12.95</v>
      </c>
      <c r="E38" s="15">
        <v>90.81</v>
      </c>
      <c r="F38" s="15">
        <v>52.974735129999999</v>
      </c>
      <c r="G38" s="15">
        <v>2.831</v>
      </c>
      <c r="H38" s="15"/>
      <c r="I38" s="15"/>
      <c r="J38" s="15"/>
      <c r="K38" s="15"/>
    </row>
    <row r="39" spans="1:11" x14ac:dyDescent="0.25">
      <c r="A39" s="13" t="s">
        <v>5</v>
      </c>
      <c r="B39" s="13">
        <v>36</v>
      </c>
      <c r="C39" s="14">
        <v>44775.105324074073</v>
      </c>
      <c r="D39" s="15">
        <v>12.6</v>
      </c>
      <c r="E39" s="15">
        <v>71.319999999999993</v>
      </c>
      <c r="F39" s="15">
        <v>40.183696900000001</v>
      </c>
      <c r="G39" s="15">
        <v>2.7629999999999999</v>
      </c>
      <c r="H39" s="15"/>
      <c r="I39" s="15"/>
      <c r="J39" s="15"/>
      <c r="K39" s="15"/>
    </row>
    <row r="40" spans="1:11" x14ac:dyDescent="0.25">
      <c r="A40" s="13" t="s">
        <v>5</v>
      </c>
      <c r="B40" s="13">
        <v>37</v>
      </c>
      <c r="C40" s="14">
        <v>44775.105439814812</v>
      </c>
      <c r="D40" s="15">
        <v>11.667</v>
      </c>
      <c r="E40" s="15">
        <v>77.03</v>
      </c>
      <c r="F40" s="15">
        <v>43.398430980000001</v>
      </c>
      <c r="G40" s="15">
        <v>2.8140000000000001</v>
      </c>
      <c r="H40" s="15">
        <v>4.599424687</v>
      </c>
      <c r="I40" s="15"/>
      <c r="J40" s="15"/>
      <c r="K40" s="15"/>
    </row>
    <row r="41" spans="1:11" x14ac:dyDescent="0.25">
      <c r="A41" s="13" t="s">
        <v>5</v>
      </c>
      <c r="B41" s="13">
        <v>38</v>
      </c>
      <c r="C41" s="14">
        <v>44775.105555555558</v>
      </c>
      <c r="D41" s="15">
        <v>13.242000000000001</v>
      </c>
      <c r="E41" s="15">
        <v>143.56</v>
      </c>
      <c r="F41" s="15">
        <v>77.334430280000007</v>
      </c>
      <c r="G41" s="15">
        <v>2.7469999999999999</v>
      </c>
      <c r="H41" s="15"/>
      <c r="I41" s="15"/>
      <c r="J41" s="15"/>
      <c r="K41" s="15"/>
    </row>
    <row r="42" spans="1:11" x14ac:dyDescent="0.25">
      <c r="A42" s="13" t="s">
        <v>5</v>
      </c>
      <c r="B42" s="13">
        <v>39</v>
      </c>
      <c r="C42" s="14">
        <v>44775.105671296296</v>
      </c>
      <c r="D42" s="15">
        <v>12.775</v>
      </c>
      <c r="E42" s="15">
        <v>97.7</v>
      </c>
      <c r="F42" s="15">
        <v>58.59536189</v>
      </c>
      <c r="G42" s="15">
        <v>2.7410000000000001</v>
      </c>
      <c r="H42" s="15"/>
      <c r="I42" s="15"/>
      <c r="J42" s="15"/>
      <c r="K42" s="15"/>
    </row>
    <row r="43" spans="1:11" x14ac:dyDescent="0.25">
      <c r="A43" s="13" t="s">
        <v>5</v>
      </c>
      <c r="B43" s="13">
        <v>40</v>
      </c>
      <c r="C43" s="14">
        <v>44775.105787037035</v>
      </c>
      <c r="D43" s="15">
        <v>12.132999999999999</v>
      </c>
      <c r="E43" s="15">
        <v>55.95</v>
      </c>
      <c r="F43" s="15">
        <v>23.829087919999999</v>
      </c>
      <c r="G43" s="15">
        <v>2.7749999999999999</v>
      </c>
      <c r="H43" s="15"/>
      <c r="I43" s="15"/>
      <c r="J43" s="15"/>
      <c r="K43" s="15"/>
    </row>
    <row r="44" spans="1:11" x14ac:dyDescent="0.25">
      <c r="A44" s="13" t="s">
        <v>5</v>
      </c>
      <c r="B44" s="13">
        <v>41</v>
      </c>
      <c r="C44" s="14">
        <v>44775.105902777781</v>
      </c>
      <c r="D44" s="15">
        <v>11.958</v>
      </c>
      <c r="E44" s="15">
        <v>41.32</v>
      </c>
      <c r="F44" s="15">
        <v>26.223059899999999</v>
      </c>
      <c r="G44" s="15">
        <v>2.7330000000000001</v>
      </c>
      <c r="H44" s="15"/>
      <c r="I44" s="15"/>
      <c r="J44" s="15"/>
      <c r="K44" s="15"/>
    </row>
    <row r="45" spans="1:11" x14ac:dyDescent="0.25">
      <c r="A45" s="13" t="s">
        <v>5</v>
      </c>
      <c r="B45" s="13">
        <v>42</v>
      </c>
      <c r="C45" s="14">
        <v>44775.10601851852</v>
      </c>
      <c r="D45" s="15">
        <v>11.317</v>
      </c>
      <c r="E45" s="15">
        <v>38.15</v>
      </c>
      <c r="F45" s="15">
        <v>17.731993580000001</v>
      </c>
      <c r="G45" s="15">
        <v>2.7559999999999998</v>
      </c>
      <c r="H45" s="15">
        <v>3.2584248140000001</v>
      </c>
      <c r="I45" s="15"/>
      <c r="J45" s="15"/>
      <c r="K45" s="15"/>
    </row>
    <row r="46" spans="1:11" x14ac:dyDescent="0.25">
      <c r="A46" s="13" t="s">
        <v>5</v>
      </c>
      <c r="B46" s="13">
        <v>43</v>
      </c>
      <c r="C46" s="14">
        <v>44775.106134259258</v>
      </c>
      <c r="D46" s="15">
        <v>11.782999999999999</v>
      </c>
      <c r="E46" s="15">
        <v>33.28</v>
      </c>
      <c r="F46" s="15">
        <v>18.922254219999999</v>
      </c>
      <c r="G46" s="15">
        <v>2.7850000000000001</v>
      </c>
      <c r="H46" s="15"/>
      <c r="I46" s="15"/>
      <c r="J46" s="15"/>
      <c r="K46" s="15"/>
    </row>
    <row r="47" spans="1:11" x14ac:dyDescent="0.25">
      <c r="A47" s="16" t="s">
        <v>6</v>
      </c>
      <c r="B47" s="16">
        <v>44</v>
      </c>
      <c r="C47" s="17">
        <v>44776.439768518518</v>
      </c>
      <c r="D47" s="18">
        <v>5.3079999999999998</v>
      </c>
      <c r="E47" s="18">
        <v>90.23</v>
      </c>
      <c r="F47" s="18">
        <v>70.553888569999998</v>
      </c>
      <c r="G47" s="18">
        <v>2.1829999999999998</v>
      </c>
      <c r="H47" s="18">
        <v>8.3572964289999998</v>
      </c>
      <c r="I47" s="18"/>
      <c r="J47" s="18"/>
      <c r="K47" s="18"/>
    </row>
    <row r="48" spans="1:11" x14ac:dyDescent="0.25">
      <c r="A48" s="16" t="s">
        <v>6</v>
      </c>
      <c r="B48" s="16">
        <v>45</v>
      </c>
      <c r="C48" s="17">
        <v>44776.441504629627</v>
      </c>
      <c r="D48" s="18">
        <v>13.532999999999999</v>
      </c>
      <c r="E48" s="18">
        <v>526.33000000000004</v>
      </c>
      <c r="F48" s="18">
        <v>287.8289474</v>
      </c>
      <c r="G48" s="18">
        <v>2.1179999999999999</v>
      </c>
      <c r="H48" s="18">
        <v>24.660150940000001</v>
      </c>
      <c r="I48" s="18"/>
      <c r="J48" s="18"/>
      <c r="K48" s="18"/>
    </row>
    <row r="49" spans="1:11" x14ac:dyDescent="0.25">
      <c r="A49" s="16" t="s">
        <v>6</v>
      </c>
      <c r="B49" s="16">
        <v>46</v>
      </c>
      <c r="C49" s="17">
        <v>44776.441562499997</v>
      </c>
      <c r="D49" s="18">
        <v>14.816000000000001</v>
      </c>
      <c r="E49" s="18">
        <v>360.745</v>
      </c>
      <c r="F49" s="18">
        <v>200.0498049</v>
      </c>
      <c r="G49" s="18">
        <v>2.073</v>
      </c>
      <c r="H49" s="18">
        <v>16.60466516</v>
      </c>
      <c r="I49" s="18"/>
      <c r="J49" s="18"/>
      <c r="K49" s="18"/>
    </row>
    <row r="50" spans="1:11" x14ac:dyDescent="0.25">
      <c r="A50" s="16" t="s">
        <v>6</v>
      </c>
      <c r="B50" s="16">
        <v>47</v>
      </c>
      <c r="C50" s="17">
        <v>44776.441620370373</v>
      </c>
      <c r="D50" s="18">
        <v>21.291</v>
      </c>
      <c r="E50" s="18">
        <v>168.16</v>
      </c>
      <c r="F50" s="18">
        <v>112.46027220000001</v>
      </c>
      <c r="G50" s="18">
        <v>2.0289999999999999</v>
      </c>
      <c r="H50" s="18">
        <v>10.359493649999999</v>
      </c>
      <c r="I50" s="18"/>
      <c r="J50" s="18"/>
      <c r="K50" s="18"/>
    </row>
    <row r="51" spans="1:11" x14ac:dyDescent="0.25">
      <c r="A51" s="16" t="s">
        <v>6</v>
      </c>
      <c r="B51" s="16">
        <v>48</v>
      </c>
      <c r="C51" s="17">
        <v>44776.441678240742</v>
      </c>
      <c r="D51" s="18">
        <v>18.140999999999998</v>
      </c>
      <c r="E51" s="18">
        <v>165.58</v>
      </c>
      <c r="F51" s="18">
        <v>111.4662733</v>
      </c>
      <c r="G51" s="18">
        <v>2.0779999999999998</v>
      </c>
      <c r="H51" s="18"/>
      <c r="I51" s="18"/>
      <c r="J51" s="18"/>
      <c r="K51" s="18"/>
    </row>
    <row r="52" spans="1:11" x14ac:dyDescent="0.25">
      <c r="A52" s="16" t="s">
        <v>6</v>
      </c>
      <c r="B52" s="16">
        <v>49</v>
      </c>
      <c r="C52" s="17">
        <v>44776.441747685189</v>
      </c>
      <c r="D52" s="18">
        <v>15.925000000000001</v>
      </c>
      <c r="E52" s="18">
        <v>161.72</v>
      </c>
      <c r="F52" s="18">
        <v>79.809116340000003</v>
      </c>
      <c r="G52" s="18">
        <v>2.1640000000000001</v>
      </c>
      <c r="H52" s="18">
        <v>9.2838971560000001</v>
      </c>
      <c r="I52" s="18"/>
      <c r="J52" s="18"/>
      <c r="K52" s="18"/>
    </row>
    <row r="53" spans="1:11" x14ac:dyDescent="0.25">
      <c r="A53" s="16" t="s">
        <v>6</v>
      </c>
      <c r="B53" s="16">
        <v>50</v>
      </c>
      <c r="C53" s="17">
        <v>44776.441840277781</v>
      </c>
      <c r="D53" s="18">
        <v>14</v>
      </c>
      <c r="E53" s="18">
        <v>132.56</v>
      </c>
      <c r="F53" s="18">
        <v>80.492813139999996</v>
      </c>
      <c r="G53" s="18">
        <v>2.1720000000000002</v>
      </c>
      <c r="H53" s="18"/>
      <c r="I53" s="18"/>
      <c r="J53" s="18"/>
      <c r="K53" s="18"/>
    </row>
    <row r="54" spans="1:11" x14ac:dyDescent="0.25">
      <c r="A54" s="16" t="s">
        <v>6</v>
      </c>
      <c r="B54" s="16">
        <v>51</v>
      </c>
      <c r="C54" s="17">
        <v>44776.44195601852</v>
      </c>
      <c r="D54" s="18">
        <v>11.782999999999999</v>
      </c>
      <c r="E54" s="18">
        <v>131.22999999999999</v>
      </c>
      <c r="F54" s="18">
        <v>69.473161860000005</v>
      </c>
      <c r="G54" s="18">
        <v>2.3029999999999999</v>
      </c>
      <c r="H54" s="18"/>
      <c r="I54" s="18"/>
      <c r="J54" s="18"/>
      <c r="K54" s="18"/>
    </row>
    <row r="55" spans="1:11" x14ac:dyDescent="0.25">
      <c r="A55" s="16" t="s">
        <v>6</v>
      </c>
      <c r="B55" s="16">
        <v>52</v>
      </c>
      <c r="C55" s="17">
        <v>44776.442083333335</v>
      </c>
      <c r="D55" s="18">
        <v>10.558</v>
      </c>
      <c r="E55" s="18">
        <v>94.15</v>
      </c>
      <c r="F55" s="18">
        <v>54.027504909999998</v>
      </c>
      <c r="G55" s="18">
        <v>2.2890000000000001</v>
      </c>
      <c r="H55" s="18"/>
      <c r="I55" s="18"/>
      <c r="J55" s="18"/>
      <c r="K55" s="18"/>
    </row>
    <row r="56" spans="1:11" x14ac:dyDescent="0.25">
      <c r="A56" s="16" t="s">
        <v>6</v>
      </c>
      <c r="B56" s="16">
        <v>53</v>
      </c>
      <c r="C56" s="17">
        <v>44776.442210648151</v>
      </c>
      <c r="D56" s="18">
        <v>10.382999999999999</v>
      </c>
      <c r="E56" s="18">
        <v>77.58</v>
      </c>
      <c r="F56" s="18">
        <v>44.106836559999998</v>
      </c>
      <c r="G56" s="18">
        <v>2.1890000000000001</v>
      </c>
      <c r="H56" s="18">
        <v>5.254678427</v>
      </c>
      <c r="I56" s="18"/>
      <c r="J56" s="18"/>
      <c r="K56" s="18"/>
    </row>
    <row r="57" spans="1:11" x14ac:dyDescent="0.25">
      <c r="A57" s="16" t="s">
        <v>6</v>
      </c>
      <c r="B57" s="16">
        <v>54</v>
      </c>
      <c r="C57" s="17">
        <v>44776.442326388889</v>
      </c>
      <c r="D57" s="18">
        <v>9.9160000000000004</v>
      </c>
      <c r="E57" s="18">
        <v>61.94</v>
      </c>
      <c r="F57" s="18">
        <v>33.532346449999999</v>
      </c>
      <c r="G57" s="18">
        <v>2.2829999999999999</v>
      </c>
      <c r="H57" s="18"/>
      <c r="I57" s="18"/>
      <c r="J57" s="18"/>
      <c r="K57" s="18"/>
    </row>
    <row r="58" spans="1:11" x14ac:dyDescent="0.25">
      <c r="A58" s="16" t="s">
        <v>6</v>
      </c>
      <c r="B58" s="16">
        <v>55</v>
      </c>
      <c r="C58" s="17">
        <v>44776.442442129628</v>
      </c>
      <c r="D58" s="18">
        <v>9.7409999999999997</v>
      </c>
      <c r="E58" s="18">
        <v>48.68</v>
      </c>
      <c r="F58" s="18">
        <v>23.144321380000001</v>
      </c>
      <c r="G58" s="18">
        <v>2.202</v>
      </c>
      <c r="H58" s="18"/>
      <c r="I58" s="18"/>
      <c r="J58" s="18"/>
      <c r="K58" s="18"/>
    </row>
    <row r="59" spans="1:11" x14ac:dyDescent="0.25">
      <c r="A59" s="19" t="s">
        <v>7</v>
      </c>
      <c r="B59" s="19">
        <v>56</v>
      </c>
      <c r="C59" s="20">
        <v>44776.468287037038</v>
      </c>
      <c r="D59" s="21">
        <v>3.5579999999999998</v>
      </c>
      <c r="E59" s="21">
        <v>90.43</v>
      </c>
      <c r="F59" s="21">
        <v>62.139769450000003</v>
      </c>
      <c r="G59" s="21">
        <v>2.6309999999999998</v>
      </c>
      <c r="H59" s="21">
        <v>5.3161272320000004</v>
      </c>
      <c r="I59" s="4">
        <v>8.0744786331715737E-3</v>
      </c>
      <c r="J59" s="4">
        <v>2.9254399999999986E-2</v>
      </c>
      <c r="K59" s="4">
        <v>2.2803199999999996E-2</v>
      </c>
    </row>
    <row r="60" spans="1:11" x14ac:dyDescent="0.25">
      <c r="A60" s="19" t="s">
        <v>7</v>
      </c>
      <c r="B60" s="19">
        <v>57</v>
      </c>
      <c r="C60" s="20">
        <v>44776.471238425926</v>
      </c>
      <c r="D60" s="21">
        <v>7.5250000000000004</v>
      </c>
      <c r="E60" s="21">
        <v>426.28</v>
      </c>
      <c r="F60" s="21">
        <v>243.34662650000001</v>
      </c>
      <c r="G60" s="21">
        <v>2.581</v>
      </c>
      <c r="H60" s="21">
        <v>20.72610796</v>
      </c>
      <c r="I60" s="4">
        <v>2.3321471582393793E-2</v>
      </c>
      <c r="J60" s="4">
        <v>5.47232E-2</v>
      </c>
      <c r="K60" s="4">
        <v>1.9266599999999995E-2</v>
      </c>
    </row>
    <row r="61" spans="1:11" x14ac:dyDescent="0.25">
      <c r="A61" s="19" t="s">
        <v>7</v>
      </c>
      <c r="B61" s="19">
        <v>58</v>
      </c>
      <c r="C61" s="20">
        <v>44776.471296296295</v>
      </c>
      <c r="D61" s="21">
        <v>12.132999999999999</v>
      </c>
      <c r="E61" s="21">
        <v>258.72000000000003</v>
      </c>
      <c r="F61" s="21">
        <v>134.52914799999999</v>
      </c>
      <c r="G61" s="21">
        <v>2.5630000000000002</v>
      </c>
      <c r="H61" s="21"/>
      <c r="I61" s="4">
        <v>1.9203510472240316E-2</v>
      </c>
      <c r="J61" s="4">
        <v>3.28928E-2</v>
      </c>
      <c r="K61" s="4">
        <v>2.2803199999999996E-2</v>
      </c>
    </row>
    <row r="62" spans="1:11" x14ac:dyDescent="0.25">
      <c r="A62" s="19" t="s">
        <v>7</v>
      </c>
      <c r="B62" s="19">
        <v>59</v>
      </c>
      <c r="C62" s="20">
        <v>44776.471354166664</v>
      </c>
      <c r="D62" s="21">
        <v>21.991</v>
      </c>
      <c r="E62" s="21">
        <v>227.15</v>
      </c>
      <c r="F62" s="21">
        <v>135.40290619999999</v>
      </c>
      <c r="G62" s="21">
        <v>2.6619999999999999</v>
      </c>
      <c r="H62" s="21">
        <v>11.66797622</v>
      </c>
      <c r="I62" s="4">
        <v>1.15146880608244E-2</v>
      </c>
      <c r="J62" s="4">
        <v>3.4711999999999993E-2</v>
      </c>
      <c r="K62" s="4">
        <v>2.2803199999999996E-2</v>
      </c>
    </row>
    <row r="63" spans="1:11" x14ac:dyDescent="0.25">
      <c r="A63" s="19" t="s">
        <v>7</v>
      </c>
      <c r="B63" s="19">
        <v>60</v>
      </c>
      <c r="C63" s="20">
        <v>44776.471412037034</v>
      </c>
      <c r="D63" s="21">
        <v>23.274999999999999</v>
      </c>
      <c r="E63" s="21">
        <v>176.59</v>
      </c>
      <c r="F63" s="21">
        <v>99.901736</v>
      </c>
      <c r="G63" s="21">
        <v>2.6960000000000002</v>
      </c>
      <c r="H63" s="21"/>
      <c r="I63" s="4">
        <v>9.856082656835876E-3</v>
      </c>
      <c r="J63" s="4">
        <v>4.5627200000000007E-2</v>
      </c>
      <c r="K63" s="4">
        <v>2.1034899999999995E-2</v>
      </c>
    </row>
    <row r="64" spans="1:11" x14ac:dyDescent="0.25">
      <c r="A64" s="19" t="s">
        <v>7</v>
      </c>
      <c r="B64" s="19">
        <v>61</v>
      </c>
      <c r="C64" s="20">
        <v>44776.47152777778</v>
      </c>
      <c r="D64" s="21">
        <v>16.100000000000001</v>
      </c>
      <c r="E64" s="21">
        <v>181.06</v>
      </c>
      <c r="F64" s="21">
        <v>98.606470540000004</v>
      </c>
      <c r="G64" s="21">
        <v>2.6989999999999998</v>
      </c>
      <c r="H64" s="21">
        <v>6.6757924820000003</v>
      </c>
      <c r="I64" s="4">
        <v>1.16917712529308E-2</v>
      </c>
      <c r="J64" s="4">
        <v>7.109600000000002E-2</v>
      </c>
      <c r="K64" s="4">
        <v>2.1034899999999995E-2</v>
      </c>
    </row>
    <row r="65" spans="1:11" x14ac:dyDescent="0.25">
      <c r="A65" s="19" t="s">
        <v>7</v>
      </c>
      <c r="B65" s="19">
        <v>62</v>
      </c>
      <c r="C65" s="20">
        <v>44776.471643518518</v>
      </c>
      <c r="D65" s="21">
        <v>13.708</v>
      </c>
      <c r="E65" s="21">
        <v>157</v>
      </c>
      <c r="F65" s="21">
        <v>93.938898870000003</v>
      </c>
      <c r="G65" s="21">
        <v>2.742</v>
      </c>
      <c r="H65" s="21"/>
      <c r="I65" s="4">
        <v>1.2283480760895546E-2</v>
      </c>
      <c r="J65" s="4">
        <v>8.2011200000000006E-2</v>
      </c>
      <c r="K65" s="4">
        <v>1.7498300000000022E-2</v>
      </c>
    </row>
    <row r="66" spans="1:11" x14ac:dyDescent="0.25">
      <c r="A66" s="19" t="s">
        <v>7</v>
      </c>
      <c r="B66" s="19">
        <v>63</v>
      </c>
      <c r="C66" s="20">
        <v>44776.471759259257</v>
      </c>
      <c r="D66" s="21">
        <v>12.483000000000001</v>
      </c>
      <c r="E66" s="21">
        <v>134.22999999999999</v>
      </c>
      <c r="F66" s="21">
        <v>56.216392370000001</v>
      </c>
      <c r="G66" s="21">
        <v>2.7610000000000001</v>
      </c>
      <c r="H66" s="21"/>
      <c r="I66" s="4">
        <v>8.7555621153478178E-3</v>
      </c>
      <c r="J66" s="4">
        <v>4.1988800000000021E-2</v>
      </c>
      <c r="K66" s="4">
        <v>2.4571499999999996E-2</v>
      </c>
    </row>
    <row r="67" spans="1:11" x14ac:dyDescent="0.25">
      <c r="A67" s="19" t="s">
        <v>7</v>
      </c>
      <c r="B67" s="19">
        <v>64</v>
      </c>
      <c r="C67" s="20">
        <v>44776.471875000003</v>
      </c>
      <c r="D67" s="21">
        <v>11.375</v>
      </c>
      <c r="E67" s="21">
        <v>88.31</v>
      </c>
      <c r="F67" s="21">
        <v>56.813503500000003</v>
      </c>
      <c r="G67" s="21">
        <v>2.8210000000000002</v>
      </c>
      <c r="H67" s="21"/>
      <c r="I67" s="4">
        <v>5.741883910742567E-3</v>
      </c>
      <c r="J67" s="4">
        <v>2.9254399999999986E-2</v>
      </c>
      <c r="K67" s="4">
        <v>2.4571499999999996E-2</v>
      </c>
    </row>
    <row r="68" spans="1:11" x14ac:dyDescent="0.25">
      <c r="A68" s="19" t="s">
        <v>7</v>
      </c>
      <c r="B68" s="19">
        <v>65</v>
      </c>
      <c r="C68" s="20">
        <v>44776.471990740742</v>
      </c>
      <c r="D68" s="21">
        <v>10.558</v>
      </c>
      <c r="E68" s="21">
        <v>88.72</v>
      </c>
      <c r="F68" s="21">
        <v>48.527718370000002</v>
      </c>
      <c r="G68" s="21">
        <v>2.7829999999999999</v>
      </c>
      <c r="H68" s="21">
        <v>5.6309098449999997</v>
      </c>
      <c r="I68" s="4">
        <v>4.5804950914437453E-3</v>
      </c>
      <c r="J68" s="4">
        <v>2.7435199999999993E-2</v>
      </c>
      <c r="K68" s="4">
        <v>2.6339799999999997E-2</v>
      </c>
    </row>
    <row r="69" spans="1:11" x14ac:dyDescent="0.25">
      <c r="A69" s="19" t="s">
        <v>7</v>
      </c>
      <c r="B69" s="19">
        <v>66</v>
      </c>
      <c r="C69" s="20">
        <v>44776.47210648148</v>
      </c>
      <c r="D69" s="21">
        <v>10.85</v>
      </c>
      <c r="E69" s="21">
        <v>71.86</v>
      </c>
      <c r="F69" s="21">
        <v>41.608876559999999</v>
      </c>
      <c r="G69" s="21">
        <v>2.7559999999999998</v>
      </c>
      <c r="H69" s="21"/>
      <c r="I69" s="4">
        <v>4.0576794789688791E-3</v>
      </c>
      <c r="J69" s="4">
        <v>4.3808000000000014E-2</v>
      </c>
      <c r="K69" s="4">
        <v>2.1034899999999995E-2</v>
      </c>
    </row>
    <row r="70" spans="1:11" x14ac:dyDescent="0.25">
      <c r="A70" s="19" t="s">
        <v>7</v>
      </c>
      <c r="B70" s="19">
        <v>67</v>
      </c>
      <c r="C70" s="20">
        <v>44776.472222222219</v>
      </c>
      <c r="D70" s="21">
        <v>10.85</v>
      </c>
      <c r="E70" s="21">
        <v>59.21</v>
      </c>
      <c r="F70" s="21">
        <v>27.029240720000001</v>
      </c>
      <c r="G70" s="21">
        <v>2.883</v>
      </c>
      <c r="H70" s="21"/>
      <c r="I70" s="4">
        <v>3.3758505307597045E-3</v>
      </c>
      <c r="J70" s="4">
        <v>2.7435199999999993E-2</v>
      </c>
      <c r="K70" s="4">
        <v>2.2803199999999996E-2</v>
      </c>
    </row>
    <row r="71" spans="1:11" x14ac:dyDescent="0.25">
      <c r="A71" s="19" t="s">
        <v>7</v>
      </c>
      <c r="B71" s="19">
        <v>68</v>
      </c>
      <c r="C71" s="20">
        <v>44776.472337962965</v>
      </c>
      <c r="D71" s="21">
        <v>10.382999999999999</v>
      </c>
      <c r="E71" s="21">
        <v>51.52</v>
      </c>
      <c r="F71" s="21">
        <v>22.11845662</v>
      </c>
      <c r="G71" s="21">
        <v>2.84</v>
      </c>
      <c r="H71" s="21"/>
      <c r="I71" s="4">
        <v>3.4794954752049401E-3</v>
      </c>
      <c r="J71" s="4">
        <v>3.1073600000000007E-2</v>
      </c>
      <c r="K71" s="4">
        <v>2.4571499999999996E-2</v>
      </c>
    </row>
    <row r="72" spans="1:11" x14ac:dyDescent="0.25">
      <c r="A72" s="22" t="s">
        <v>8</v>
      </c>
      <c r="B72" s="22">
        <v>69</v>
      </c>
      <c r="C72" s="23">
        <v>44777.082615740743</v>
      </c>
      <c r="D72" s="24">
        <v>8.4580000000000002</v>
      </c>
      <c r="E72" s="24">
        <v>0</v>
      </c>
      <c r="F72" s="24">
        <v>25.420254199999999</v>
      </c>
      <c r="G72" s="24">
        <v>2.9359999999999999</v>
      </c>
      <c r="H72" s="24">
        <v>3.6469399779999998</v>
      </c>
      <c r="I72" s="24"/>
      <c r="J72" s="24"/>
      <c r="K72" s="24"/>
    </row>
    <row r="73" spans="1:11" x14ac:dyDescent="0.25">
      <c r="A73" s="22" t="s">
        <v>8</v>
      </c>
      <c r="B73" s="22">
        <v>70</v>
      </c>
      <c r="C73" s="23">
        <v>44777.083969907406</v>
      </c>
      <c r="D73" s="24">
        <v>8.6329999999999991</v>
      </c>
      <c r="E73" s="24">
        <v>0</v>
      </c>
      <c r="F73" s="24">
        <v>9.0053213260000007</v>
      </c>
      <c r="G73" s="24">
        <v>3.0289999999999999</v>
      </c>
      <c r="H73" s="24"/>
      <c r="I73" s="24"/>
      <c r="J73" s="24"/>
      <c r="K73" s="24"/>
    </row>
    <row r="74" spans="1:11" x14ac:dyDescent="0.25">
      <c r="A74" s="22" t="s">
        <v>8</v>
      </c>
      <c r="B74" s="22">
        <v>71</v>
      </c>
      <c r="C74" s="23">
        <v>44777.084004629629</v>
      </c>
      <c r="D74" s="24">
        <v>8.8079999999999998</v>
      </c>
      <c r="E74" s="24">
        <v>0</v>
      </c>
      <c r="F74" s="24">
        <v>7.4868979290000004</v>
      </c>
      <c r="G74" s="24">
        <v>2.923</v>
      </c>
      <c r="H74" s="24">
        <v>2.38341665</v>
      </c>
      <c r="I74" s="24"/>
      <c r="J74" s="24"/>
      <c r="K74" s="24"/>
    </row>
    <row r="75" spans="1:11" x14ac:dyDescent="0.25">
      <c r="A75" s="22" t="s">
        <v>8</v>
      </c>
      <c r="B75" s="22">
        <v>72</v>
      </c>
      <c r="C75" s="23">
        <v>44777.084039351852</v>
      </c>
      <c r="D75" s="24">
        <v>9.0419999999999998</v>
      </c>
      <c r="E75" s="24">
        <v>0</v>
      </c>
      <c r="F75" s="24">
        <v>4.9549921550000002</v>
      </c>
      <c r="G75" s="24">
        <v>2.976</v>
      </c>
      <c r="H75" s="24"/>
      <c r="I75" s="24"/>
      <c r="J75" s="24"/>
      <c r="K75" s="24"/>
    </row>
    <row r="76" spans="1:11" x14ac:dyDescent="0.25">
      <c r="A76" s="22" t="s">
        <v>8</v>
      </c>
      <c r="B76" s="22">
        <v>73</v>
      </c>
      <c r="C76" s="23">
        <v>44777.084074074075</v>
      </c>
      <c r="D76" s="24">
        <v>9.9169999999999998</v>
      </c>
      <c r="E76" s="24">
        <v>0</v>
      </c>
      <c r="F76" s="24">
        <v>7.3004542499999996</v>
      </c>
      <c r="G76" s="24">
        <v>3.641</v>
      </c>
      <c r="H76" s="24">
        <v>2.1756635950000001</v>
      </c>
      <c r="I76" s="24"/>
      <c r="J76" s="24"/>
      <c r="K76" s="24"/>
    </row>
    <row r="77" spans="1:11" x14ac:dyDescent="0.25">
      <c r="A77" s="22" t="s">
        <v>8</v>
      </c>
      <c r="B77" s="22">
        <v>74</v>
      </c>
      <c r="C77" s="23">
        <v>44777.084108796298</v>
      </c>
      <c r="D77" s="24">
        <v>10.092000000000001</v>
      </c>
      <c r="E77" s="24">
        <v>70.88</v>
      </c>
      <c r="F77" s="24">
        <v>31.924724860000001</v>
      </c>
      <c r="G77" s="24">
        <v>3.0539999999999998</v>
      </c>
      <c r="H77" s="24"/>
      <c r="I77" s="24"/>
      <c r="J77" s="24"/>
      <c r="K77" s="24"/>
    </row>
    <row r="78" spans="1:11" x14ac:dyDescent="0.25">
      <c r="A78" s="22" t="s">
        <v>8</v>
      </c>
      <c r="B78" s="22">
        <v>75</v>
      </c>
      <c r="C78" s="23">
        <v>44777.084143518521</v>
      </c>
      <c r="D78" s="24">
        <v>10.442</v>
      </c>
      <c r="E78" s="24">
        <v>73.459999999999994</v>
      </c>
      <c r="F78" s="24">
        <v>41.421588929999999</v>
      </c>
      <c r="G78" s="24">
        <v>3.0379999999999998</v>
      </c>
      <c r="H78" s="24"/>
      <c r="I78" s="24"/>
      <c r="J78" s="24"/>
      <c r="K78" s="24"/>
    </row>
    <row r="79" spans="1:11" x14ac:dyDescent="0.25">
      <c r="A79" s="22" t="s">
        <v>8</v>
      </c>
      <c r="B79" s="22">
        <v>76</v>
      </c>
      <c r="C79" s="23">
        <v>44777.084178240744</v>
      </c>
      <c r="D79" s="24">
        <v>10.617000000000001</v>
      </c>
      <c r="E79" s="24">
        <v>84.58</v>
      </c>
      <c r="F79" s="24">
        <v>44.890630100000003</v>
      </c>
      <c r="G79" s="24">
        <v>3.5790000000000002</v>
      </c>
      <c r="H79" s="24">
        <v>4.7777531050000004</v>
      </c>
      <c r="I79" s="24"/>
      <c r="J79" s="24"/>
      <c r="K79" s="24"/>
    </row>
    <row r="80" spans="1:11" x14ac:dyDescent="0.25">
      <c r="A80" s="22" t="s">
        <v>8</v>
      </c>
      <c r="B80" s="22">
        <v>77</v>
      </c>
      <c r="C80" s="23">
        <v>44777.08421296296</v>
      </c>
      <c r="D80" s="24">
        <v>10.442</v>
      </c>
      <c r="E80" s="24">
        <v>67.36</v>
      </c>
      <c r="F80" s="24">
        <v>33.184005310000003</v>
      </c>
      <c r="G80" s="24">
        <v>3.1509999999999998</v>
      </c>
      <c r="H80" s="24"/>
      <c r="I80" s="24"/>
      <c r="J80" s="24"/>
      <c r="K80" s="24"/>
    </row>
    <row r="81" spans="1:11" x14ac:dyDescent="0.25">
      <c r="A81" s="22" t="s">
        <v>8</v>
      </c>
      <c r="B81" s="22">
        <v>78</v>
      </c>
      <c r="C81" s="23">
        <v>44777.084247685183</v>
      </c>
      <c r="D81" s="24">
        <v>10.092000000000001</v>
      </c>
      <c r="E81" s="24">
        <v>65.8</v>
      </c>
      <c r="F81" s="24">
        <v>25.368248770000001</v>
      </c>
      <c r="G81" s="24">
        <v>3.0059999999999998</v>
      </c>
      <c r="H81" s="24">
        <v>4.9322235059999997</v>
      </c>
      <c r="I81" s="24"/>
      <c r="J81" s="24"/>
      <c r="K81" s="24"/>
    </row>
    <row r="82" spans="1:11" x14ac:dyDescent="0.25">
      <c r="A82" s="22" t="s">
        <v>8</v>
      </c>
      <c r="B82" s="22">
        <v>79</v>
      </c>
      <c r="C82" s="23">
        <v>44777.084282407406</v>
      </c>
      <c r="D82" s="24">
        <v>9.9169999999999998</v>
      </c>
      <c r="E82" s="24">
        <v>65.319999999999993</v>
      </c>
      <c r="F82" s="24">
        <v>6.5455735559999999</v>
      </c>
      <c r="G82" s="24">
        <v>3.5510000000000002</v>
      </c>
      <c r="H82" s="24"/>
      <c r="I82" s="24"/>
      <c r="J82" s="24"/>
      <c r="K82" s="24"/>
    </row>
    <row r="83" spans="1:11" x14ac:dyDescent="0.25">
      <c r="A83" s="7" t="s">
        <v>28</v>
      </c>
      <c r="B83" s="7">
        <v>85</v>
      </c>
      <c r="C83" s="8">
        <v>44778.468946759262</v>
      </c>
      <c r="D83" s="25">
        <v>7.2329999999999997</v>
      </c>
      <c r="E83" s="25">
        <v>94.93</v>
      </c>
      <c r="F83" s="25">
        <v>46.45476773</v>
      </c>
      <c r="G83" s="25">
        <v>3.0339999999999998</v>
      </c>
      <c r="H83" s="25">
        <v>5.5154976969999998</v>
      </c>
      <c r="I83" s="25"/>
      <c r="J83" s="25"/>
      <c r="K83" s="25"/>
    </row>
    <row r="84" spans="1:11" x14ac:dyDescent="0.25">
      <c r="A84" s="7" t="s">
        <v>28</v>
      </c>
      <c r="B84" s="7">
        <v>86</v>
      </c>
      <c r="C84" s="8">
        <v>44778.468981481485</v>
      </c>
      <c r="D84" s="25">
        <v>7.2329999999999997</v>
      </c>
      <c r="E84" s="25">
        <v>75.03</v>
      </c>
      <c r="F84" s="25">
        <v>42.016806719999998</v>
      </c>
      <c r="G84" s="25">
        <v>3.0539999999999998</v>
      </c>
      <c r="H84" s="25"/>
      <c r="I84" s="25"/>
      <c r="J84" s="25"/>
      <c r="K84" s="25"/>
    </row>
    <row r="85" spans="1:11" x14ac:dyDescent="0.25">
      <c r="A85" s="7" t="s">
        <v>28</v>
      </c>
      <c r="B85" s="7">
        <v>87</v>
      </c>
      <c r="C85" s="8">
        <v>44778.4690162037</v>
      </c>
      <c r="D85" s="25">
        <v>7.9329999999999998</v>
      </c>
      <c r="E85" s="25">
        <v>81.28</v>
      </c>
      <c r="F85" s="25">
        <v>43.243243239999998</v>
      </c>
      <c r="G85" s="25">
        <v>2.4729999999999999</v>
      </c>
      <c r="H85" s="25">
        <v>3.927531906</v>
      </c>
      <c r="I85" s="25"/>
      <c r="J85" s="25"/>
      <c r="K85" s="25"/>
    </row>
    <row r="86" spans="1:11" x14ac:dyDescent="0.25">
      <c r="A86" s="7" t="s">
        <v>28</v>
      </c>
      <c r="B86" s="7">
        <v>88</v>
      </c>
      <c r="C86" s="8">
        <v>44778.469050925924</v>
      </c>
      <c r="D86" s="25">
        <v>9.3919999999999995</v>
      </c>
      <c r="E86" s="25">
        <v>293.19</v>
      </c>
      <c r="F86" s="25">
        <v>144.48979589999999</v>
      </c>
      <c r="G86" s="25">
        <v>2.6160000000000001</v>
      </c>
      <c r="H86" s="25"/>
      <c r="I86" s="25"/>
      <c r="J86" s="25"/>
      <c r="K86" s="25"/>
    </row>
    <row r="87" spans="1:11" x14ac:dyDescent="0.25">
      <c r="A87" s="7" t="s">
        <v>28</v>
      </c>
      <c r="B87" s="7">
        <v>89</v>
      </c>
      <c r="C87" s="8">
        <v>44778.469085648147</v>
      </c>
      <c r="D87" s="25">
        <v>9.3919999999999995</v>
      </c>
      <c r="E87" s="25">
        <v>311.7</v>
      </c>
      <c r="F87" s="25">
        <v>240.01979539999999</v>
      </c>
      <c r="G87" s="25">
        <v>3.1349999999999998</v>
      </c>
      <c r="H87" s="25">
        <v>15.122709800000001</v>
      </c>
      <c r="I87" s="25"/>
      <c r="J87" s="25"/>
      <c r="K87" s="25"/>
    </row>
    <row r="88" spans="1:11" x14ac:dyDescent="0.25">
      <c r="A88" s="7" t="s">
        <v>28</v>
      </c>
      <c r="B88" s="7">
        <v>90</v>
      </c>
      <c r="C88" s="8">
        <v>44778.46912037037</v>
      </c>
      <c r="D88" s="25">
        <v>9.3919999999999995</v>
      </c>
      <c r="E88" s="25">
        <v>243.92</v>
      </c>
      <c r="F88" s="25">
        <v>191.19209090000001</v>
      </c>
      <c r="G88" s="25">
        <v>2.9359999999999999</v>
      </c>
      <c r="H88" s="25"/>
      <c r="I88" s="25"/>
      <c r="J88" s="25"/>
      <c r="K88" s="25"/>
    </row>
    <row r="89" spans="1:11" x14ac:dyDescent="0.25">
      <c r="A89" s="7" t="s">
        <v>28</v>
      </c>
      <c r="B89" s="7">
        <v>91</v>
      </c>
      <c r="C89" s="8">
        <v>44778.469155092593</v>
      </c>
      <c r="D89" s="25">
        <v>9.3919999999999995</v>
      </c>
      <c r="E89" s="25">
        <v>292.16000000000003</v>
      </c>
      <c r="F89" s="25">
        <v>164.10842589999999</v>
      </c>
      <c r="G89" s="25">
        <v>2.9329999999999998</v>
      </c>
      <c r="H89" s="25">
        <v>17.196570690000001</v>
      </c>
      <c r="I89" s="25"/>
      <c r="J89" s="25"/>
      <c r="K89" s="25"/>
    </row>
    <row r="90" spans="1:11" x14ac:dyDescent="0.25">
      <c r="A90" s="7" t="s">
        <v>28</v>
      </c>
      <c r="B90" s="7">
        <v>92</v>
      </c>
      <c r="C90" s="8">
        <v>44778.469189814816</v>
      </c>
      <c r="D90" s="25">
        <v>9.0419999999999998</v>
      </c>
      <c r="E90" s="25">
        <v>260.11</v>
      </c>
      <c r="F90" s="25">
        <v>119.19751530000001</v>
      </c>
      <c r="G90" s="25">
        <v>2.6339999999999999</v>
      </c>
      <c r="H90" s="25">
        <v>9.5060401779999992</v>
      </c>
      <c r="I90" s="25"/>
      <c r="J90" s="25"/>
      <c r="K90" s="25"/>
    </row>
    <row r="91" spans="1:11" x14ac:dyDescent="0.25">
      <c r="A91" s="7" t="s">
        <v>28</v>
      </c>
      <c r="B91" s="7">
        <v>93</v>
      </c>
      <c r="C91" s="8">
        <v>44778.469259259262</v>
      </c>
      <c r="D91" s="25">
        <v>8.4580000000000002</v>
      </c>
      <c r="E91" s="25">
        <v>194.51</v>
      </c>
      <c r="F91" s="25">
        <v>96.298777419999993</v>
      </c>
      <c r="G91" s="25">
        <v>2.97</v>
      </c>
      <c r="H91" s="25">
        <v>6.3675166709999997</v>
      </c>
      <c r="I91" s="25"/>
      <c r="J91" s="25"/>
      <c r="K91" s="25"/>
    </row>
    <row r="92" spans="1:11" x14ac:dyDescent="0.25">
      <c r="A92" s="7" t="s">
        <v>28</v>
      </c>
      <c r="B92" s="7">
        <v>94</v>
      </c>
      <c r="C92" s="8">
        <v>44778.469293981485</v>
      </c>
      <c r="D92" s="25">
        <v>8.2829999999999995</v>
      </c>
      <c r="E92" s="25">
        <v>189.68</v>
      </c>
      <c r="F92" s="25">
        <v>96.842105259999997</v>
      </c>
      <c r="G92" s="25">
        <v>2.4969999999999999</v>
      </c>
      <c r="H92" s="25"/>
      <c r="I92" s="25"/>
      <c r="J92" s="25"/>
      <c r="K92" s="25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constituent correlations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Hucke, Nicole (huck4481@vandals.uidaho.edu)</cp:lastModifiedBy>
  <dcterms:created xsi:type="dcterms:W3CDTF">2015-06-05T18:17:20Z</dcterms:created>
  <dcterms:modified xsi:type="dcterms:W3CDTF">2026-07-06T17:30:22Z</dcterms:modified>
</cp:coreProperties>
</file>