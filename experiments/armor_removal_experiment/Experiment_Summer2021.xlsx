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hysteresis\experiments\armor_removal_experiment\"/>
    </mc:Choice>
  </mc:AlternateContent>
  <xr:revisionPtr revIDLastSave="0" documentId="13_ncr:1_{F60C4CEC-8B61-4F74-962E-1CC6043AEF64}" xr6:coauthVersionLast="47" xr6:coauthVersionMax="47" xr10:uidLastSave="{00000000-0000-0000-0000-000000000000}"/>
  <bookViews>
    <workbookView xWindow="8880" yWindow="1605" windowWidth="17280" windowHeight="8880" xr2:uid="{FA091B27-2BB3-44B8-A3BE-335E370FA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F6" i="1" l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4" i="1"/>
</calcChain>
</file>

<file path=xl/sharedStrings.xml><?xml version="1.0" encoding="utf-8"?>
<sst xmlns="http://schemas.openxmlformats.org/spreadsheetml/2006/main" count="43" uniqueCount="33">
  <si>
    <t>Exp 1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</si>
  <si>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</si>
  <si>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</si>
  <si>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</si>
  <si>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</si>
  <si>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</si>
  <si>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</si>
  <si>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</si>
  <si>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</si>
  <si>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</si>
  <si>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</si>
  <si>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</si>
  <si>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</si>
  <si>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</si>
  <si>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</si>
  <si>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</si>
  <si>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Time</t>
  </si>
  <si>
    <t>Bottle</t>
  </si>
  <si>
    <t>No</t>
  </si>
  <si>
    <t>Patch 1</t>
  </si>
  <si>
    <t>Patch 2</t>
  </si>
  <si>
    <t>Patch 3</t>
  </si>
  <si>
    <t>Removed Armor</t>
  </si>
  <si>
    <t>POC (mgC/L)</t>
  </si>
  <si>
    <t>SS (mg/L)</t>
  </si>
  <si>
    <t>Time Interval (min)</t>
  </si>
  <si>
    <t>Each patch was removed for 5 minutes</t>
  </si>
  <si>
    <t>Patch 1 - Patch 2</t>
  </si>
  <si>
    <t>Patch 2 - Patch 3</t>
  </si>
  <si>
    <t>SRP (mg/L)</t>
  </si>
  <si>
    <t>TP (mg/L)</t>
  </si>
  <si>
    <t>DOC (mg/L)</t>
  </si>
  <si>
    <t>PP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</si>
</sst>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Experimental</a:t>
            </a:r>
            <a:r>
              <a:rPr lang="es-AR" baseline="0"/>
              <a:t> c</a:t>
            </a:r>
            <a:r>
              <a:rPr lang="es-AR"/>
              <a:t>onstituent</a:t>
            </a:r>
            <a:r>
              <a:rPr lang="es-AR" baseline="0"/>
              <a:t> concentrations 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SS </c:v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Sheet1!$D$3:$D$18</c:f>
              <c:numCache>
                <c:formatCode>0.000</c:formatCode>
                <c:ptCount val="16"/>
                <c:pt idx="0">
                  <c:v>3.4553255204584259</c:v>
                </c:pt>
                <c:pt idx="1">
                  <c:v>19.697185438321707</c:v>
                </c:pt>
                <c:pt idx="2">
                  <c:v>52.651576833306279</c:v>
                </c:pt>
                <c:pt idx="3">
                  <c:v>89.933968747198861</c:v>
                </c:pt>
                <c:pt idx="4">
                  <c:v>73.619940199502565</c:v>
                </c:pt>
                <c:pt idx="5">
                  <c:v>240.0916933100078</c:v>
                </c:pt>
                <c:pt idx="6">
                  <c:v>73.574494175352541</c:v>
                </c:pt>
                <c:pt idx="7">
                  <c:v>20.816385127051692</c:v>
                </c:pt>
                <c:pt idx="8">
                  <c:v>17.667101333445487</c:v>
                </c:pt>
                <c:pt idx="9">
                  <c:v>15.963635379745167</c:v>
                </c:pt>
                <c:pt idx="10">
                  <c:v>7.0668603509873824</c:v>
                </c:pt>
                <c:pt idx="11">
                  <c:v>12.436951564983044</c:v>
                </c:pt>
                <c:pt idx="12">
                  <c:v>8.095527221210272</c:v>
                </c:pt>
                <c:pt idx="13">
                  <c:v>10.855405992184116</c:v>
                </c:pt>
                <c:pt idx="14">
                  <c:v>6.0885448377837434</c:v>
                </c:pt>
                <c:pt idx="15">
                  <c:v>11.464181780769531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4C-4193-8312-463578F34228}"/>
            </c:ext>
          </c:extLst>
        </c:ser>
        <c:ser>
          <c:idx val="1"/>
          <c:order val="1"/>
          <c:tx>
            <c:v>POC </c:v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Sheet1!$E$3:$E$18</c:f>
              <c:numCache>
                <c:formatCode>0.000</c:formatCode>
                <c:ptCount val="16"/>
                <c:pt idx="0">
                  <c:v>1.1019061775871011</c:v>
                </c:pt>
                <c:pt idx="1">
                  <c:v>0.74367490551410131</c:v>
                </c:pt>
                <c:pt idx="2">
                  <c:v>8.5089648231025539</c:v>
                </c:pt>
                <c:pt idx="3">
                  <c:v>10.416461895026821</c:v>
                </c:pt>
                <c:pt idx="4">
                  <c:v>9.7361003162332747</c:v>
                </c:pt>
                <c:pt idx="5">
                  <c:v>38.658748032082826</c:v>
                </c:pt>
                <c:pt idx="6">
                  <c:v>6.3447902158703471</c:v>
                </c:pt>
                <c:pt idx="7">
                  <c:v>1.9795058998944075</c:v>
                </c:pt>
                <c:pt idx="8">
                  <c:v>3.219264329662352</c:v>
                </c:pt>
                <c:pt idx="9">
                  <c:v>3.005177966008191</c:v>
                </c:pt>
                <c:pt idx="10">
                  <c:v>1.5626443518739146</c:v>
                </c:pt>
                <c:pt idx="11">
                  <c:v>2.8765823670330759</c:v>
                </c:pt>
                <c:pt idx="12">
                  <c:v>2.2126150321267621</c:v>
                </c:pt>
                <c:pt idx="13">
                  <c:v>2.5675322748057079</c:v>
                </c:pt>
                <c:pt idx="14">
                  <c:v>2.2312408401110857</c:v>
                </c:pt>
                <c:pt idx="15">
                  <c:v>2.7825557685143458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4C-4193-8312-463578F34228}"/>
            </c:ext>
          </c:extLst>
        </c:ser>
        <c:ser>
          <c:idx val="4"/>
          <c:order val="4"/>
          <c:tx>
            <c:v>DOC</c:v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Sheet1!$J$3:$J$18</c:f>
              <c:numCache>
                <c:formatCode>0.00</c:formatCode>
                <c:ptCount val="16"/>
                <c:pt idx="0">
                  <c:v>2.1269999999999998</c:v>
                </c:pt>
                <c:pt idx="1">
                  <c:v>1.3859999999999999</c:v>
                </c:pt>
                <c:pt idx="2">
                  <c:v>1.5820000000000001</c:v>
                </c:pt>
                <c:pt idx="3">
                  <c:v>1.643</c:v>
                </c:pt>
                <c:pt idx="4">
                  <c:v>1.5389999999999999</c:v>
                </c:pt>
                <c:pt idx="5">
                  <c:v>1.502</c:v>
                </c:pt>
                <c:pt idx="6">
                  <c:v>1.46</c:v>
                </c:pt>
                <c:pt idx="7">
                  <c:v>1.4370000000000001</c:v>
                </c:pt>
                <c:pt idx="8">
                  <c:v>1.6559999999999999</c:v>
                </c:pt>
                <c:pt idx="9">
                  <c:v>1.7370000000000001</c:v>
                </c:pt>
                <c:pt idx="10">
                  <c:v>1.4590000000000001</c:v>
                </c:pt>
                <c:pt idx="11">
                  <c:v>1.6379999999999999</c:v>
                </c:pt>
                <c:pt idx="12">
                  <c:v>1.7050000000000001</c:v>
                </c:pt>
                <c:pt idx="13">
                  <c:v>1.7070000000000001</c:v>
                </c:pt>
                <c:pt idx="14">
                  <c:v>1.681</c:v>
                </c:pt>
                <c:pt idx="15">
                  <c:v>1.262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1-4385-BA1E-DCFA7A01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693071"/>
        <c:axId val="506695151"/>
      </c:scatterChart>
      <c:scatterChart>
        <c:scatterStyle val="lineMarker"/>
        <c:varyColors val="0"/>
        <c:ser>
          <c:idx val="2"/>
          <c:order val="2"/>
          <c:tx>
            <c:v>SRP</c:v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2.3E-2</c:v>
                </c:pt>
                <c:pt idx="1">
                  <c:v>2.1999999999999999E-2</c:v>
                </c:pt>
                <c:pt idx="2">
                  <c:v>2.4E-2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1.7999999999999999E-2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2.1000000000000001E-2</c:v>
                </c:pt>
                <c:pt idx="10">
                  <c:v>2.1999999999999999E-2</c:v>
                </c:pt>
                <c:pt idx="11">
                  <c:v>1.9E-2</c:v>
                </c:pt>
                <c:pt idx="12">
                  <c:v>0.02</c:v>
                </c:pt>
                <c:pt idx="13">
                  <c:v>0.02</c:v>
                </c:pt>
                <c:pt idx="14">
                  <c:v>2.1999999999999999E-2</c:v>
                </c:pt>
                <c:pt idx="15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8F-4931-ACEF-D482F2A06172}"/>
            </c:ext>
          </c:extLst>
        </c:ser>
        <c:ser>
          <c:idx val="3"/>
          <c:order val="3"/>
          <c:tx>
            <c:v>TP</c:v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Sheet1!$I$3:$I$18</c:f>
              <c:numCache>
                <c:formatCode>General</c:formatCode>
                <c:ptCount val="16"/>
                <c:pt idx="0">
                  <c:v>0.03</c:v>
                </c:pt>
                <c:pt idx="1">
                  <c:v>3.9E-2</c:v>
                </c:pt>
                <c:pt idx="2">
                  <c:v>4.5999999999999999E-2</c:v>
                </c:pt>
                <c:pt idx="3">
                  <c:v>7.1999999999999995E-2</c:v>
                </c:pt>
                <c:pt idx="4">
                  <c:v>8.1000000000000003E-2</c:v>
                </c:pt>
                <c:pt idx="5">
                  <c:v>0.11799999999999999</c:v>
                </c:pt>
                <c:pt idx="6">
                  <c:v>0.05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2.7E-2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3.1E-2</c:v>
                </c:pt>
                <c:pt idx="13">
                  <c:v>2.4E-2</c:v>
                </c:pt>
                <c:pt idx="14">
                  <c:v>2.5000000000000001E-2</c:v>
                </c:pt>
                <c:pt idx="1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8F-4931-ACEF-D482F2A06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922112"/>
        <c:axId val="1879921696"/>
      </c:scatterChart>
      <c:valAx>
        <c:axId val="5066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Time elapsed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6695151"/>
        <c:crosses val="autoZero"/>
        <c:crossBetween val="midCat"/>
      </c:valAx>
      <c:valAx>
        <c:axId val="506695151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POC, DOC</a:t>
                </a:r>
                <a:r>
                  <a:rPr lang="es-AR" baseline="0"/>
                  <a:t> and SS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6693071"/>
        <c:crosses val="autoZero"/>
        <c:crossBetween val="midCat"/>
      </c:valAx>
      <c:valAx>
        <c:axId val="1879921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SRP and TP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79922112"/>
        <c:crosses val="max"/>
        <c:crossBetween val="midCat"/>
      </c:valAx>
      <c:valAx>
        <c:axId val="1879922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992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POC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93477584752811"/>
                  <c:y val="4.3161154838053217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0.000</c:formatCode>
                <c:ptCount val="16"/>
                <c:pt idx="0">
                  <c:v>3.4553255204584259</c:v>
                </c:pt>
                <c:pt idx="1">
                  <c:v>19.697185438321707</c:v>
                </c:pt>
                <c:pt idx="2">
                  <c:v>52.651576833306279</c:v>
                </c:pt>
                <c:pt idx="3">
                  <c:v>89.933968747198861</c:v>
                </c:pt>
                <c:pt idx="4">
                  <c:v>73.619940199502565</c:v>
                </c:pt>
                <c:pt idx="5">
                  <c:v>240.0916933100078</c:v>
                </c:pt>
                <c:pt idx="6">
                  <c:v>73.574494175352541</c:v>
                </c:pt>
                <c:pt idx="7">
                  <c:v>20.816385127051692</c:v>
                </c:pt>
                <c:pt idx="8">
                  <c:v>17.667101333445487</c:v>
                </c:pt>
                <c:pt idx="9">
                  <c:v>15.963635379745167</c:v>
                </c:pt>
                <c:pt idx="10">
                  <c:v>7.0668603509873824</c:v>
                </c:pt>
                <c:pt idx="11">
                  <c:v>12.436951564983044</c:v>
                </c:pt>
                <c:pt idx="12">
                  <c:v>8.095527221210272</c:v>
                </c:pt>
                <c:pt idx="13">
                  <c:v>10.855405992184116</c:v>
                </c:pt>
                <c:pt idx="14">
                  <c:v>6.0885448377837434</c:v>
                </c:pt>
                <c:pt idx="15">
                  <c:v>11.464181780769531</c:v>
                </c:pt>
              </c:numCache>
            </c:numRef>
          </c:xVal>
          <c:yVal>
            <c:numRef>
              <c:f>Sheet1!$E$3:$E$18</c:f>
              <c:numCache>
                <c:formatCode>0.000</c:formatCode>
                <c:ptCount val="16"/>
                <c:pt idx="0">
                  <c:v>1.1019061775871011</c:v>
                </c:pt>
                <c:pt idx="1">
                  <c:v>0.74367490551410131</c:v>
                </c:pt>
                <c:pt idx="2">
                  <c:v>8.5089648231025539</c:v>
                </c:pt>
                <c:pt idx="3">
                  <c:v>10.416461895026821</c:v>
                </c:pt>
                <c:pt idx="4">
                  <c:v>9.7361003162332747</c:v>
                </c:pt>
                <c:pt idx="5">
                  <c:v>38.658748032082826</c:v>
                </c:pt>
                <c:pt idx="6">
                  <c:v>6.3447902158703471</c:v>
                </c:pt>
                <c:pt idx="7">
                  <c:v>1.9795058998944075</c:v>
                </c:pt>
                <c:pt idx="8">
                  <c:v>3.219264329662352</c:v>
                </c:pt>
                <c:pt idx="9">
                  <c:v>3.005177966008191</c:v>
                </c:pt>
                <c:pt idx="10">
                  <c:v>1.5626443518739146</c:v>
                </c:pt>
                <c:pt idx="11">
                  <c:v>2.8765823670330759</c:v>
                </c:pt>
                <c:pt idx="12">
                  <c:v>2.2126150321267621</c:v>
                </c:pt>
                <c:pt idx="13">
                  <c:v>2.5675322748057079</c:v>
                </c:pt>
                <c:pt idx="14">
                  <c:v>2.2312408401110857</c:v>
                </c:pt>
                <c:pt idx="15">
                  <c:v>2.7825557685143458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2-4ADE-BB31-6EC94059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SRP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131952430350776"/>
                  <c:y val="0.11299784215551437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0.000</c:formatCode>
                <c:ptCount val="16"/>
                <c:pt idx="0">
                  <c:v>3.4553255204584259</c:v>
                </c:pt>
                <c:pt idx="1">
                  <c:v>19.697185438321707</c:v>
                </c:pt>
                <c:pt idx="2">
                  <c:v>52.651576833306279</c:v>
                </c:pt>
                <c:pt idx="3">
                  <c:v>89.933968747198861</c:v>
                </c:pt>
                <c:pt idx="4">
                  <c:v>73.619940199502565</c:v>
                </c:pt>
                <c:pt idx="5">
                  <c:v>240.0916933100078</c:v>
                </c:pt>
                <c:pt idx="6">
                  <c:v>73.574494175352541</c:v>
                </c:pt>
                <c:pt idx="7">
                  <c:v>20.816385127051692</c:v>
                </c:pt>
                <c:pt idx="8">
                  <c:v>17.667101333445487</c:v>
                </c:pt>
                <c:pt idx="9">
                  <c:v>15.963635379745167</c:v>
                </c:pt>
                <c:pt idx="10">
                  <c:v>7.0668603509873824</c:v>
                </c:pt>
                <c:pt idx="11">
                  <c:v>12.436951564983044</c:v>
                </c:pt>
                <c:pt idx="12">
                  <c:v>8.095527221210272</c:v>
                </c:pt>
                <c:pt idx="13">
                  <c:v>10.855405992184116</c:v>
                </c:pt>
                <c:pt idx="14">
                  <c:v>6.0885448377837434</c:v>
                </c:pt>
                <c:pt idx="15">
                  <c:v>11.464181780769531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2.3E-2</c:v>
                </c:pt>
                <c:pt idx="1">
                  <c:v>2.1999999999999999E-2</c:v>
                </c:pt>
                <c:pt idx="2">
                  <c:v>2.4E-2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1.7999999999999999E-2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2.1000000000000001E-2</c:v>
                </c:pt>
                <c:pt idx="10">
                  <c:v>2.1999999999999999E-2</c:v>
                </c:pt>
                <c:pt idx="11">
                  <c:v>1.9E-2</c:v>
                </c:pt>
                <c:pt idx="12">
                  <c:v>0.02</c:v>
                </c:pt>
                <c:pt idx="13">
                  <c:v>0.02</c:v>
                </c:pt>
                <c:pt idx="14">
                  <c:v>2.1999999999999999E-2</c:v>
                </c:pt>
                <c:pt idx="15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2-4409-91C7-3A39CCF2C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93477584752811"/>
                  <c:y val="4.3161154838053217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0.000</c:formatCode>
                <c:ptCount val="16"/>
                <c:pt idx="0">
                  <c:v>3.4553255204584259</c:v>
                </c:pt>
                <c:pt idx="1">
                  <c:v>19.697185438321707</c:v>
                </c:pt>
                <c:pt idx="2">
                  <c:v>52.651576833306279</c:v>
                </c:pt>
                <c:pt idx="3">
                  <c:v>89.933968747198861</c:v>
                </c:pt>
                <c:pt idx="4">
                  <c:v>73.619940199502565</c:v>
                </c:pt>
                <c:pt idx="5">
                  <c:v>240.0916933100078</c:v>
                </c:pt>
                <c:pt idx="6">
                  <c:v>73.574494175352541</c:v>
                </c:pt>
                <c:pt idx="7">
                  <c:v>20.816385127051692</c:v>
                </c:pt>
                <c:pt idx="8">
                  <c:v>17.667101333445487</c:v>
                </c:pt>
                <c:pt idx="9">
                  <c:v>15.963635379745167</c:v>
                </c:pt>
                <c:pt idx="10">
                  <c:v>7.0668603509873824</c:v>
                </c:pt>
                <c:pt idx="11">
                  <c:v>12.436951564983044</c:v>
                </c:pt>
                <c:pt idx="12">
                  <c:v>8.095527221210272</c:v>
                </c:pt>
                <c:pt idx="13">
                  <c:v>10.855405992184116</c:v>
                </c:pt>
                <c:pt idx="14">
                  <c:v>6.0885448377837434</c:v>
                </c:pt>
                <c:pt idx="15">
                  <c:v>11.464181780769531</c:v>
                </c:pt>
              </c:numCache>
            </c:numRef>
          </c:xVal>
          <c:yVal>
            <c:numRef>
              <c:f>Sheet1!$I$3:$I$18</c:f>
              <c:numCache>
                <c:formatCode>General</c:formatCode>
                <c:ptCount val="16"/>
                <c:pt idx="0">
                  <c:v>0.03</c:v>
                </c:pt>
                <c:pt idx="1">
                  <c:v>3.9E-2</c:v>
                </c:pt>
                <c:pt idx="2">
                  <c:v>4.5999999999999999E-2</c:v>
                </c:pt>
                <c:pt idx="3">
                  <c:v>7.1999999999999995E-2</c:v>
                </c:pt>
                <c:pt idx="4">
                  <c:v>8.1000000000000003E-2</c:v>
                </c:pt>
                <c:pt idx="5">
                  <c:v>0.11799999999999999</c:v>
                </c:pt>
                <c:pt idx="6">
                  <c:v>0.05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2.7E-2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3.1E-2</c:v>
                </c:pt>
                <c:pt idx="13">
                  <c:v>2.4E-2</c:v>
                </c:pt>
                <c:pt idx="14">
                  <c:v>2.5000000000000001E-2</c:v>
                </c:pt>
                <c:pt idx="1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7-4CBC-83B3-68329FFBC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DOC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677815593500082"/>
                  <c:y val="0.1642091593912573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0.000</c:formatCode>
                <c:ptCount val="16"/>
                <c:pt idx="0">
                  <c:v>3.4553255204584259</c:v>
                </c:pt>
                <c:pt idx="1">
                  <c:v>19.697185438321707</c:v>
                </c:pt>
                <c:pt idx="2">
                  <c:v>52.651576833306279</c:v>
                </c:pt>
                <c:pt idx="3">
                  <c:v>89.933968747198861</c:v>
                </c:pt>
                <c:pt idx="4">
                  <c:v>73.619940199502565</c:v>
                </c:pt>
                <c:pt idx="5">
                  <c:v>240.0916933100078</c:v>
                </c:pt>
                <c:pt idx="6">
                  <c:v>73.574494175352541</c:v>
                </c:pt>
                <c:pt idx="7">
                  <c:v>20.816385127051692</c:v>
                </c:pt>
                <c:pt idx="8">
                  <c:v>17.667101333445487</c:v>
                </c:pt>
                <c:pt idx="9">
                  <c:v>15.963635379745167</c:v>
                </c:pt>
                <c:pt idx="10">
                  <c:v>7.0668603509873824</c:v>
                </c:pt>
                <c:pt idx="11">
                  <c:v>12.436951564983044</c:v>
                </c:pt>
                <c:pt idx="12">
                  <c:v>8.095527221210272</c:v>
                </c:pt>
                <c:pt idx="13">
                  <c:v>10.855405992184116</c:v>
                </c:pt>
                <c:pt idx="14">
                  <c:v>6.0885448377837434</c:v>
                </c:pt>
                <c:pt idx="15">
                  <c:v>11.464181780769531</c:v>
                </c:pt>
              </c:numCache>
            </c:numRef>
          </c:xVal>
          <c:yVal>
            <c:numRef>
              <c:f>Sheet1!$J$3:$J$18</c:f>
              <c:numCache>
                <c:formatCode>0.00</c:formatCode>
                <c:ptCount val="16"/>
                <c:pt idx="0">
                  <c:v>2.1269999999999998</c:v>
                </c:pt>
                <c:pt idx="1">
                  <c:v>1.3859999999999999</c:v>
                </c:pt>
                <c:pt idx="2">
                  <c:v>1.5820000000000001</c:v>
                </c:pt>
                <c:pt idx="3">
                  <c:v>1.643</c:v>
                </c:pt>
                <c:pt idx="4">
                  <c:v>1.5389999999999999</c:v>
                </c:pt>
                <c:pt idx="5">
                  <c:v>1.502</c:v>
                </c:pt>
                <c:pt idx="6">
                  <c:v>1.46</c:v>
                </c:pt>
                <c:pt idx="7">
                  <c:v>1.4370000000000001</c:v>
                </c:pt>
                <c:pt idx="8">
                  <c:v>1.6559999999999999</c:v>
                </c:pt>
                <c:pt idx="9">
                  <c:v>1.7370000000000001</c:v>
                </c:pt>
                <c:pt idx="10">
                  <c:v>1.4590000000000001</c:v>
                </c:pt>
                <c:pt idx="11">
                  <c:v>1.6379999999999999</c:v>
                </c:pt>
                <c:pt idx="12">
                  <c:v>1.7050000000000001</c:v>
                </c:pt>
                <c:pt idx="13">
                  <c:v>1.7070000000000001</c:v>
                </c:pt>
                <c:pt idx="14">
                  <c:v>1.681</c:v>
                </c:pt>
                <c:pt idx="15">
                  <c:v>1.262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6D-46B5-87A4-632B8B0C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386724</xdr:colOff>
      <xdr:row>0</xdr:row>
      <xdr:rowOff>71999</xdr:rowOff>
    </xdr:from>
    <xdr:to>
      <xdr:col>21</xdr:col>
      <xdr:colOff>372718</xdr:colOff>
      <xdr:row>18</xdr:row>
      <xdr:rowOff>182704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39E95C-3AF2-559D-0FCB-FE1F79730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378423</xdr:colOff>
      <xdr:row>19</xdr:row>
      <xdr:rowOff>161700</xdr:rowOff>
    </xdr:from>
    <xdr:to>
      <xdr:col>9</xdr:col>
      <xdr:colOff>299982</xdr:colOff>
      <xdr:row>32</xdr:row>
      <xdr:rowOff>155632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1CB0AC-6495-E65A-C8D3-D6F933BC5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560406</xdr:colOff>
      <xdr:row>22</xdr:row>
      <xdr:rowOff>189940</xdr:rowOff>
    </xdr:from>
    <xdr:to>
      <xdr:col>4</xdr:col>
      <xdr:colOff>527797</xdr:colOff>
      <xdr:row>29</xdr:row>
      <xdr:rowOff>151840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84414B-05DA-4C9B-B6F3-C83B756B78BF}"/>
            </a:ext>
          </a:extLst>
        </xdr:cNvPr>
        <xdr:cNvSpPr/>
      </xdr:nvSpPr>
      <xdr:spPr>
        <a:xfrm>
          <a:off x="560406" y="4380940"/>
          <a:ext cx="3586891" cy="1295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489921</xdr:colOff>
      <xdr:row>22</xdr:row>
      <xdr:rowOff>189940</xdr:rowOff>
    </xdr:from>
    <xdr:to>
      <xdr:col>3</xdr:col>
      <xdr:colOff>614754</xdr:colOff>
      <xdr:row>29</xdr:row>
      <xdr:rowOff>151840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53B3C8-C59D-4132-97EE-5CFC21B94629}"/>
            </a:ext>
          </a:extLst>
        </xdr:cNvPr>
        <xdr:cNvSpPr/>
      </xdr:nvSpPr>
      <xdr:spPr>
        <a:xfrm>
          <a:off x="1700156" y="4380940"/>
          <a:ext cx="1290245" cy="1295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173690</xdr:colOff>
      <xdr:row>24</xdr:row>
      <xdr:rowOff>81355</xdr:rowOff>
    </xdr:from>
    <xdr:to>
      <xdr:col>2</xdr:col>
      <xdr:colOff>179406</xdr:colOff>
      <xdr:row>25</xdr:row>
      <xdr:rowOff>189940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4FAE7F-9F11-4AF6-A50E-77FBE2BF83ED}"/>
            </a:ext>
          </a:extLst>
        </xdr:cNvPr>
        <xdr:cNvSpPr txBox="1"/>
      </xdr:nvSpPr>
      <xdr:spPr>
        <a:xfrm>
          <a:off x="778808" y="4653355"/>
          <a:ext cx="610833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Patch 1</a:t>
          </a:r>
        </a:p>
      </xdr:txBody>
    </xdr:sp>
    <xdr:clientData/>
  </xdr:twoCellAnchor>
  <xdr:twoCellAnchor>
    <xdr:from>
      <xdr:col>2</xdr:col>
      <xdr:colOff>794049</xdr:colOff>
      <xdr:row>24</xdr:row>
      <xdr:rowOff>79450</xdr:rowOff>
    </xdr:from>
    <xdr:to>
      <xdr:col>3</xdr:col>
      <xdr:colOff>239469</xdr:colOff>
      <xdr:row>25</xdr:row>
      <xdr:rowOff>188035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C54BA0C-5F61-44B0-A785-15C2B72370E9}"/>
            </a:ext>
          </a:extLst>
        </xdr:cNvPr>
        <xdr:cNvSpPr txBox="1"/>
      </xdr:nvSpPr>
      <xdr:spPr>
        <a:xfrm>
          <a:off x="2004284" y="4651450"/>
          <a:ext cx="610832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Patch 2</a:t>
          </a:r>
        </a:p>
      </xdr:txBody>
    </xdr:sp>
    <xdr:clientData/>
  </xdr:twoCellAnchor>
  <xdr:twoCellAnchor>
    <xdr:from>
      <xdr:col>3</xdr:col>
      <xdr:colOff>871257</xdr:colOff>
      <xdr:row>24</xdr:row>
      <xdr:rowOff>79450</xdr:rowOff>
    </xdr:from>
    <xdr:to>
      <xdr:col>4</xdr:col>
      <xdr:colOff>238237</xdr:colOff>
      <xdr:row>25</xdr:row>
      <xdr:rowOff>188035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C10A0AF-E322-42D9-B5BD-122F682A9BA4}"/>
            </a:ext>
          </a:extLst>
        </xdr:cNvPr>
        <xdr:cNvSpPr txBox="1"/>
      </xdr:nvSpPr>
      <xdr:spPr>
        <a:xfrm>
          <a:off x="3246904" y="4651450"/>
          <a:ext cx="610833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Patch 3</a:t>
          </a:r>
        </a:p>
      </xdr:txBody>
    </xdr:sp>
    <xdr:clientData/>
  </xdr:twoCellAnchor>
  <xdr:twoCellAnchor>
    <xdr:from>
      <xdr:col>0</xdr:col>
      <xdr:colOff>268941</xdr:colOff>
      <xdr:row>29</xdr:row>
      <xdr:rowOff>85165</xdr:rowOff>
    </xdr:from>
    <xdr:to>
      <xdr:col>0</xdr:col>
      <xdr:colOff>566121</xdr:colOff>
      <xdr:row>35</xdr:row>
      <xdr:rowOff>81355</xdr:rowOff>
    </xdr:to>
    <xdr:sp macro="" textlink="">
      <xdr:nvSpPr>
        <xdr:cNvPr id="22" name="Arrow: Up 21">
          <a:extLst>
            <a:ext uri="{FF2B5EF4-FFF2-40B4-BE49-F238E27FC236}">
              <a16:creationId xmlns:a16="http://schemas.microsoft.com/office/drawing/2014/main" id="{CCDF7A21-8BCD-4B56-872B-ACE0819F1B35}"/>
            </a:ext>
          </a:extLst>
        </xdr:cNvPr>
        <xdr:cNvSpPr/>
      </xdr:nvSpPr>
      <xdr:spPr>
        <a:xfrm>
          <a:off x="268941" y="5609665"/>
          <a:ext cx="297180" cy="1139190"/>
        </a:xfrm>
        <a:prstGeom prst="upArrow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27005</xdr:colOff>
      <xdr:row>33</xdr:row>
      <xdr:rowOff>165175</xdr:rowOff>
    </xdr:from>
    <xdr:to>
      <xdr:col>2</xdr:col>
      <xdr:colOff>287991</xdr:colOff>
      <xdr:row>35</xdr:row>
      <xdr:rowOff>69925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C104DCB-95E1-4EAA-9E14-33AACB29BB70}"/>
            </a:ext>
          </a:extLst>
        </xdr:cNvPr>
        <xdr:cNvSpPr txBox="1"/>
      </xdr:nvSpPr>
      <xdr:spPr>
        <a:xfrm>
          <a:off x="632123" y="6451675"/>
          <a:ext cx="866103" cy="285750"/>
        </a:xfrm>
        <a:prstGeom prst="rect">
          <a:avLst/>
        </a:prstGeom>
        <a:solidFill>
          <a:schemeClr val="lt1"/>
        </a:solidFill>
        <a:ln w="95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ISCO Intake</a:t>
          </a:r>
        </a:p>
      </xdr:txBody>
    </xdr:sp>
    <xdr:clientData/>
  </xdr:twoCellAnchor>
  <xdr:twoCellAnchor>
    <xdr:from>
      <xdr:col>0</xdr:col>
      <xdr:colOff>535641</xdr:colOff>
      <xdr:row>22</xdr:row>
      <xdr:rowOff>12775</xdr:rowOff>
    </xdr:from>
    <xdr:to>
      <xdr:col>4</xdr:col>
      <xdr:colOff>463027</xdr:colOff>
      <xdr:row>22</xdr:row>
      <xdr:rowOff>31825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386CC81-81F8-4033-A953-9209E4BD2940}"/>
            </a:ext>
          </a:extLst>
        </xdr:cNvPr>
        <xdr:cNvCxnSpPr/>
      </xdr:nvCxnSpPr>
      <xdr:spPr>
        <a:xfrm>
          <a:off x="535641" y="4203775"/>
          <a:ext cx="3546886" cy="190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581136</xdr:colOff>
      <xdr:row>20</xdr:row>
      <xdr:rowOff>112059</xdr:rowOff>
    </xdr:from>
    <xdr:to>
      <xdr:col>3</xdr:col>
      <xdr:colOff>688152</xdr:colOff>
      <xdr:row>22</xdr:row>
      <xdr:rowOff>32049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B59F8C3-3EEA-421A-B9A7-CB342290C628}"/>
            </a:ext>
          </a:extLst>
        </xdr:cNvPr>
        <xdr:cNvSpPr txBox="1"/>
      </xdr:nvSpPr>
      <xdr:spPr>
        <a:xfrm>
          <a:off x="1791371" y="3922059"/>
          <a:ext cx="1272428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chemeClr val="accent2"/>
              </a:solidFill>
            </a:rPr>
            <a:t>Removal Direction</a:t>
          </a:r>
        </a:p>
      </xdr:txBody>
    </xdr:sp>
    <xdr:clientData/>
  </xdr:twoCellAnchor>
  <xdr:twoCellAnchor>
    <xdr:from>
      <xdr:col>1</xdr:col>
      <xdr:colOff>268940</xdr:colOff>
      <xdr:row>26</xdr:row>
      <xdr:rowOff>168985</xdr:rowOff>
    </xdr:from>
    <xdr:to>
      <xdr:col>4</xdr:col>
      <xdr:colOff>165847</xdr:colOff>
      <xdr:row>28</xdr:row>
      <xdr:rowOff>184225</xdr:rowOff>
    </xdr:to>
    <xdr:sp macro="" textlink="">
      <xdr:nvSpPr>
        <xdr:cNvPr id="26" name="Arrow: Up 25">
          <a:extLst>
            <a:ext uri="{FF2B5EF4-FFF2-40B4-BE49-F238E27FC236}">
              <a16:creationId xmlns:a16="http://schemas.microsoft.com/office/drawing/2014/main" id="{C7A800CE-600B-4D3D-A8FF-917EA94CB435}"/>
            </a:ext>
          </a:extLst>
        </xdr:cNvPr>
        <xdr:cNvSpPr/>
      </xdr:nvSpPr>
      <xdr:spPr>
        <a:xfrm rot="16200000">
          <a:off x="2131583" y="3864460"/>
          <a:ext cx="396240" cy="291128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</xdr:col>
      <xdr:colOff>908349</xdr:colOff>
      <xdr:row>27</xdr:row>
      <xdr:rowOff>37540</xdr:rowOff>
    </xdr:from>
    <xdr:to>
      <xdr:col>3</xdr:col>
      <xdr:colOff>351864</xdr:colOff>
      <xdr:row>28</xdr:row>
      <xdr:rowOff>127075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3A6D404-C950-4F5E-A47E-97AAC27DB18E}"/>
            </a:ext>
          </a:extLst>
        </xdr:cNvPr>
        <xdr:cNvSpPr txBox="1"/>
      </xdr:nvSpPr>
      <xdr:spPr>
        <a:xfrm>
          <a:off x="2118584" y="5181040"/>
          <a:ext cx="608927" cy="28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chemeClr val="bg1"/>
              </a:solidFill>
            </a:rPr>
            <a:t>Flow</a:t>
          </a:r>
        </a:p>
      </xdr:txBody>
    </xdr:sp>
    <xdr:clientData/>
  </xdr:twoCellAnchor>
  <xdr:twoCellAnchor>
    <xdr:from>
      <xdr:col>9</xdr:col>
      <xdr:colOff>412668</xdr:colOff>
      <xdr:row>33</xdr:row>
      <xdr:rowOff>44825</xdr:rowOff>
    </xdr:from>
    <xdr:to>
      <xdr:col>15</xdr:col>
      <xdr:colOff>145675</xdr:colOff>
      <xdr:row>46</xdr:row>
      <xdr:rowOff>44824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3B0D2C7-AB52-4AFB-AF33-3B99431FF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437031</xdr:colOff>
      <xdr:row>20</xdr:row>
      <xdr:rowOff>1</xdr:rowOff>
    </xdr:from>
    <xdr:to>
      <xdr:col>15</xdr:col>
      <xdr:colOff>78442</xdr:colOff>
      <xdr:row>33</xdr:row>
      <xdr:rowOff>15457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4353362-813A-4F92-93A4-15677C895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397023</xdr:colOff>
      <xdr:row>33</xdr:row>
      <xdr:rowOff>60849</xdr:rowOff>
    </xdr:from>
    <xdr:to>
      <xdr:col>9</xdr:col>
      <xdr:colOff>299980</xdr:colOff>
      <xdr:row>46</xdr:row>
      <xdr:rowOff>82020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C3EE3BC-EEF0-4546-B35B-5914C9C6D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9DAC-46AB-4F48-9B56-23A99797F3FA}">
  <dimension ref="A2:J20"/>
  <sheetViews>
    <sheetView tabSelected="1" topLeftCell="C7" zoomScale="85" zoomScaleNormal="85" workbookViewId="0">
      <selection activeCell="J14" sqref="J14"/>
    </sheetView>
  </sheetViews>
  <sheetFormatPr defaultRowHeight="15" x14ac:dyDescent="0.25"/>
  <cols>
    <col min="3" max="3" width="17.42578125" customWidth="1"/>
    <col min="4" max="4" width="18.5703125" customWidth="1"/>
    <col min="5" max="5" width="17.28515625" customWidth="1"/>
    <col min="6" max="7" width="18.7109375" customWidth="1"/>
    <col min="8" max="8" width="17.28515625" customWidth="1"/>
    <col min="9" max="9" width="17.85546875" customWidth="1"/>
    <col min="10" max="10" width="12.28515625" customWidth="1"/>
  </cols>
  <sheetData>
    <row r="2" spans="1:10" x14ac:dyDescent="0.25">
      <c r="A2" s="3" t="s">
        <v>17</v>
      </c>
      <c r="B2" s="3" t="s">
        <v>16</v>
      </c>
      <c r="C2" s="3" t="s">
        <v>22</v>
      </c>
      <c r="D2" s="3" t="s">
        <v>24</v>
      </c>
      <c r="E2" s="3" t="s">
        <v>23</v>
      </c>
      <c r="F2" s="3" t="s">
        <v>25</v>
      </c>
      <c r="G2" s="3" t="s">
        <v>32</v>
      </c>
      <c r="H2" s="3" t="s">
        <v>29</v>
      </c>
      <c r="I2" s="3" t="s">
        <v>30</v>
      </c>
      <c r="J2" s="3" t="s">
        <v>31</v>
      </c>
    </row>
    <row r="3" spans="1:10" x14ac:dyDescent="0.25">
      <c r="A3" s="1" t="s">
        <v>0</v>
      </c>
      <c r="B3" s="2">
        <v>0.72638888888888886</v>
      </c>
      <c r="C3" s="1" t="s">
        <v>18</v>
      </c>
      <c r="D3" s="7">
        <v>3.4553255204584259</v>
      </c>
      <c r="E3" s="4">
        <v>1.1019061775871011</v>
      </c>
      <c r="F3" s="1">
        <v>0</v>
      </c>
      <c r="G3" s="1">
        <v>5.1576641217063925E-5</v>
      </c>
      <c r="H3" s="1">
        <v>2.3E-2</v>
      </c>
      <c r="I3" s="1">
        <v>0.03</v>
      </c>
      <c r="J3" s="5">
        <v>2.1269999999999998</v>
      </c>
    </row>
    <row r="4" spans="1:10" x14ac:dyDescent="0.25">
      <c r="A4" s="1" t="s">
        <v>1</v>
      </c>
      <c r="B4" s="2">
        <f>B3+0.00211111111111</f>
        <v>0.72849999999999882</v>
      </c>
      <c r="C4" s="1" t="s">
        <v>19</v>
      </c>
      <c r="D4" s="7">
        <v>19.697185438321707</v>
      </c>
      <c r="E4" s="4">
        <v>0.74367490551410131</v>
      </c>
      <c r="F4" s="1">
        <v>3</v>
      </c>
      <c r="G4" s="1">
        <v>2.9040962645844913E-4</v>
      </c>
      <c r="H4" s="1">
        <v>2.1999999999999999E-2</v>
      </c>
      <c r="I4" s="1">
        <v>3.9E-2</v>
      </c>
      <c r="J4" s="5">
        <v>1.3859999999999999</v>
      </c>
    </row>
    <row r="5" spans="1:10" x14ac:dyDescent="0.25">
      <c r="A5" s="1" t="s">
        <v>2</v>
      </c>
      <c r="B5" s="2">
        <f t="shared" ref="B5:B18" si="0">B4+0.00211111111111</f>
        <v>0.73061111111110877</v>
      </c>
      <c r="C5" s="1" t="s">
        <v>27</v>
      </c>
      <c r="D5" s="7">
        <v>52.651576833306279</v>
      </c>
      <c r="E5" s="4">
        <v>8.5089648231025539</v>
      </c>
      <c r="F5" s="1">
        <f>F4+3</f>
        <v>6</v>
      </c>
      <c r="G5" s="1">
        <v>6.6106276627512963E-4</v>
      </c>
      <c r="H5" s="1">
        <v>2.4E-2</v>
      </c>
      <c r="I5" s="1">
        <v>4.5999999999999999E-2</v>
      </c>
      <c r="J5" s="5">
        <v>1.5820000000000001</v>
      </c>
    </row>
    <row r="6" spans="1:10" x14ac:dyDescent="0.25">
      <c r="A6" s="1" t="s">
        <v>3</v>
      </c>
      <c r="B6" s="2">
        <f t="shared" si="0"/>
        <v>0.73272222222221872</v>
      </c>
      <c r="C6" s="1" t="s">
        <v>20</v>
      </c>
      <c r="D6" s="7">
        <v>89.933968747198861</v>
      </c>
      <c r="E6" s="4">
        <v>10.416461895026821</v>
      </c>
      <c r="F6" s="1">
        <f t="shared" ref="F6:F18" si="1">F5+3</f>
        <v>9</v>
      </c>
      <c r="G6" s="1">
        <v>2.2224172067829232E-3</v>
      </c>
      <c r="H6" s="1">
        <v>2.1999999999999999E-2</v>
      </c>
      <c r="I6" s="1">
        <v>7.1999999999999995E-2</v>
      </c>
      <c r="J6" s="5">
        <v>1.643</v>
      </c>
    </row>
    <row r="7" spans="1:10" x14ac:dyDescent="0.25">
      <c r="A7" s="1" t="s">
        <v>4</v>
      </c>
      <c r="B7" s="2">
        <f t="shared" si="0"/>
        <v>0.73483333333332868</v>
      </c>
      <c r="C7" s="1" t="s">
        <v>28</v>
      </c>
      <c r="D7" s="7">
        <v>73.619940199502565</v>
      </c>
      <c r="E7" s="4">
        <v>9.7361003162332747</v>
      </c>
      <c r="F7" s="1">
        <f t="shared" si="1"/>
        <v>12</v>
      </c>
      <c r="G7" s="1">
        <v>2.0552078586848492E-3</v>
      </c>
      <c r="H7" s="1">
        <v>1.9E-2</v>
      </c>
      <c r="I7" s="1">
        <v>8.1000000000000003E-2</v>
      </c>
      <c r="J7" s="5">
        <v>1.5389999999999999</v>
      </c>
    </row>
    <row r="8" spans="1:10" x14ac:dyDescent="0.25">
      <c r="A8" s="1" t="s">
        <v>5</v>
      </c>
      <c r="B8" s="2">
        <f t="shared" si="0"/>
        <v>0.73694444444443863</v>
      </c>
      <c r="C8" s="1" t="s">
        <v>21</v>
      </c>
      <c r="D8" s="7">
        <v>240.0916933100078</v>
      </c>
      <c r="E8" s="4">
        <v>38.658748032082826</v>
      </c>
      <c r="F8" s="1">
        <f t="shared" si="1"/>
        <v>15</v>
      </c>
      <c r="G8" s="1">
        <v>2.3927254516111322E-3</v>
      </c>
      <c r="H8" s="1">
        <v>1.7999999999999999E-2</v>
      </c>
      <c r="I8" s="1">
        <v>0.11799999999999999</v>
      </c>
      <c r="J8" s="5">
        <v>1.502</v>
      </c>
    </row>
    <row r="9" spans="1:10" x14ac:dyDescent="0.25">
      <c r="A9" s="1" t="s">
        <v>6</v>
      </c>
      <c r="B9" s="2">
        <f t="shared" si="0"/>
        <v>0.73905555555554858</v>
      </c>
      <c r="C9" s="1" t="s">
        <v>18</v>
      </c>
      <c r="D9" s="7">
        <v>73.574494175352541</v>
      </c>
      <c r="E9" s="4">
        <v>6.3447902158703471</v>
      </c>
      <c r="F9" s="1">
        <f t="shared" si="1"/>
        <v>18</v>
      </c>
      <c r="G9" s="1">
        <v>2.5382950090458741E-4</v>
      </c>
      <c r="H9" s="1">
        <v>1.9E-2</v>
      </c>
      <c r="I9" s="1">
        <v>0.05</v>
      </c>
      <c r="J9" s="5">
        <v>1.46</v>
      </c>
    </row>
    <row r="10" spans="1:10" x14ac:dyDescent="0.25">
      <c r="A10" s="1" t="s">
        <v>7</v>
      </c>
      <c r="B10" s="2">
        <f t="shared" si="0"/>
        <v>0.74116666666665854</v>
      </c>
      <c r="C10" s="1" t="s">
        <v>18</v>
      </c>
      <c r="D10" s="7">
        <v>20.816385127051692</v>
      </c>
      <c r="E10" s="4">
        <v>1.9795058998944075</v>
      </c>
      <c r="F10" s="1">
        <f t="shared" si="1"/>
        <v>21</v>
      </c>
      <c r="G10" s="1">
        <v>3.8420401139033575E-4</v>
      </c>
      <c r="H10" s="1">
        <v>1.9E-2</v>
      </c>
      <c r="I10" s="1">
        <v>3.3000000000000002E-2</v>
      </c>
      <c r="J10" s="5">
        <v>1.4370000000000001</v>
      </c>
    </row>
    <row r="11" spans="1:10" x14ac:dyDescent="0.25">
      <c r="A11" s="1" t="s">
        <v>8</v>
      </c>
      <c r="B11" s="2">
        <f t="shared" si="0"/>
        <v>0.74327777777776849</v>
      </c>
      <c r="C11" s="1" t="s">
        <v>18</v>
      </c>
      <c r="D11" s="7">
        <v>17.667101333445487</v>
      </c>
      <c r="E11" s="4">
        <v>3.219264329662352</v>
      </c>
      <c r="F11" s="1">
        <f t="shared" si="1"/>
        <v>24</v>
      </c>
      <c r="G11" s="1">
        <v>4.6887855651876298E-5</v>
      </c>
      <c r="H11" s="1">
        <v>1.9E-2</v>
      </c>
      <c r="I11" s="1">
        <v>0.03</v>
      </c>
      <c r="J11" s="5">
        <v>1.6559999999999999</v>
      </c>
    </row>
    <row r="12" spans="1:10" x14ac:dyDescent="0.25">
      <c r="A12" s="1" t="s">
        <v>9</v>
      </c>
      <c r="B12" s="2">
        <f t="shared" si="0"/>
        <v>0.74538888888887844</v>
      </c>
      <c r="C12" s="1" t="s">
        <v>18</v>
      </c>
      <c r="D12" s="7">
        <v>15.963635379745167</v>
      </c>
      <c r="E12" s="4">
        <v>3.005177966008191</v>
      </c>
      <c r="F12" s="1">
        <f t="shared" si="1"/>
        <v>27</v>
      </c>
      <c r="G12" s="1">
        <v>1.2779120936401461E-4</v>
      </c>
      <c r="H12" s="1">
        <v>2.1000000000000001E-2</v>
      </c>
      <c r="I12" s="1">
        <v>2.7E-2</v>
      </c>
      <c r="J12" s="5">
        <v>1.7370000000000001</v>
      </c>
    </row>
    <row r="13" spans="1:10" x14ac:dyDescent="0.25">
      <c r="A13" s="1" t="s">
        <v>10</v>
      </c>
      <c r="B13" s="2">
        <f t="shared" si="0"/>
        <v>0.7474999999999884</v>
      </c>
      <c r="C13" s="1" t="s">
        <v>18</v>
      </c>
      <c r="D13" s="7">
        <v>7.0668603509873824</v>
      </c>
      <c r="E13" s="4">
        <v>1.5626443518739146</v>
      </c>
      <c r="F13" s="1">
        <f t="shared" si="1"/>
        <v>30</v>
      </c>
      <c r="G13" s="1">
        <v>4.4474966741118462E-6</v>
      </c>
      <c r="H13" s="1">
        <v>2.1999999999999999E-2</v>
      </c>
      <c r="I13" s="1">
        <v>2.7E-2</v>
      </c>
      <c r="J13" s="5">
        <v>1.4590000000000001</v>
      </c>
    </row>
    <row r="14" spans="1:10" x14ac:dyDescent="0.25">
      <c r="A14" s="1" t="s">
        <v>11</v>
      </c>
      <c r="B14" s="2">
        <f t="shared" si="0"/>
        <v>0.74961111111109835</v>
      </c>
      <c r="C14" s="1" t="s">
        <v>18</v>
      </c>
      <c r="D14" s="7">
        <v>12.436951564983044</v>
      </c>
      <c r="E14" s="4">
        <v>2.8765823670330759</v>
      </c>
      <c r="F14" s="1">
        <f t="shared" si="1"/>
        <v>33</v>
      </c>
      <c r="G14" s="1">
        <v>4.6887855651876298E-5</v>
      </c>
      <c r="H14" s="1">
        <v>1.9E-2</v>
      </c>
      <c r="I14" s="1">
        <v>2.5999999999999999E-2</v>
      </c>
      <c r="J14" s="5">
        <v>1.6379999999999999</v>
      </c>
    </row>
    <row r="15" spans="1:10" x14ac:dyDescent="0.25">
      <c r="A15" s="1" t="s">
        <v>12</v>
      </c>
      <c r="B15" s="2">
        <f t="shared" si="0"/>
        <v>0.7517222222222083</v>
      </c>
      <c r="C15" s="1" t="s">
        <v>18</v>
      </c>
      <c r="D15" s="7">
        <v>8.095527221210272</v>
      </c>
      <c r="E15" s="4">
        <v>2.2126150321267621</v>
      </c>
      <c r="F15" s="1">
        <f t="shared" si="1"/>
        <v>36</v>
      </c>
      <c r="G15" s="1">
        <v>1.4986210786444661E-4</v>
      </c>
      <c r="H15" s="1">
        <v>0.02</v>
      </c>
      <c r="I15" s="1">
        <v>3.1E-2</v>
      </c>
      <c r="J15" s="5">
        <v>1.7050000000000001</v>
      </c>
    </row>
    <row r="16" spans="1:10" x14ac:dyDescent="0.25">
      <c r="A16" s="1" t="s">
        <v>13</v>
      </c>
      <c r="B16" s="2">
        <f t="shared" si="0"/>
        <v>0.75383333333331826</v>
      </c>
      <c r="C16" s="1" t="s">
        <v>18</v>
      </c>
      <c r="D16" s="7">
        <v>10.855405992184116</v>
      </c>
      <c r="E16" s="4">
        <v>2.5675322748057079</v>
      </c>
      <c r="F16" s="1">
        <f t="shared" si="1"/>
        <v>39</v>
      </c>
      <c r="G16" s="1">
        <v>5.1576641217063925E-5</v>
      </c>
      <c r="H16" s="1">
        <v>0.02</v>
      </c>
      <c r="I16" s="1">
        <v>2.4E-2</v>
      </c>
      <c r="J16" s="5">
        <v>1.7070000000000001</v>
      </c>
    </row>
    <row r="17" spans="1:10" x14ac:dyDescent="0.25">
      <c r="A17" s="1" t="s">
        <v>14</v>
      </c>
      <c r="B17" s="2">
        <f t="shared" si="0"/>
        <v>0.75594444444442821</v>
      </c>
      <c r="C17" s="1" t="s">
        <v>18</v>
      </c>
      <c r="D17" s="7">
        <v>6.0885448377837434</v>
      </c>
      <c r="E17" s="4">
        <v>2.2312408401110857</v>
      </c>
      <c r="F17" s="1">
        <f t="shared" si="1"/>
        <v>42</v>
      </c>
      <c r="G17" s="1">
        <v>4.8981773007164672E-4</v>
      </c>
      <c r="H17" s="1">
        <v>2.1999999999999999E-2</v>
      </c>
      <c r="I17" s="1">
        <v>2.5000000000000001E-2</v>
      </c>
      <c r="J17" s="5">
        <v>1.681</v>
      </c>
    </row>
    <row r="18" spans="1:10" x14ac:dyDescent="0.25">
      <c r="A18" s="1" t="s">
        <v>15</v>
      </c>
      <c r="B18" s="2">
        <f t="shared" si="0"/>
        <v>0.75805555555553816</v>
      </c>
      <c r="C18" s="1" t="s">
        <v>18</v>
      </c>
      <c r="D18" s="7">
        <v>11.464181780769531</v>
      </c>
      <c r="E18" s="4">
        <v>2.7825557685143458</v>
      </c>
      <c r="F18" s="1">
        <f t="shared" si="1"/>
        <v>45</v>
      </c>
      <c r="G18" s="1">
        <v>4.9120610682918029E-5</v>
      </c>
      <c r="H18" s="1">
        <v>2.1000000000000001E-2</v>
      </c>
      <c r="I18" s="1">
        <v>0.03</v>
      </c>
      <c r="J18" s="5">
        <v>1.262</v>
      </c>
    </row>
    <row r="19" spans="1:10" x14ac:dyDescent="0.25">
      <c r="D19" s="8">
        <f>AVERAGE(D12:D18)</f>
        <v>10.281586732523323</v>
      </c>
      <c r="E19" s="8">
        <f>AVERAGE(E13:E18)</f>
        <v>2.3721951057441486</v>
      </c>
    </row>
    <row r="20" spans="1:10" x14ac:dyDescent="0.25">
      <c r="B20" s="6" t="s">
        <v>26</v>
      </c>
      <c r="C20" s="6"/>
      <c r="D20" s="6"/>
    </row>
  </sheetData>
  <mergeCells count="1">
    <mergeCell ref="B20:D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2022-04-12T21:58:25Z</dcterms:created>
  <dcterms:modified xsi:type="dcterms:W3CDTF">2026-07-06T00:06:52Z</dcterms:modified>
</cp:coreProperties>
</file>