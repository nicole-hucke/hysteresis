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hysteresis\experiments\pulse_experiments\"/>
    </mc:Choice>
  </mc:AlternateContent>
  <xr:revisionPtr revIDLastSave="0" documentId="13_ncr:1_{3F209E4E-C49F-45C5-8D6D-992B6485CB24}" xr6:coauthVersionLast="47" xr6:coauthVersionMax="47" xr10:uidLastSave="{00000000-0000-0000-0000-000000000000}"/>
  <bookViews>
    <workbookView xWindow="-25320" yWindow="360" windowWidth="2544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2" i="1"/>
  <c r="E43" i="1"/>
  <c r="E44" i="1"/>
  <c r="E45" i="1"/>
  <c r="C45" i="1"/>
  <c r="C44" i="1"/>
  <c r="C43" i="1"/>
  <c r="C42" i="1"/>
  <c r="C41" i="1"/>
  <c r="D41" i="1"/>
  <c r="D45" i="1"/>
  <c r="D44" i="1"/>
  <c r="D43" i="1"/>
  <c r="D42" i="1"/>
  <c r="B42" i="1"/>
  <c r="B43" i="1"/>
  <c r="B44" i="1"/>
  <c r="B45" i="1"/>
  <c r="B41" i="1"/>
  <c r="I36" i="1" l="1"/>
  <c r="I35" i="1"/>
  <c r="I34" i="1"/>
  <c r="I33" i="1"/>
  <c r="I32" i="1"/>
  <c r="H33" i="1"/>
  <c r="H34" i="1"/>
  <c r="H35" i="1"/>
  <c r="H36" i="1"/>
  <c r="H32" i="1"/>
  <c r="G36" i="1"/>
  <c r="G35" i="1"/>
  <c r="G34" i="1"/>
  <c r="G33" i="1"/>
  <c r="G32" i="1"/>
  <c r="F33" i="1"/>
  <c r="F34" i="1"/>
  <c r="F35" i="1"/>
  <c r="F36" i="1"/>
  <c r="F32" i="1"/>
  <c r="E33" i="1"/>
  <c r="E34" i="1"/>
  <c r="E35" i="1"/>
  <c r="E36" i="1"/>
  <c r="E32" i="1"/>
  <c r="D36" i="1"/>
  <c r="D35" i="1"/>
  <c r="D34" i="1"/>
  <c r="D33" i="1"/>
  <c r="D32" i="1"/>
  <c r="C36" i="1"/>
  <c r="C35" i="1"/>
  <c r="C34" i="1"/>
  <c r="C33" i="1"/>
  <c r="C32" i="1"/>
  <c r="B36" i="1"/>
  <c r="B35" i="1"/>
  <c r="B34" i="1"/>
  <c r="B33" i="1"/>
  <c r="B32" i="1"/>
  <c r="S25" i="1"/>
  <c r="D7" i="1"/>
</calcChain>
</file>

<file path=xl/sharedStrings.xml><?xml version="1.0" encoding="utf-8"?>
<sst xmlns="http://schemas.openxmlformats.org/spreadsheetml/2006/main" count="186" uniqueCount="27">
  <si>
    <t>Experiment 1</t>
  </si>
  <si>
    <t>Deployed Particles</t>
  </si>
  <si>
    <t xml:space="preserve">Particle ID </t>
  </si>
  <si>
    <t>Displaced (y/n)</t>
  </si>
  <si>
    <t>Size Bin (mm)</t>
  </si>
  <si>
    <t>n</t>
  </si>
  <si>
    <t>y</t>
  </si>
  <si>
    <t>Distance (cm)</t>
  </si>
  <si>
    <t>-</t>
  </si>
  <si>
    <t>Experiment 2</t>
  </si>
  <si>
    <t>Experiment 3</t>
  </si>
  <si>
    <t>Experiment 4</t>
  </si>
  <si>
    <t>Experiment 5</t>
  </si>
  <si>
    <t xml:space="preserve">Experiment </t>
  </si>
  <si>
    <t>Measured Particles</t>
  </si>
  <si>
    <t>Known Displancement</t>
  </si>
  <si>
    <t>Moved</t>
  </si>
  <si>
    <t>Not Moved</t>
  </si>
  <si>
    <t>% Moved of known</t>
  </si>
  <si>
    <t>Total known moved distance (cm)</t>
  </si>
  <si>
    <t>Mean moved distance (cm)</t>
  </si>
  <si>
    <t>Max distance (cm)</t>
  </si>
  <si>
    <t>Largest moved size</t>
  </si>
  <si>
    <t>Assuming D50 is also 44 mm</t>
  </si>
  <si>
    <t>% Moved &gt;44 mm</t>
  </si>
  <si>
    <t>Moved  (&gt;44 mm)</t>
  </si>
  <si>
    <t>Known displacement (&gt;44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</si>
</sst>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6"/>
  <sheetViews>
    <sheetView tabSelected="1" zoomScale="85" zoomScaleNormal="85" workbookViewId="0">
      <selection activeCell="P29" sqref="P29"/>
    </sheetView>
  </sheetViews>
  <sheetFormatPr defaultRowHeight="15" x14ac:dyDescent="0.25"/>
  <cols>
    <col min="1" max="1" width="19.85546875" customWidth="1"/>
    <col min="2" max="2" width="15.85546875" customWidth="1"/>
    <col min="3" max="3" width="17" customWidth="1"/>
    <col min="4" max="4" width="16.5703125" customWidth="1"/>
    <col min="5" max="5" width="13.7109375" customWidth="1"/>
    <col min="6" max="6" width="20.7109375" customWidth="1"/>
    <col min="7" max="7" width="17.7109375" customWidth="1"/>
    <col min="8" max="8" width="17.5703125" customWidth="1"/>
    <col min="9" max="9" width="14.42578125" customWidth="1"/>
    <col min="10" max="10" width="11.28515625" customWidth="1"/>
    <col min="11" max="11" width="21.28515625" customWidth="1"/>
    <col min="12" max="12" width="15.42578125" customWidth="1"/>
    <col min="13" max="13" width="13.7109375" customWidth="1"/>
    <col min="14" max="14" width="15.7109375" customWidth="1"/>
    <col min="16" max="16" width="24.140625" customWidth="1"/>
    <col min="17" max="17" width="16.5703125" customWidth="1"/>
    <col min="18" max="18" width="15" customWidth="1"/>
    <col min="19" max="19" width="16.140625" customWidth="1"/>
    <col min="21" max="21" width="22.42578125" customWidth="1"/>
    <col min="22" max="22" width="15.7109375" customWidth="1"/>
    <col min="23" max="23" width="14.140625" customWidth="1"/>
    <col min="24" max="24" width="16.42578125" customWidth="1"/>
  </cols>
  <sheetData>
    <row r="1" spans="1:24" x14ac:dyDescent="0.25">
      <c r="A1" s="15" t="s">
        <v>0</v>
      </c>
      <c r="B1" s="16"/>
      <c r="C1" s="16"/>
      <c r="D1" s="17"/>
      <c r="F1" s="15" t="s">
        <v>9</v>
      </c>
      <c r="G1" s="16"/>
      <c r="H1" s="16"/>
      <c r="I1" s="17"/>
      <c r="K1" s="15" t="s">
        <v>10</v>
      </c>
      <c r="L1" s="16"/>
      <c r="M1" s="16"/>
      <c r="N1" s="17"/>
      <c r="P1" s="15" t="s">
        <v>11</v>
      </c>
      <c r="Q1" s="16"/>
      <c r="R1" s="16"/>
      <c r="S1" s="17"/>
      <c r="U1" s="18" t="s">
        <v>12</v>
      </c>
      <c r="V1" s="18"/>
      <c r="W1" s="18"/>
      <c r="X1" s="18"/>
    </row>
    <row r="2" spans="1:24" x14ac:dyDescent="0.25">
      <c r="A2" s="8" t="s">
        <v>1</v>
      </c>
      <c r="B2" s="8"/>
      <c r="C2" s="8"/>
      <c r="D2" s="8"/>
      <c r="F2" s="8" t="s">
        <v>1</v>
      </c>
      <c r="G2" s="8"/>
      <c r="H2" s="8"/>
      <c r="I2" s="8"/>
      <c r="K2" s="8" t="s">
        <v>1</v>
      </c>
      <c r="L2" s="8"/>
      <c r="M2" s="8"/>
      <c r="N2" s="8"/>
      <c r="P2" s="8" t="s">
        <v>1</v>
      </c>
      <c r="Q2" s="8"/>
      <c r="R2" s="8"/>
      <c r="S2" s="8"/>
      <c r="U2" s="8" t="s">
        <v>1</v>
      </c>
      <c r="V2" s="8"/>
      <c r="W2" s="8"/>
      <c r="X2" s="8"/>
    </row>
    <row r="3" spans="1:24" x14ac:dyDescent="0.25">
      <c r="A3" s="8" t="s">
        <v>2</v>
      </c>
      <c r="B3" s="8" t="s">
        <v>4</v>
      </c>
      <c r="C3" s="8" t="s">
        <v>3</v>
      </c>
      <c r="D3" s="8" t="s">
        <v>7</v>
      </c>
      <c r="F3" s="8" t="s">
        <v>2</v>
      </c>
      <c r="G3" s="8" t="s">
        <v>4</v>
      </c>
      <c r="H3" s="8" t="s">
        <v>3</v>
      </c>
      <c r="I3" s="8" t="s">
        <v>7</v>
      </c>
      <c r="K3" s="8" t="s">
        <v>2</v>
      </c>
      <c r="L3" s="8" t="s">
        <v>4</v>
      </c>
      <c r="M3" s="8" t="s">
        <v>3</v>
      </c>
      <c r="N3" s="8" t="s">
        <v>7</v>
      </c>
      <c r="P3" s="8" t="s">
        <v>2</v>
      </c>
      <c r="Q3" s="8" t="s">
        <v>4</v>
      </c>
      <c r="R3" s="8" t="s">
        <v>3</v>
      </c>
      <c r="S3" s="8" t="s">
        <v>7</v>
      </c>
      <c r="U3" s="8" t="s">
        <v>2</v>
      </c>
      <c r="V3" s="8" t="s">
        <v>4</v>
      </c>
      <c r="W3" s="8" t="s">
        <v>3</v>
      </c>
      <c r="X3" s="8" t="s">
        <v>7</v>
      </c>
    </row>
    <row r="4" spans="1:24" x14ac:dyDescent="0.25">
      <c r="A4" s="3">
        <v>122</v>
      </c>
      <c r="B4" s="3">
        <v>32</v>
      </c>
      <c r="C4" s="2" t="s">
        <v>5</v>
      </c>
      <c r="D4" s="2">
        <v>0</v>
      </c>
      <c r="F4" s="3">
        <v>122</v>
      </c>
      <c r="G4" s="3">
        <v>32</v>
      </c>
      <c r="H4" s="2" t="s">
        <v>6</v>
      </c>
      <c r="I4" s="2">
        <v>10</v>
      </c>
      <c r="K4" s="3">
        <v>122</v>
      </c>
      <c r="L4" s="3">
        <v>32</v>
      </c>
      <c r="M4" s="2" t="s">
        <v>5</v>
      </c>
      <c r="N4" s="2">
        <v>0</v>
      </c>
      <c r="P4" s="3">
        <v>122</v>
      </c>
      <c r="Q4" s="3">
        <v>32</v>
      </c>
      <c r="R4" s="2" t="s">
        <v>5</v>
      </c>
      <c r="S4" s="2">
        <v>0</v>
      </c>
      <c r="U4" s="3">
        <v>122</v>
      </c>
      <c r="V4" s="3">
        <v>32</v>
      </c>
      <c r="W4" s="2" t="s">
        <v>6</v>
      </c>
      <c r="X4" s="2">
        <v>25</v>
      </c>
    </row>
    <row r="5" spans="1:24" x14ac:dyDescent="0.25">
      <c r="A5" s="4">
        <v>40</v>
      </c>
      <c r="B5" s="4">
        <v>22.6</v>
      </c>
      <c r="C5" s="2" t="s">
        <v>5</v>
      </c>
      <c r="D5" s="2">
        <v>0</v>
      </c>
      <c r="F5" s="4">
        <v>41</v>
      </c>
      <c r="G5" s="4">
        <v>22.6</v>
      </c>
      <c r="H5" s="2" t="s">
        <v>6</v>
      </c>
      <c r="I5" s="2">
        <v>35</v>
      </c>
      <c r="K5" s="4">
        <v>41</v>
      </c>
      <c r="L5" s="4">
        <v>22.6</v>
      </c>
      <c r="M5" s="2" t="s">
        <v>5</v>
      </c>
      <c r="N5" s="2">
        <v>0</v>
      </c>
      <c r="P5" s="4">
        <v>41</v>
      </c>
      <c r="Q5" s="4">
        <v>22.6</v>
      </c>
      <c r="R5" s="2" t="s">
        <v>6</v>
      </c>
      <c r="S5" s="2">
        <v>60</v>
      </c>
      <c r="U5" s="4">
        <v>41</v>
      </c>
      <c r="V5" s="4">
        <v>22.6</v>
      </c>
      <c r="W5" s="2" t="s">
        <v>8</v>
      </c>
      <c r="X5" s="2" t="s">
        <v>8</v>
      </c>
    </row>
    <row r="6" spans="1:24" x14ac:dyDescent="0.25">
      <c r="A6" s="4">
        <v>41</v>
      </c>
      <c r="B6" s="4">
        <v>22.6</v>
      </c>
      <c r="C6" s="2" t="s">
        <v>6</v>
      </c>
      <c r="D6" s="2">
        <v>50</v>
      </c>
      <c r="F6" s="5">
        <v>101</v>
      </c>
      <c r="G6" s="5">
        <v>64</v>
      </c>
      <c r="H6" s="2" t="s">
        <v>5</v>
      </c>
      <c r="I6" s="2">
        <v>0</v>
      </c>
      <c r="K6" s="5">
        <v>101</v>
      </c>
      <c r="L6" s="5">
        <v>64</v>
      </c>
      <c r="M6" s="2" t="s">
        <v>5</v>
      </c>
      <c r="N6" s="2">
        <v>0</v>
      </c>
      <c r="P6" s="5">
        <v>101</v>
      </c>
      <c r="Q6" s="5">
        <v>64</v>
      </c>
      <c r="R6" s="2" t="s">
        <v>5</v>
      </c>
      <c r="S6" s="2">
        <v>0</v>
      </c>
      <c r="U6" s="5">
        <v>101</v>
      </c>
      <c r="V6" s="5">
        <v>64</v>
      </c>
      <c r="W6" s="2" t="s">
        <v>6</v>
      </c>
      <c r="X6" s="2">
        <v>150</v>
      </c>
    </row>
    <row r="7" spans="1:24" x14ac:dyDescent="0.25">
      <c r="A7" s="5">
        <v>101</v>
      </c>
      <c r="B7" s="5">
        <v>64</v>
      </c>
      <c r="C7" s="2" t="s">
        <v>6</v>
      </c>
      <c r="D7" s="2">
        <f>15+40</f>
        <v>55</v>
      </c>
      <c r="F7" s="6">
        <v>108</v>
      </c>
      <c r="G7" s="6">
        <v>45</v>
      </c>
      <c r="H7" s="2" t="s">
        <v>5</v>
      </c>
      <c r="I7" s="2">
        <v>0</v>
      </c>
      <c r="K7" s="6">
        <v>108</v>
      </c>
      <c r="L7" s="6">
        <v>45</v>
      </c>
      <c r="M7" s="2" t="s">
        <v>5</v>
      </c>
      <c r="N7" s="2">
        <v>0</v>
      </c>
      <c r="P7" s="6">
        <v>108</v>
      </c>
      <c r="Q7" s="6">
        <v>45</v>
      </c>
      <c r="R7" s="2" t="s">
        <v>5</v>
      </c>
      <c r="S7" s="2">
        <v>0</v>
      </c>
      <c r="U7" s="6">
        <v>108</v>
      </c>
      <c r="V7" s="6">
        <v>45</v>
      </c>
      <c r="W7" s="2" t="s">
        <v>6</v>
      </c>
      <c r="X7" s="2">
        <v>50</v>
      </c>
    </row>
    <row r="8" spans="1:24" x14ac:dyDescent="0.25">
      <c r="A8" s="5">
        <v>115</v>
      </c>
      <c r="B8" s="5">
        <v>64</v>
      </c>
      <c r="C8" s="2" t="s">
        <v>8</v>
      </c>
      <c r="D8" s="2" t="s">
        <v>8</v>
      </c>
      <c r="F8" s="4">
        <v>60</v>
      </c>
      <c r="G8" s="4">
        <v>22.6</v>
      </c>
      <c r="H8" s="9" t="s">
        <v>8</v>
      </c>
      <c r="I8" s="2" t="s">
        <v>8</v>
      </c>
      <c r="K8" s="4">
        <v>54</v>
      </c>
      <c r="L8" s="4">
        <v>22.6</v>
      </c>
      <c r="M8" s="2" t="s">
        <v>5</v>
      </c>
      <c r="N8" s="2">
        <v>0</v>
      </c>
      <c r="P8" s="4">
        <v>54</v>
      </c>
      <c r="Q8" s="4">
        <v>22.6</v>
      </c>
      <c r="R8" s="2" t="s">
        <v>5</v>
      </c>
      <c r="S8" s="2">
        <v>0</v>
      </c>
      <c r="U8" s="4">
        <v>54</v>
      </c>
      <c r="V8" s="4">
        <v>22.6</v>
      </c>
      <c r="W8" s="2"/>
      <c r="X8" s="2"/>
    </row>
    <row r="9" spans="1:24" x14ac:dyDescent="0.25">
      <c r="A9" s="6">
        <v>108</v>
      </c>
      <c r="B9" s="6">
        <v>45</v>
      </c>
      <c r="C9" s="2" t="s">
        <v>6</v>
      </c>
      <c r="D9" s="2">
        <v>43</v>
      </c>
      <c r="F9" s="4">
        <v>54</v>
      </c>
      <c r="G9" s="4">
        <v>22.6</v>
      </c>
      <c r="H9" s="2" t="s">
        <v>6</v>
      </c>
      <c r="I9" s="2">
        <v>10</v>
      </c>
      <c r="K9" s="6">
        <v>89</v>
      </c>
      <c r="L9" s="6">
        <v>45</v>
      </c>
      <c r="M9" s="2" t="s">
        <v>5</v>
      </c>
      <c r="N9" s="2">
        <v>0</v>
      </c>
      <c r="P9" s="6">
        <v>89</v>
      </c>
      <c r="Q9" s="6">
        <v>45</v>
      </c>
      <c r="R9" s="2" t="s">
        <v>5</v>
      </c>
      <c r="S9" s="2">
        <v>0</v>
      </c>
      <c r="U9" s="6">
        <v>89</v>
      </c>
      <c r="V9" s="6">
        <v>45</v>
      </c>
      <c r="W9" s="2" t="s">
        <v>5</v>
      </c>
      <c r="X9" s="2">
        <v>0</v>
      </c>
    </row>
    <row r="10" spans="1:24" x14ac:dyDescent="0.25">
      <c r="A10" s="4">
        <v>60</v>
      </c>
      <c r="B10" s="4">
        <v>22.6</v>
      </c>
      <c r="C10" s="2" t="s">
        <v>8</v>
      </c>
      <c r="D10" s="2" t="s">
        <v>8</v>
      </c>
      <c r="F10" s="3">
        <v>67</v>
      </c>
      <c r="G10" s="3">
        <v>32</v>
      </c>
      <c r="H10" s="2" t="s">
        <v>8</v>
      </c>
      <c r="I10" s="2" t="s">
        <v>8</v>
      </c>
      <c r="K10" s="2">
        <v>11</v>
      </c>
      <c r="L10" s="2">
        <v>90</v>
      </c>
      <c r="M10" s="2" t="s">
        <v>5</v>
      </c>
      <c r="N10" s="2">
        <v>0</v>
      </c>
      <c r="P10" s="2">
        <v>11</v>
      </c>
      <c r="Q10" s="2">
        <v>90</v>
      </c>
      <c r="R10" s="2" t="s">
        <v>6</v>
      </c>
      <c r="S10" s="2">
        <v>40</v>
      </c>
      <c r="U10" s="2">
        <v>11</v>
      </c>
      <c r="V10" s="2">
        <v>90</v>
      </c>
      <c r="W10" s="2" t="s">
        <v>5</v>
      </c>
      <c r="X10" s="2">
        <v>0</v>
      </c>
    </row>
    <row r="11" spans="1:24" x14ac:dyDescent="0.25">
      <c r="A11" s="4">
        <v>54</v>
      </c>
      <c r="B11" s="4">
        <v>22.6</v>
      </c>
      <c r="C11" s="2" t="s">
        <v>5</v>
      </c>
      <c r="D11" s="2">
        <v>0</v>
      </c>
      <c r="F11" s="6">
        <v>89</v>
      </c>
      <c r="G11" s="6">
        <v>45</v>
      </c>
      <c r="H11" s="2" t="s">
        <v>5</v>
      </c>
      <c r="I11" s="2">
        <v>0</v>
      </c>
      <c r="K11" s="6">
        <v>100</v>
      </c>
      <c r="L11" s="6">
        <v>45</v>
      </c>
      <c r="M11" s="2" t="s">
        <v>5</v>
      </c>
      <c r="N11" s="2">
        <v>0</v>
      </c>
      <c r="P11" s="6">
        <v>100</v>
      </c>
      <c r="Q11" s="6">
        <v>45</v>
      </c>
      <c r="R11" s="2" t="s">
        <v>6</v>
      </c>
      <c r="S11" s="2">
        <v>100</v>
      </c>
      <c r="U11" s="6">
        <v>100</v>
      </c>
      <c r="V11" s="6">
        <v>45</v>
      </c>
      <c r="W11" s="2" t="s">
        <v>6</v>
      </c>
      <c r="X11" s="2">
        <v>65</v>
      </c>
    </row>
    <row r="12" spans="1:24" x14ac:dyDescent="0.25">
      <c r="A12" s="3">
        <v>67</v>
      </c>
      <c r="B12" s="3">
        <v>32</v>
      </c>
      <c r="C12" s="2" t="s">
        <v>8</v>
      </c>
      <c r="D12" s="2" t="s">
        <v>8</v>
      </c>
      <c r="F12" s="2">
        <v>11</v>
      </c>
      <c r="G12" s="2">
        <v>90</v>
      </c>
      <c r="H12" s="2" t="s">
        <v>5</v>
      </c>
      <c r="I12" s="2">
        <v>0</v>
      </c>
      <c r="K12" s="5">
        <v>10</v>
      </c>
      <c r="L12" s="5">
        <v>64</v>
      </c>
      <c r="M12" s="2" t="s">
        <v>6</v>
      </c>
      <c r="N12" s="2">
        <v>20</v>
      </c>
      <c r="P12" s="5">
        <v>10</v>
      </c>
      <c r="Q12" s="5">
        <v>64</v>
      </c>
      <c r="R12" s="2" t="s">
        <v>5</v>
      </c>
      <c r="S12" s="2">
        <v>0</v>
      </c>
      <c r="U12" s="5">
        <v>10</v>
      </c>
      <c r="V12" s="5">
        <v>64</v>
      </c>
      <c r="W12" s="2" t="s">
        <v>5</v>
      </c>
      <c r="X12" s="2">
        <v>0</v>
      </c>
    </row>
    <row r="13" spans="1:24" x14ac:dyDescent="0.25">
      <c r="A13" s="6">
        <v>89</v>
      </c>
      <c r="B13" s="6">
        <v>45</v>
      </c>
      <c r="C13" s="2" t="s">
        <v>6</v>
      </c>
      <c r="D13" s="2">
        <v>100</v>
      </c>
      <c r="F13" s="6">
        <v>100</v>
      </c>
      <c r="G13" s="6">
        <v>45</v>
      </c>
      <c r="H13" s="2" t="s">
        <v>5</v>
      </c>
      <c r="I13" s="2">
        <v>0</v>
      </c>
      <c r="K13" s="2">
        <v>5</v>
      </c>
      <c r="L13" s="2">
        <v>90</v>
      </c>
      <c r="M13" s="2" t="s">
        <v>6</v>
      </c>
      <c r="N13" s="2">
        <v>40</v>
      </c>
      <c r="P13" s="2">
        <v>5</v>
      </c>
      <c r="Q13" s="2">
        <v>90</v>
      </c>
      <c r="R13" s="2" t="s">
        <v>5</v>
      </c>
      <c r="S13" s="2">
        <v>0</v>
      </c>
      <c r="U13" s="2">
        <v>5</v>
      </c>
      <c r="V13" s="2">
        <v>90</v>
      </c>
      <c r="W13" s="2" t="s">
        <v>5</v>
      </c>
      <c r="X13" s="2">
        <v>0</v>
      </c>
    </row>
    <row r="14" spans="1:24" x14ac:dyDescent="0.25">
      <c r="A14" s="6">
        <v>35</v>
      </c>
      <c r="B14" s="6">
        <v>45</v>
      </c>
      <c r="C14" s="2" t="s">
        <v>8</v>
      </c>
      <c r="D14" s="2" t="s">
        <v>8</v>
      </c>
      <c r="F14" s="5">
        <v>10</v>
      </c>
      <c r="G14" s="5">
        <v>64</v>
      </c>
      <c r="H14" s="2" t="s">
        <v>6</v>
      </c>
      <c r="I14" s="2">
        <v>210</v>
      </c>
      <c r="K14" s="7">
        <v>6</v>
      </c>
      <c r="L14" s="7">
        <v>128</v>
      </c>
      <c r="M14" s="2" t="s">
        <v>5</v>
      </c>
      <c r="N14" s="2">
        <v>0</v>
      </c>
      <c r="P14" s="7">
        <v>6</v>
      </c>
      <c r="Q14" s="7">
        <v>128</v>
      </c>
      <c r="R14" s="2" t="s">
        <v>6</v>
      </c>
      <c r="S14" s="2">
        <v>70</v>
      </c>
      <c r="U14" s="7">
        <v>6</v>
      </c>
      <c r="V14" s="7">
        <v>128</v>
      </c>
      <c r="W14" s="2" t="s">
        <v>5</v>
      </c>
      <c r="X14" s="2">
        <v>0</v>
      </c>
    </row>
    <row r="15" spans="1:24" x14ac:dyDescent="0.25">
      <c r="A15" s="5">
        <v>14</v>
      </c>
      <c r="B15" s="5">
        <v>64</v>
      </c>
      <c r="C15" s="2" t="s">
        <v>8</v>
      </c>
      <c r="D15" s="2" t="s">
        <v>8</v>
      </c>
      <c r="F15" s="2">
        <v>5</v>
      </c>
      <c r="G15" s="2">
        <v>90</v>
      </c>
      <c r="H15" s="2" t="s">
        <v>6</v>
      </c>
      <c r="I15" s="2">
        <v>138</v>
      </c>
      <c r="K15" s="5">
        <v>31</v>
      </c>
      <c r="L15" s="5">
        <v>64</v>
      </c>
      <c r="M15" s="2" t="s">
        <v>5</v>
      </c>
      <c r="N15" s="2">
        <v>0</v>
      </c>
      <c r="P15" s="5">
        <v>31</v>
      </c>
      <c r="Q15" s="5">
        <v>64</v>
      </c>
      <c r="R15" s="2" t="s">
        <v>6</v>
      </c>
      <c r="S15" s="2">
        <v>40</v>
      </c>
      <c r="U15" s="5">
        <v>31</v>
      </c>
      <c r="V15" s="5">
        <v>64</v>
      </c>
      <c r="W15" s="2" t="s">
        <v>6</v>
      </c>
      <c r="X15" s="2">
        <v>200</v>
      </c>
    </row>
    <row r="16" spans="1:24" x14ac:dyDescent="0.25">
      <c r="A16" s="3">
        <v>84</v>
      </c>
      <c r="B16" s="3">
        <v>32</v>
      </c>
      <c r="C16" s="2" t="s">
        <v>8</v>
      </c>
      <c r="D16" s="2" t="s">
        <v>8</v>
      </c>
      <c r="F16" s="7">
        <v>6</v>
      </c>
      <c r="G16" s="7">
        <v>128</v>
      </c>
      <c r="H16" s="2" t="s">
        <v>6</v>
      </c>
      <c r="I16" s="2">
        <v>35</v>
      </c>
      <c r="K16" s="3">
        <v>72</v>
      </c>
      <c r="L16" s="3">
        <v>32</v>
      </c>
      <c r="M16" s="2" t="s">
        <v>6</v>
      </c>
      <c r="N16" s="2">
        <v>20</v>
      </c>
      <c r="P16" s="3">
        <v>72</v>
      </c>
      <c r="Q16" s="3">
        <v>32</v>
      </c>
      <c r="R16" s="2" t="s">
        <v>8</v>
      </c>
      <c r="S16" s="2" t="s">
        <v>8</v>
      </c>
      <c r="U16" s="2">
        <v>9</v>
      </c>
      <c r="V16" s="2">
        <v>90</v>
      </c>
      <c r="W16" s="2" t="s">
        <v>5</v>
      </c>
      <c r="X16" s="2">
        <v>0</v>
      </c>
    </row>
    <row r="17" spans="1:24" x14ac:dyDescent="0.25">
      <c r="A17" s="2">
        <v>11</v>
      </c>
      <c r="B17" s="2">
        <v>90</v>
      </c>
      <c r="C17" s="2" t="s">
        <v>6</v>
      </c>
      <c r="D17" s="2">
        <v>5</v>
      </c>
      <c r="F17" s="5">
        <v>31</v>
      </c>
      <c r="G17" s="5">
        <v>64</v>
      </c>
      <c r="H17" s="2" t="s">
        <v>6</v>
      </c>
      <c r="I17" s="2">
        <v>10</v>
      </c>
      <c r="K17" s="4">
        <v>66</v>
      </c>
      <c r="L17" s="4">
        <v>22.6</v>
      </c>
      <c r="M17" s="2" t="s">
        <v>8</v>
      </c>
      <c r="N17" s="2" t="s">
        <v>8</v>
      </c>
      <c r="P17" s="4">
        <v>66</v>
      </c>
      <c r="Q17" s="4">
        <v>22.6</v>
      </c>
      <c r="R17" s="2" t="s">
        <v>8</v>
      </c>
      <c r="S17" s="2" t="s">
        <v>8</v>
      </c>
      <c r="U17" s="5">
        <v>18</v>
      </c>
      <c r="V17" s="5">
        <v>64</v>
      </c>
      <c r="W17" s="2" t="s">
        <v>5</v>
      </c>
      <c r="X17" s="2">
        <v>0</v>
      </c>
    </row>
    <row r="18" spans="1:24" x14ac:dyDescent="0.25">
      <c r="A18" s="5">
        <v>10</v>
      </c>
      <c r="B18" s="5">
        <v>64</v>
      </c>
      <c r="C18" s="2" t="s">
        <v>5</v>
      </c>
      <c r="D18" s="2">
        <v>0</v>
      </c>
      <c r="F18" s="3">
        <v>72</v>
      </c>
      <c r="G18" s="3">
        <v>32</v>
      </c>
      <c r="H18" s="2" t="s">
        <v>6</v>
      </c>
      <c r="I18" s="2">
        <v>40</v>
      </c>
      <c r="K18" s="2">
        <v>9</v>
      </c>
      <c r="L18" s="2">
        <v>90</v>
      </c>
      <c r="M18" s="2" t="s">
        <v>5</v>
      </c>
      <c r="N18" s="2">
        <v>0</v>
      </c>
      <c r="P18" s="2">
        <v>9</v>
      </c>
      <c r="Q18" s="2">
        <v>90</v>
      </c>
      <c r="R18" s="2" t="s">
        <v>5</v>
      </c>
      <c r="S18" s="2">
        <v>0</v>
      </c>
      <c r="U18" s="3">
        <v>76</v>
      </c>
      <c r="V18" s="3">
        <v>32</v>
      </c>
      <c r="W18" s="2" t="s">
        <v>6</v>
      </c>
      <c r="X18" s="2">
        <v>30</v>
      </c>
    </row>
    <row r="19" spans="1:24" x14ac:dyDescent="0.25">
      <c r="A19" s="2">
        <v>5</v>
      </c>
      <c r="B19" s="2">
        <v>90</v>
      </c>
      <c r="C19" s="2" t="s">
        <v>6</v>
      </c>
      <c r="D19" s="2">
        <v>2</v>
      </c>
      <c r="F19" s="4">
        <v>66</v>
      </c>
      <c r="G19" s="4">
        <v>22.6</v>
      </c>
      <c r="H19" s="2" t="s">
        <v>6</v>
      </c>
      <c r="I19" s="2">
        <v>82</v>
      </c>
      <c r="K19" s="5">
        <v>18</v>
      </c>
      <c r="L19" s="5">
        <v>64</v>
      </c>
      <c r="M19" s="2" t="s">
        <v>5</v>
      </c>
      <c r="N19" s="2">
        <v>0</v>
      </c>
      <c r="P19" s="5">
        <v>18</v>
      </c>
      <c r="Q19" s="5">
        <v>64</v>
      </c>
      <c r="R19" s="2" t="s">
        <v>5</v>
      </c>
      <c r="S19" s="2">
        <v>0</v>
      </c>
      <c r="U19" s="6">
        <v>27</v>
      </c>
      <c r="V19" s="6">
        <v>45</v>
      </c>
      <c r="W19" s="2" t="s">
        <v>5</v>
      </c>
      <c r="X19" s="2">
        <v>0</v>
      </c>
    </row>
    <row r="20" spans="1:24" x14ac:dyDescent="0.25">
      <c r="A20" s="7">
        <v>6</v>
      </c>
      <c r="B20" s="7">
        <v>128</v>
      </c>
      <c r="C20" s="2" t="s">
        <v>6</v>
      </c>
      <c r="D20" s="2">
        <v>5</v>
      </c>
      <c r="F20" s="2">
        <v>9</v>
      </c>
      <c r="G20" s="2">
        <v>90</v>
      </c>
      <c r="H20" s="2" t="s">
        <v>6</v>
      </c>
      <c r="I20" s="2">
        <v>90</v>
      </c>
      <c r="K20" s="3">
        <v>76</v>
      </c>
      <c r="L20" s="3">
        <v>32</v>
      </c>
      <c r="M20" s="2" t="s">
        <v>5</v>
      </c>
      <c r="N20" s="2">
        <v>0</v>
      </c>
      <c r="P20" s="3">
        <v>76</v>
      </c>
      <c r="Q20" s="3">
        <v>32</v>
      </c>
      <c r="R20" s="2" t="s">
        <v>5</v>
      </c>
      <c r="S20" s="2">
        <v>0</v>
      </c>
      <c r="U20" s="3">
        <v>40</v>
      </c>
      <c r="V20" s="3">
        <v>32</v>
      </c>
      <c r="W20" s="2" t="s">
        <v>5</v>
      </c>
      <c r="X20" s="2">
        <v>0</v>
      </c>
    </row>
    <row r="21" spans="1:24" x14ac:dyDescent="0.25">
      <c r="A21" s="3">
        <v>131</v>
      </c>
      <c r="B21" s="3">
        <v>32</v>
      </c>
      <c r="C21" s="2" t="s">
        <v>6</v>
      </c>
      <c r="D21" s="2">
        <v>145</v>
      </c>
      <c r="F21" s="5">
        <v>18</v>
      </c>
      <c r="G21" s="5">
        <v>64</v>
      </c>
      <c r="H21" s="2" t="s">
        <v>6</v>
      </c>
      <c r="I21" s="2">
        <v>95</v>
      </c>
      <c r="K21" s="6">
        <v>27</v>
      </c>
      <c r="L21" s="6">
        <v>45</v>
      </c>
      <c r="M21" s="2" t="s">
        <v>6</v>
      </c>
      <c r="N21" s="2">
        <v>80</v>
      </c>
      <c r="P21" s="6">
        <v>27</v>
      </c>
      <c r="Q21" s="6">
        <v>45</v>
      </c>
      <c r="R21" s="2" t="s">
        <v>5</v>
      </c>
      <c r="S21" s="2">
        <v>0</v>
      </c>
      <c r="U21" s="4">
        <v>46</v>
      </c>
      <c r="V21" s="4">
        <v>22.6</v>
      </c>
      <c r="W21" s="2" t="s">
        <v>6</v>
      </c>
      <c r="X21" s="2">
        <v>25</v>
      </c>
    </row>
    <row r="22" spans="1:24" x14ac:dyDescent="0.25">
      <c r="A22" s="4">
        <v>56</v>
      </c>
      <c r="B22" s="4">
        <v>22.6</v>
      </c>
      <c r="C22" s="2" t="s">
        <v>6</v>
      </c>
      <c r="D22" s="2">
        <v>100</v>
      </c>
      <c r="F22" s="3">
        <v>76</v>
      </c>
      <c r="G22" s="3">
        <v>32</v>
      </c>
      <c r="H22" s="2" t="s">
        <v>6</v>
      </c>
      <c r="I22" s="2">
        <v>120</v>
      </c>
      <c r="K22" s="5">
        <v>21</v>
      </c>
      <c r="L22" s="5">
        <v>64</v>
      </c>
      <c r="M22" s="2" t="s">
        <v>6</v>
      </c>
      <c r="N22" s="2">
        <v>10</v>
      </c>
      <c r="P22" s="5">
        <v>21</v>
      </c>
      <c r="Q22" s="5">
        <v>64</v>
      </c>
      <c r="R22" s="2" t="s">
        <v>8</v>
      </c>
      <c r="S22" s="2" t="s">
        <v>8</v>
      </c>
      <c r="U22" s="4">
        <v>22</v>
      </c>
      <c r="V22" s="4">
        <v>22.6</v>
      </c>
      <c r="W22" s="2" t="s">
        <v>6</v>
      </c>
      <c r="X22" s="2">
        <v>50</v>
      </c>
    </row>
    <row r="23" spans="1:24" x14ac:dyDescent="0.25">
      <c r="A23" s="4">
        <v>13</v>
      </c>
      <c r="B23" s="4">
        <v>22.6</v>
      </c>
      <c r="C23" s="2" t="s">
        <v>8</v>
      </c>
      <c r="D23" s="2" t="s">
        <v>8</v>
      </c>
      <c r="F23" s="6">
        <v>27</v>
      </c>
      <c r="G23" s="6">
        <v>45</v>
      </c>
      <c r="H23" s="2" t="s">
        <v>6</v>
      </c>
      <c r="I23" s="2">
        <v>150</v>
      </c>
      <c r="K23" s="3">
        <v>40</v>
      </c>
      <c r="L23" s="3">
        <v>32</v>
      </c>
      <c r="M23" s="2" t="s">
        <v>5</v>
      </c>
      <c r="N23" s="2">
        <v>0</v>
      </c>
      <c r="P23" s="3">
        <v>40</v>
      </c>
      <c r="Q23" s="3">
        <v>32</v>
      </c>
      <c r="R23" s="2" t="s">
        <v>5</v>
      </c>
      <c r="S23" s="2">
        <v>0</v>
      </c>
      <c r="U23" s="3">
        <v>67</v>
      </c>
      <c r="V23" s="3">
        <v>32</v>
      </c>
      <c r="W23" s="2" t="s">
        <v>6</v>
      </c>
      <c r="X23" s="2">
        <v>60</v>
      </c>
    </row>
    <row r="24" spans="1:24" x14ac:dyDescent="0.25">
      <c r="A24" s="4">
        <v>51</v>
      </c>
      <c r="B24" s="4">
        <v>22.6</v>
      </c>
      <c r="C24" s="2" t="s">
        <v>8</v>
      </c>
      <c r="D24" s="2" t="s">
        <v>8</v>
      </c>
      <c r="F24" s="4">
        <v>30</v>
      </c>
      <c r="G24" s="4">
        <v>22.6</v>
      </c>
      <c r="H24" s="2" t="s">
        <v>6</v>
      </c>
      <c r="I24" s="2">
        <v>30</v>
      </c>
      <c r="K24" s="4">
        <v>46</v>
      </c>
      <c r="L24" s="4">
        <v>22.6</v>
      </c>
      <c r="M24" s="2" t="s">
        <v>6</v>
      </c>
      <c r="N24" s="2">
        <v>30</v>
      </c>
      <c r="P24" s="4">
        <v>46</v>
      </c>
      <c r="Q24" s="4">
        <v>22.6</v>
      </c>
      <c r="R24" s="2" t="s">
        <v>5</v>
      </c>
      <c r="S24" s="2">
        <v>0</v>
      </c>
      <c r="U24" s="5">
        <v>28</v>
      </c>
      <c r="V24" s="5">
        <v>64</v>
      </c>
      <c r="W24" s="2" t="s">
        <v>6</v>
      </c>
      <c r="X24" s="2">
        <v>80</v>
      </c>
    </row>
    <row r="25" spans="1:24" x14ac:dyDescent="0.25">
      <c r="A25" s="4">
        <v>22</v>
      </c>
      <c r="B25" s="4">
        <v>22.6</v>
      </c>
      <c r="C25" s="2" t="s">
        <v>8</v>
      </c>
      <c r="D25" s="2" t="s">
        <v>8</v>
      </c>
      <c r="F25" s="5">
        <v>21</v>
      </c>
      <c r="G25" s="5">
        <v>64</v>
      </c>
      <c r="H25" s="2" t="s">
        <v>6</v>
      </c>
      <c r="I25" s="2">
        <v>30</v>
      </c>
      <c r="K25" s="4">
        <v>22</v>
      </c>
      <c r="L25" s="4">
        <v>22.6</v>
      </c>
      <c r="M25" s="2" t="s">
        <v>6</v>
      </c>
      <c r="N25" s="2">
        <v>80</v>
      </c>
      <c r="P25" s="4">
        <v>22</v>
      </c>
      <c r="Q25" s="4">
        <v>22.6</v>
      </c>
      <c r="R25" s="2" t="s">
        <v>6</v>
      </c>
      <c r="S25" s="2">
        <f>230-180</f>
        <v>50</v>
      </c>
      <c r="U25" s="5">
        <v>37</v>
      </c>
      <c r="V25" s="5">
        <v>64</v>
      </c>
      <c r="W25" s="2" t="s">
        <v>5</v>
      </c>
      <c r="X25" s="2">
        <v>0</v>
      </c>
    </row>
    <row r="26" spans="1:24" x14ac:dyDescent="0.25">
      <c r="A26" s="4">
        <v>46</v>
      </c>
      <c r="B26" s="4">
        <v>22.6</v>
      </c>
      <c r="C26" s="2" t="s">
        <v>6</v>
      </c>
      <c r="D26" s="2">
        <v>90</v>
      </c>
      <c r="F26" s="3">
        <v>40</v>
      </c>
      <c r="G26" s="3">
        <v>32</v>
      </c>
      <c r="H26" s="2" t="s">
        <v>6</v>
      </c>
      <c r="I26" s="2">
        <v>45</v>
      </c>
      <c r="K26" s="3">
        <v>67</v>
      </c>
      <c r="L26" s="3">
        <v>32</v>
      </c>
      <c r="M26" s="2" t="s">
        <v>6</v>
      </c>
      <c r="N26" s="2">
        <v>150</v>
      </c>
      <c r="P26" s="3">
        <v>67</v>
      </c>
      <c r="Q26" s="3">
        <v>32</v>
      </c>
      <c r="R26" s="2" t="s">
        <v>5</v>
      </c>
      <c r="S26" s="2">
        <v>0</v>
      </c>
      <c r="U26" s="3">
        <v>118</v>
      </c>
      <c r="V26" s="3">
        <v>32</v>
      </c>
      <c r="W26" s="2" t="s">
        <v>5</v>
      </c>
      <c r="X26" s="2">
        <v>0</v>
      </c>
    </row>
    <row r="27" spans="1:24" x14ac:dyDescent="0.25">
      <c r="F27" s="4">
        <v>29</v>
      </c>
      <c r="G27" s="4">
        <v>22.6</v>
      </c>
      <c r="H27" s="2" t="s">
        <v>6</v>
      </c>
      <c r="I27" s="2">
        <v>45</v>
      </c>
      <c r="M27" s="1"/>
      <c r="N27" s="1"/>
      <c r="P27" s="5">
        <v>28</v>
      </c>
      <c r="Q27" s="5">
        <v>64</v>
      </c>
      <c r="R27" s="2" t="s">
        <v>5</v>
      </c>
      <c r="S27" s="2">
        <v>0</v>
      </c>
      <c r="U27" s="4">
        <v>52</v>
      </c>
      <c r="V27" s="4">
        <v>22.6</v>
      </c>
      <c r="W27" s="2" t="s">
        <v>6</v>
      </c>
      <c r="X27" s="2">
        <v>37</v>
      </c>
    </row>
    <row r="28" spans="1:24" x14ac:dyDescent="0.25">
      <c r="P28" s="5">
        <v>37</v>
      </c>
      <c r="Q28" s="5">
        <v>64</v>
      </c>
      <c r="R28" s="2" t="s">
        <v>6</v>
      </c>
      <c r="S28" s="2">
        <v>45</v>
      </c>
      <c r="U28" s="6">
        <v>48</v>
      </c>
      <c r="V28" s="6">
        <v>45</v>
      </c>
      <c r="W28" s="2" t="s">
        <v>5</v>
      </c>
      <c r="X28" s="2">
        <v>0</v>
      </c>
    </row>
    <row r="29" spans="1:24" x14ac:dyDescent="0.25">
      <c r="P29" s="4">
        <v>18</v>
      </c>
      <c r="Q29" s="4">
        <v>22.6</v>
      </c>
      <c r="R29" s="2" t="s">
        <v>8</v>
      </c>
      <c r="S29" s="2" t="s">
        <v>8</v>
      </c>
    </row>
    <row r="30" spans="1:24" x14ac:dyDescent="0.25">
      <c r="P30" s="3">
        <v>118</v>
      </c>
      <c r="Q30" s="3">
        <v>32</v>
      </c>
      <c r="R30" s="2" t="s">
        <v>6</v>
      </c>
      <c r="S30" s="2">
        <v>77</v>
      </c>
    </row>
    <row r="31" spans="1:24" ht="41.25" customHeight="1" x14ac:dyDescent="0.25">
      <c r="A31" s="10" t="s">
        <v>13</v>
      </c>
      <c r="B31" s="10" t="s">
        <v>14</v>
      </c>
      <c r="C31" s="10" t="s">
        <v>15</v>
      </c>
      <c r="D31" s="10" t="s">
        <v>16</v>
      </c>
      <c r="E31" s="10" t="s">
        <v>17</v>
      </c>
      <c r="F31" s="10" t="s">
        <v>18</v>
      </c>
      <c r="G31" s="12" t="s">
        <v>19</v>
      </c>
      <c r="H31" s="10" t="s">
        <v>20</v>
      </c>
      <c r="I31" s="10" t="s">
        <v>21</v>
      </c>
      <c r="J31" s="10" t="s">
        <v>22</v>
      </c>
      <c r="P31" s="4">
        <v>52</v>
      </c>
      <c r="Q31" s="4">
        <v>22.6</v>
      </c>
      <c r="R31" s="2" t="s">
        <v>6</v>
      </c>
      <c r="S31" s="2">
        <v>40</v>
      </c>
    </row>
    <row r="32" spans="1:24" x14ac:dyDescent="0.25">
      <c r="A32" s="1">
        <v>1</v>
      </c>
      <c r="B32" s="1">
        <f>COUNT(B4:B26)</f>
        <v>23</v>
      </c>
      <c r="C32" s="1">
        <f>COUNT(D4:D26)</f>
        <v>14</v>
      </c>
      <c r="D32" s="1">
        <f>COUNTIF(D4:D26,"&gt;0")</f>
        <v>10</v>
      </c>
      <c r="E32" s="1">
        <f>C32-D32</f>
        <v>4</v>
      </c>
      <c r="F32" s="11">
        <f>D32/C32*100</f>
        <v>71.428571428571431</v>
      </c>
      <c r="G32" s="1">
        <f>SUM(D4:D26)</f>
        <v>595</v>
      </c>
      <c r="H32" s="1">
        <f>G32/D32</f>
        <v>59.5</v>
      </c>
      <c r="I32" s="1">
        <f>MAX(D4:D26)</f>
        <v>145</v>
      </c>
      <c r="J32" s="1">
        <v>128</v>
      </c>
      <c r="P32" s="6">
        <v>48</v>
      </c>
      <c r="Q32" s="6">
        <v>45</v>
      </c>
      <c r="R32" s="2" t="s">
        <v>6</v>
      </c>
      <c r="S32" s="2">
        <v>95</v>
      </c>
    </row>
    <row r="33" spans="1:13" x14ac:dyDescent="0.25">
      <c r="A33" s="1">
        <v>2</v>
      </c>
      <c r="B33" s="1">
        <f>COUNT(G4:G27)</f>
        <v>24</v>
      </c>
      <c r="C33" s="1">
        <f>COUNT(I4:I27)</f>
        <v>22</v>
      </c>
      <c r="D33" s="1">
        <f>COUNTIF(I4:I27,"&gt;0")</f>
        <v>17</v>
      </c>
      <c r="E33" s="1">
        <f t="shared" ref="E33:E36" si="0">C33-D33</f>
        <v>5</v>
      </c>
      <c r="F33" s="11">
        <f t="shared" ref="F33:F36" si="1">D33/C33*100</f>
        <v>77.272727272727266</v>
      </c>
      <c r="G33" s="1">
        <f>SUM(I4:I27)</f>
        <v>1175</v>
      </c>
      <c r="H33" s="13">
        <f t="shared" ref="H33:H36" si="2">G33/D33</f>
        <v>69.117647058823536</v>
      </c>
      <c r="I33" s="1">
        <f>MAX(I4:I27)</f>
        <v>210</v>
      </c>
      <c r="J33" s="1">
        <v>128</v>
      </c>
    </row>
    <row r="34" spans="1:13" x14ac:dyDescent="0.25">
      <c r="A34" s="1">
        <v>3</v>
      </c>
      <c r="B34" s="1">
        <f>COUNT(L4:L26)</f>
        <v>23</v>
      </c>
      <c r="C34" s="1">
        <f>COUNT(N4:N26)</f>
        <v>22</v>
      </c>
      <c r="D34" s="1">
        <f>COUNTIF(N4:N27,"&gt;0")</f>
        <v>8</v>
      </c>
      <c r="E34" s="1">
        <f t="shared" si="0"/>
        <v>14</v>
      </c>
      <c r="F34" s="11">
        <f t="shared" si="1"/>
        <v>36.363636363636367</v>
      </c>
      <c r="G34" s="1">
        <f>SUM(N4:N26)</f>
        <v>430</v>
      </c>
      <c r="H34" s="13">
        <f t="shared" si="2"/>
        <v>53.75</v>
      </c>
      <c r="I34" s="1">
        <f>MAX(N4:N26)</f>
        <v>150</v>
      </c>
      <c r="J34" s="1">
        <v>90</v>
      </c>
      <c r="K34" s="1"/>
      <c r="L34" s="1"/>
      <c r="M34" s="1"/>
    </row>
    <row r="35" spans="1:13" x14ac:dyDescent="0.25">
      <c r="A35" s="1">
        <v>4</v>
      </c>
      <c r="B35" s="1">
        <f>COUNT(Q4:Q32)</f>
        <v>29</v>
      </c>
      <c r="C35" s="1">
        <f>COUNT(S4:S32)</f>
        <v>25</v>
      </c>
      <c r="D35" s="1">
        <f>COUNTIF(S4:S32,"&gt;0")</f>
        <v>10</v>
      </c>
      <c r="E35" s="1">
        <f t="shared" si="0"/>
        <v>15</v>
      </c>
      <c r="F35" s="11">
        <f t="shared" si="1"/>
        <v>40</v>
      </c>
      <c r="G35" s="1">
        <f>SUM(S4:S32)</f>
        <v>617</v>
      </c>
      <c r="H35" s="13">
        <f t="shared" si="2"/>
        <v>61.7</v>
      </c>
      <c r="I35" s="1">
        <f>MAX(S4:S32)</f>
        <v>100</v>
      </c>
      <c r="J35" s="1">
        <v>128</v>
      </c>
    </row>
    <row r="36" spans="1:13" x14ac:dyDescent="0.25">
      <c r="A36" s="1">
        <v>5</v>
      </c>
      <c r="B36" s="1">
        <f>COUNT(V4:V28)</f>
        <v>25</v>
      </c>
      <c r="C36" s="1">
        <f>COUNT(X4:X28)</f>
        <v>23</v>
      </c>
      <c r="D36" s="1">
        <f>COUNTIF(X4:X32,"&gt;0")</f>
        <v>11</v>
      </c>
      <c r="E36" s="1">
        <f t="shared" si="0"/>
        <v>12</v>
      </c>
      <c r="F36" s="11">
        <f t="shared" si="1"/>
        <v>47.826086956521742</v>
      </c>
      <c r="G36" s="1">
        <f>SUM(X4:X28)</f>
        <v>772</v>
      </c>
      <c r="H36" s="13">
        <f t="shared" si="2"/>
        <v>70.181818181818187</v>
      </c>
      <c r="I36" s="1">
        <f>MAX(X4:X28)</f>
        <v>200</v>
      </c>
      <c r="J36" s="1">
        <v>64</v>
      </c>
    </row>
    <row r="37" spans="1:13" x14ac:dyDescent="0.25">
      <c r="A37" s="1"/>
      <c r="B37" s="1"/>
      <c r="D37" s="1"/>
      <c r="E37" s="1"/>
    </row>
    <row r="38" spans="1:13" x14ac:dyDescent="0.25">
      <c r="A38" t="s">
        <v>23</v>
      </c>
    </row>
    <row r="40" spans="1:13" ht="39" x14ac:dyDescent="0.25">
      <c r="A40" s="10" t="s">
        <v>13</v>
      </c>
      <c r="B40" s="10" t="s">
        <v>14</v>
      </c>
      <c r="C40" s="14" t="s">
        <v>26</v>
      </c>
      <c r="D40" s="10" t="s">
        <v>25</v>
      </c>
      <c r="E40" s="10" t="s">
        <v>24</v>
      </c>
    </row>
    <row r="41" spans="1:13" x14ac:dyDescent="0.25">
      <c r="A41" s="1">
        <v>1</v>
      </c>
      <c r="B41" s="1">
        <f>B32</f>
        <v>23</v>
      </c>
      <c r="C41" s="1">
        <f>COUNTIFS(B4:B26, "&gt;44", D4:D26, "&gt;-1")</f>
        <v>7</v>
      </c>
      <c r="D41" s="1">
        <f>COUNTIFS(D4:D26, "&gt;0", B4:B26, "&gt;44")</f>
        <v>6</v>
      </c>
      <c r="E41" s="11">
        <f>D41/C41*100</f>
        <v>85.714285714285708</v>
      </c>
    </row>
    <row r="42" spans="1:13" x14ac:dyDescent="0.25">
      <c r="A42" s="1">
        <v>2</v>
      </c>
      <c r="B42" s="1">
        <f t="shared" ref="B42:B45" si="3">B33</f>
        <v>24</v>
      </c>
      <c r="C42" s="1">
        <f>COUNTIFS(G4:G27, "&gt;44", I4:I27, "&gt;-1")</f>
        <v>13</v>
      </c>
      <c r="D42" s="1">
        <f>COUNTIFS(I4:I27, "&gt;0", G4:G27, "&gt;44")</f>
        <v>8</v>
      </c>
      <c r="E42" s="11">
        <f t="shared" ref="E42:E45" si="4">D42/C42*100</f>
        <v>61.53846153846154</v>
      </c>
    </row>
    <row r="43" spans="1:13" x14ac:dyDescent="0.25">
      <c r="A43" s="1">
        <v>3</v>
      </c>
      <c r="B43" s="1">
        <f t="shared" si="3"/>
        <v>23</v>
      </c>
      <c r="C43" s="1">
        <f>COUNTIFS(L4:L27, "&gt;44", N4:N27, "&gt;-1")</f>
        <v>13</v>
      </c>
      <c r="D43" s="1">
        <f>COUNTIFS(N4:N27, "&gt;0", L4:L27, "&gt;44")</f>
        <v>4</v>
      </c>
      <c r="E43" s="11">
        <f t="shared" si="4"/>
        <v>30.76923076923077</v>
      </c>
    </row>
    <row r="44" spans="1:13" x14ac:dyDescent="0.25">
      <c r="A44" s="1">
        <v>4</v>
      </c>
      <c r="B44" s="1">
        <f t="shared" si="3"/>
        <v>29</v>
      </c>
      <c r="C44" s="1">
        <f>COUNTIFS(Q4:Q32, "&gt;44", S4:S32, "&gt;-1")</f>
        <v>15</v>
      </c>
      <c r="D44" s="1">
        <f>COUNTIFS(S4:S32, "&gt;0", Q4:Q32, "&gt;44")</f>
        <v>6</v>
      </c>
      <c r="E44" s="11">
        <f t="shared" si="4"/>
        <v>40</v>
      </c>
    </row>
    <row r="45" spans="1:13" x14ac:dyDescent="0.25">
      <c r="A45" s="1">
        <v>5</v>
      </c>
      <c r="B45" s="1">
        <f t="shared" si="3"/>
        <v>25</v>
      </c>
      <c r="C45" s="1">
        <f>COUNTIFS(V4:V32, "&gt;44", X4:X32, "&gt;-1")</f>
        <v>15</v>
      </c>
      <c r="D45" s="1">
        <f>COUNTIFS(X4:X32, "&gt;0", V4:V32, "&gt;44")</f>
        <v>5</v>
      </c>
      <c r="E45" s="11">
        <f t="shared" si="4"/>
        <v>33.333333333333329</v>
      </c>
    </row>
    <row r="46" spans="1:13" x14ac:dyDescent="0.25">
      <c r="A46" s="1"/>
      <c r="B46" s="1"/>
      <c r="C46" s="1"/>
      <c r="D46" s="1"/>
    </row>
  </sheetData>
  <mergeCells count="5">
    <mergeCell ref="A1:D1"/>
    <mergeCell ref="F1:I1"/>
    <mergeCell ref="K1:N1"/>
    <mergeCell ref="P1:S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2015-06-05T18:17:20Z</dcterms:created>
  <dcterms:modified xsi:type="dcterms:W3CDTF">2026-06-30T01:23:00Z</dcterms:modified>
</cp:coreProperties>
</file>