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hysteresis\experiments\pulse_experiments\"/>
    </mc:Choice>
  </mc:AlternateContent>
  <xr:revisionPtr revIDLastSave="0" documentId="8_{C3E81065-C4F5-4B68-9753-C466801B255E}" xr6:coauthVersionLast="47" xr6:coauthVersionMax="47" xr10:uidLastSave="{00000000-0000-0000-0000-000000000000}"/>
  <bookViews>
    <workbookView xWindow="1800" yWindow="585" windowWidth="25440" windowHeight="15270" xr2:uid="{0388AE01-9261-4920-A659-2CE98E3FCBDE}"/>
  </bookViews>
  <sheets>
    <sheet name="Experiment7" sheetId="1" r:id="rId1"/>
  </sheets>
  <calcPr calcId="0"/>
</workbook>
</file>

<file path=xl/calcChain.xml><?xml version="1.0" encoding="utf-8"?>
<calcChain xmlns="http://schemas.openxmlformats.org/spreadsheetml/2006/main">
  <c r="F29" i="1" l="1"/>
  <c r="G29" i="1"/>
  <c r="E29" i="1"/>
  <c r="E28" i="1"/>
  <c r="F28" i="1"/>
  <c r="G13" i="1"/>
  <c r="G14" i="1" s="1"/>
  <c r="G28" i="1"/>
  <c r="F14" i="1"/>
  <c r="E14" i="1"/>
  <c r="F13" i="1"/>
  <c r="E13" i="1"/>
  <c r="C19" i="1"/>
  <c r="C20" i="1" s="1"/>
  <c r="C21" i="1" s="1"/>
  <c r="C22" i="1" s="1"/>
  <c r="C23" i="1" s="1"/>
  <c r="C24" i="1" s="1"/>
  <c r="C25" i="1" s="1"/>
  <c r="C26" i="1" s="1"/>
  <c r="C18" i="1"/>
  <c r="C4" i="1"/>
  <c r="C5" i="1" s="1"/>
  <c r="C6" i="1" s="1"/>
  <c r="C7" i="1" s="1"/>
  <c r="C8" i="1" s="1"/>
  <c r="C9" i="1" s="1"/>
  <c r="C10" i="1" s="1"/>
  <c r="C11" i="1" s="1"/>
</calcChain>
</file>

<file path=xl/sharedStrings.xml><?xml version="1.0" encoding="utf-8"?>
<sst xmlns="http://schemas.openxmlformats.org/spreadsheetml/2006/main" count="16" uniqueCount="8">
  <si>
    <t>Lab ID</t>
  </si>
  <si>
    <t>Date_Time</t>
  </si>
  <si>
    <t>Depth</t>
  </si>
  <si>
    <t>SSC (mg/L)</t>
  </si>
  <si>
    <t>DOC (mg/L)</t>
  </si>
  <si>
    <t>POC (mg/L)</t>
  </si>
  <si>
    <t>Max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</si>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</sst>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1"/>
          <c:tx>
            <c:v>SS</c:v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Experiment7!$C$2:$C$11</c:f>
              <c:numCache>
                <c:formatCode>0.00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</c:numCache>
            </c:numRef>
          </c:xVal>
          <c:yVal>
            <c:numRef>
              <c:f>Experiment7!$E$2:$E$11</c:f>
              <c:numCache>
                <c:formatCode>General</c:formatCode>
                <c:ptCount val="10"/>
                <c:pt idx="0">
                  <c:v>9.0053213260000007</c:v>
                </c:pt>
                <c:pt idx="1">
                  <c:v>7.4868979290000004</c:v>
                </c:pt>
                <c:pt idx="2">
                  <c:v>4.9549921550000002</c:v>
                </c:pt>
                <c:pt idx="3">
                  <c:v>7.3004542499999996</c:v>
                </c:pt>
                <c:pt idx="4">
                  <c:v>31.924724860000001</c:v>
                </c:pt>
                <c:pt idx="5">
                  <c:v>41.421588929999999</c:v>
                </c:pt>
                <c:pt idx="6">
                  <c:v>44.890630100000003</c:v>
                </c:pt>
                <c:pt idx="7">
                  <c:v>33.184005310000003</c:v>
                </c:pt>
                <c:pt idx="8">
                  <c:v>25.368248770000001</c:v>
                </c:pt>
                <c:pt idx="9">
                  <c:v>6.5455735559999999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69-499A-B9ED-68AD6D5D7ACB}"/>
            </c:ext>
          </c:extLst>
        </c:ser>
        <c:ser>
          <c:idx val="3"/>
          <c:order val="2"/>
          <c:tx>
            <c:v>DOC</c:v>
          </c:tx>
          <c:spPr>
            <a:ln w="127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Experiment7!$C$2:$C$11</c:f>
              <c:numCache>
                <c:formatCode>0.00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</c:numCache>
            </c:numRef>
          </c:xVal>
          <c:yVal>
            <c:numRef>
              <c:f>Experiment7!$F$2:$F$11</c:f>
              <c:numCache>
                <c:formatCode>General</c:formatCode>
                <c:ptCount val="10"/>
                <c:pt idx="0">
                  <c:v>3.0289999999999999</c:v>
                </c:pt>
                <c:pt idx="1">
                  <c:v>2.923</c:v>
                </c:pt>
                <c:pt idx="2">
                  <c:v>2.976</c:v>
                </c:pt>
                <c:pt idx="3">
                  <c:v>3.641</c:v>
                </c:pt>
                <c:pt idx="4">
                  <c:v>3.0539999999999998</c:v>
                </c:pt>
                <c:pt idx="5">
                  <c:v>3.0379999999999998</c:v>
                </c:pt>
                <c:pt idx="6">
                  <c:v>3.5790000000000002</c:v>
                </c:pt>
                <c:pt idx="7">
                  <c:v>3.1509999999999998</c:v>
                </c:pt>
                <c:pt idx="8">
                  <c:v>3.0059999999999998</c:v>
                </c:pt>
                <c:pt idx="9">
                  <c:v>3.5510000000000002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69-499A-B9ED-68AD6D5D7ACB}"/>
            </c:ext>
          </c:extLst>
        </c:ser>
        <c:ser>
          <c:idx val="4"/>
          <c:order val="3"/>
          <c:tx>
            <c:v>POC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Experiment7!$C$2:$C$11</c:f>
              <c:numCache>
                <c:formatCode>0.00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</c:numCache>
            </c:numRef>
          </c:xVal>
          <c:yVal>
            <c:numRef>
              <c:f>Experiment7!$G$2:$G$11</c:f>
              <c:numCache>
                <c:formatCode>General</c:formatCode>
                <c:ptCount val="10"/>
                <c:pt idx="1">
                  <c:v>2.38341665</c:v>
                </c:pt>
                <c:pt idx="3">
                  <c:v>2.1756635950000001</c:v>
                </c:pt>
                <c:pt idx="6">
                  <c:v>4.7777531050000004</c:v>
                </c:pt>
                <c:pt idx="8">
                  <c:v>4.9322235059999997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A69-499A-B9ED-68AD6D5D7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67487"/>
        <c:axId val="122173247"/>
      </c:scatterChart>
      <c:scatterChart>
        <c:scatterStyle val="smoothMarker"/>
        <c:varyColors val="0"/>
        <c:ser>
          <c:idx val="0"/>
          <c:order val="0"/>
          <c:tx>
            <c:v>Water Depth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Experiment7!$C$2:$C$11</c:f>
              <c:numCache>
                <c:formatCode>0.00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</c:numCache>
            </c:numRef>
          </c:xVal>
          <c:yVal>
            <c:numRef>
              <c:f>Experiment7!$D$2:$D$11</c:f>
              <c:numCache>
                <c:formatCode>General</c:formatCode>
                <c:ptCount val="10"/>
                <c:pt idx="0">
                  <c:v>8.6329999999999991</c:v>
                </c:pt>
                <c:pt idx="1">
                  <c:v>8.8079999999999998</c:v>
                </c:pt>
                <c:pt idx="2">
                  <c:v>9.0419999999999998</c:v>
                </c:pt>
                <c:pt idx="3">
                  <c:v>9.9169999999999998</c:v>
                </c:pt>
                <c:pt idx="4">
                  <c:v>10.092000000000001</c:v>
                </c:pt>
                <c:pt idx="5">
                  <c:v>10.442</c:v>
                </c:pt>
                <c:pt idx="6">
                  <c:v>10.617000000000001</c:v>
                </c:pt>
                <c:pt idx="7">
                  <c:v>10.442</c:v>
                </c:pt>
                <c:pt idx="8">
                  <c:v>10.092000000000001</c:v>
                </c:pt>
                <c:pt idx="9">
                  <c:v>9.9169999999999998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69-499A-B9ED-68AD6D5D7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63167"/>
        <c:axId val="122162687"/>
      </c:scatterChart>
      <c:valAx>
        <c:axId val="12216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22173247"/>
        <c:crosses val="autoZero"/>
        <c:crossBetween val="midCat"/>
      </c:valAx>
      <c:valAx>
        <c:axId val="12217324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badi" panose="020B0604020104020204" pitchFamily="34" charset="0"/>
                  </a:rPr>
                  <a:t>POC, DOC and SS (mg/l)</a:t>
                </a:r>
              </a:p>
            </c:rich>
          </c:tx>
          <c:layout>
            <c:manualLayout>
              <c:xMode val="edge"/>
              <c:yMode val="edge"/>
              <c:x val="3.6028290172852868E-2"/>
              <c:y val="0.164667906095071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badi" panose="020B0604020104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22167487"/>
        <c:crosses val="autoZero"/>
        <c:crossBetween val="midCat"/>
      </c:valAx>
      <c:valAx>
        <c:axId val="122162687"/>
        <c:scaling>
          <c:orientation val="minMax"/>
          <c:min val="8.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badi" panose="020B0604020104020204" pitchFamily="34" charset="0"/>
                  </a:rPr>
                  <a:t>Water Depts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Abadi" panose="020B0604020104020204" pitchFamily="34" charset="0"/>
                  </a:rPr>
                  <a:t> (cm)</a:t>
                </a:r>
                <a:endParaRPr lang="en-US">
                  <a:solidFill>
                    <a:sysClr val="windowText" lastClr="000000"/>
                  </a:solidFill>
                  <a:latin typeface="Abadi" panose="020B0604020104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badi" panose="020B0604020104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22163167"/>
        <c:crosses val="max"/>
        <c:crossBetween val="midCat"/>
      </c:valAx>
      <c:valAx>
        <c:axId val="122163167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crossAx val="122162687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badi" panose="020B0604020104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SS</c:v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Experiment7!$C$17:$C$26</c:f>
              <c:numCache>
                <c:formatCode>General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</c:numCache>
            </c:numRef>
          </c:xVal>
          <c:yVal>
            <c:numRef>
              <c:f>Experiment7!$E$17:$E$26</c:f>
              <c:numCache>
                <c:formatCode>General</c:formatCode>
                <c:ptCount val="10"/>
                <c:pt idx="0">
                  <c:v>46.45476773</c:v>
                </c:pt>
                <c:pt idx="1">
                  <c:v>42.016806719999998</c:v>
                </c:pt>
                <c:pt idx="2">
                  <c:v>43.243243239999998</c:v>
                </c:pt>
                <c:pt idx="3">
                  <c:v>144.48979589999999</c:v>
                </c:pt>
                <c:pt idx="4">
                  <c:v>240.01979539999999</c:v>
                </c:pt>
                <c:pt idx="5">
                  <c:v>191.19209090000001</c:v>
                </c:pt>
                <c:pt idx="6">
                  <c:v>164.10842589999999</c:v>
                </c:pt>
                <c:pt idx="7">
                  <c:v>119.19751530000001</c:v>
                </c:pt>
                <c:pt idx="8">
                  <c:v>96.298777419999993</c:v>
                </c:pt>
                <c:pt idx="9">
                  <c:v>96.842105259999997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4E-4280-9F6F-512D5B49B4E4}"/>
            </c:ext>
          </c:extLst>
        </c:ser>
        <c:ser>
          <c:idx val="3"/>
          <c:order val="1"/>
          <c:tx>
            <c:v>DOC</c:v>
          </c:tx>
          <c:spPr>
            <a:ln w="127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Experiment7!$C$17:$C$26</c:f>
              <c:numCache>
                <c:formatCode>General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</c:numCache>
            </c:numRef>
          </c:xVal>
          <c:yVal>
            <c:numRef>
              <c:f>Experiment7!$F$17:$F$26</c:f>
              <c:numCache>
                <c:formatCode>General</c:formatCode>
                <c:ptCount val="10"/>
                <c:pt idx="0">
                  <c:v>3.0339999999999998</c:v>
                </c:pt>
                <c:pt idx="1">
                  <c:v>3.0539999999999998</c:v>
                </c:pt>
                <c:pt idx="2">
                  <c:v>2.4729999999999999</c:v>
                </c:pt>
                <c:pt idx="3">
                  <c:v>2.6160000000000001</c:v>
                </c:pt>
                <c:pt idx="4">
                  <c:v>3.1349999999999998</c:v>
                </c:pt>
                <c:pt idx="5">
                  <c:v>2.9359999999999999</c:v>
                </c:pt>
                <c:pt idx="6">
                  <c:v>2.9329999999999998</c:v>
                </c:pt>
                <c:pt idx="7">
                  <c:v>2.6339999999999999</c:v>
                </c:pt>
                <c:pt idx="8">
                  <c:v>2.97</c:v>
                </c:pt>
                <c:pt idx="9">
                  <c:v>2.4969999999999999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4E-4280-9F6F-512D5B49B4E4}"/>
            </c:ext>
          </c:extLst>
        </c:ser>
        <c:ser>
          <c:idx val="4"/>
          <c:order val="2"/>
          <c:tx>
            <c:v>POC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Experiment7!$C$17:$C$26</c:f>
              <c:numCache>
                <c:formatCode>General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</c:numCache>
            </c:numRef>
          </c:xVal>
          <c:yVal>
            <c:numRef>
              <c:f>Experiment7!$G$17:$G$26</c:f>
              <c:numCache>
                <c:formatCode>General</c:formatCode>
                <c:ptCount val="10"/>
                <c:pt idx="0">
                  <c:v>5.5154976969999998</c:v>
                </c:pt>
                <c:pt idx="2">
                  <c:v>3.927531906</c:v>
                </c:pt>
                <c:pt idx="4">
                  <c:v>15.122709800000001</c:v>
                </c:pt>
                <c:pt idx="6">
                  <c:v>17.196570690000001</c:v>
                </c:pt>
                <c:pt idx="7">
                  <c:v>9.5060401779999992</c:v>
                </c:pt>
                <c:pt idx="8">
                  <c:v>6.3675166709999997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4E-4280-9F6F-512D5B49B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67487"/>
        <c:axId val="122173247"/>
      </c:scatterChart>
      <c:scatterChart>
        <c:scatterStyle val="smoothMarker"/>
        <c:varyColors val="0"/>
        <c:ser>
          <c:idx val="0"/>
          <c:order val="3"/>
          <c:tx>
            <c:v>Depth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Experiment7!$C$17:$C$26</c:f>
              <c:numCache>
                <c:formatCode>General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</c:numCache>
            </c:numRef>
          </c:xVal>
          <c:yVal>
            <c:numRef>
              <c:f>Experiment7!$D$17:$D$26</c:f>
              <c:numCache>
                <c:formatCode>General</c:formatCode>
                <c:ptCount val="10"/>
                <c:pt idx="0">
                  <c:v>7.2329999999999997</c:v>
                </c:pt>
                <c:pt idx="1">
                  <c:v>7.2329999999999997</c:v>
                </c:pt>
                <c:pt idx="2">
                  <c:v>7.9329999999999998</c:v>
                </c:pt>
                <c:pt idx="3">
                  <c:v>9.3770000000000007</c:v>
                </c:pt>
                <c:pt idx="4">
                  <c:v>9.3919999999999995</c:v>
                </c:pt>
                <c:pt idx="5">
                  <c:v>9.4009999999999998</c:v>
                </c:pt>
                <c:pt idx="6">
                  <c:v>9.3550000000000004</c:v>
                </c:pt>
                <c:pt idx="7">
                  <c:v>9.0419999999999998</c:v>
                </c:pt>
                <c:pt idx="8">
                  <c:v>8.4580000000000002</c:v>
                </c:pt>
                <c:pt idx="9">
                  <c:v>8.2829999999999995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4E-4280-9F6F-512D5B49B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63167"/>
        <c:axId val="122162687"/>
      </c:scatterChart>
      <c:valAx>
        <c:axId val="12216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22173247"/>
        <c:crosses val="autoZero"/>
        <c:crossBetween val="midCat"/>
      </c:valAx>
      <c:valAx>
        <c:axId val="12217324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badi" panose="020B0604020104020204" pitchFamily="34" charset="0"/>
                  </a:rPr>
                  <a:t>POC, DOC and SS (mg/l)</a:t>
                </a:r>
              </a:p>
            </c:rich>
          </c:tx>
          <c:layout>
            <c:manualLayout>
              <c:xMode val="edge"/>
              <c:yMode val="edge"/>
              <c:x val="3.6028290172852868E-2"/>
              <c:y val="0.164667906095071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badi" panose="020B0604020104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22167487"/>
        <c:crosses val="autoZero"/>
        <c:crossBetween val="midCat"/>
      </c:valAx>
      <c:valAx>
        <c:axId val="122162687"/>
        <c:scaling>
          <c:orientation val="minMax"/>
          <c:min val="7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badi" panose="020B0604020104020204" pitchFamily="34" charset="0"/>
                  </a:rPr>
                  <a:t>Water Depts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Abadi" panose="020B0604020104020204" pitchFamily="34" charset="0"/>
                  </a:rPr>
                  <a:t> (cm)</a:t>
                </a:r>
                <a:endParaRPr lang="en-US">
                  <a:solidFill>
                    <a:sysClr val="windowText" lastClr="000000"/>
                  </a:solidFill>
                  <a:latin typeface="Abadi" panose="020B0604020104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badi" panose="020B0604020104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22163167"/>
        <c:crosses val="max"/>
        <c:crossBetween val="midCat"/>
      </c:valAx>
      <c:valAx>
        <c:axId val="12216316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22162687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badi" panose="020B0604020104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458391</xdr:colOff>
      <xdr:row>1</xdr:row>
      <xdr:rowOff>164306</xdr:rowOff>
    </xdr:from>
    <xdr:to>
      <xdr:col>17</xdr:col>
      <xdr:colOff>153591</xdr:colOff>
      <xdr:row>16</xdr:row>
      <xdr:rowOff>50006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7FF097-DA24-C7BB-DC95-BD4CB4CE0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17</xdr:row>
      <xdr:rowOff>19050</xdr:rowOff>
    </xdr:from>
    <xdr:to>
      <xdr:col>17</xdr:col>
      <xdr:colOff>314325</xdr:colOff>
      <xdr:row>31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CBFE8C-58D0-4F68-BB48-41DB38B347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09E6-5F47-471A-AA9A-D7DB1D8DB834}">
  <dimension ref="A1:G29"/>
  <sheetViews>
    <sheetView tabSelected="1" topLeftCell="A4" zoomScale="145" zoomScaleNormal="145" workbookViewId="0">
      <selection activeCell="R16" sqref="R16"/>
    </sheetView>
  </sheetViews>
  <sheetFormatPr defaultRowHeight="15" x14ac:dyDescent="0.25"/>
  <cols>
    <col min="2" max="3" width="13.7109375" customWidth="1"/>
  </cols>
  <sheetData>
    <row r="1" spans="1:7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70</v>
      </c>
      <c r="B2" s="1">
        <v>44777.083969907406</v>
      </c>
      <c r="C2" s="2">
        <v>0</v>
      </c>
      <c r="D2">
        <v>8.6329999999999991</v>
      </c>
      <c r="E2">
        <v>9.0053213260000007</v>
      </c>
      <c r="F2">
        <v>3.0289999999999999</v>
      </c>
    </row>
    <row r="3" spans="1:7" x14ac:dyDescent="0.25">
      <c r="A3">
        <v>71</v>
      </c>
      <c r="B3" s="1">
        <v>44777.084004629629</v>
      </c>
      <c r="C3" s="2">
        <v>3</v>
      </c>
      <c r="D3">
        <v>8.8079999999999998</v>
      </c>
      <c r="E3">
        <v>7.4868979290000004</v>
      </c>
      <c r="F3">
        <v>2.923</v>
      </c>
      <c r="G3">
        <v>2.38341665</v>
      </c>
    </row>
    <row r="4" spans="1:7" x14ac:dyDescent="0.25">
      <c r="A4">
        <v>72</v>
      </c>
      <c r="B4" s="1">
        <v>44777.084039351852</v>
      </c>
      <c r="C4" s="2">
        <f>C3+3</f>
        <v>6</v>
      </c>
      <c r="D4">
        <v>9.0419999999999998</v>
      </c>
      <c r="E4">
        <v>4.9549921550000002</v>
      </c>
      <c r="F4">
        <v>2.976</v>
      </c>
    </row>
    <row r="5" spans="1:7" x14ac:dyDescent="0.25">
      <c r="A5">
        <v>73</v>
      </c>
      <c r="B5" s="1">
        <v>44777.084074074075</v>
      </c>
      <c r="C5" s="2">
        <f t="shared" ref="C5:C11" si="0">C4+3</f>
        <v>9</v>
      </c>
      <c r="D5">
        <v>9.9169999999999998</v>
      </c>
      <c r="E5">
        <v>7.3004542499999996</v>
      </c>
      <c r="F5">
        <v>3.641</v>
      </c>
      <c r="G5">
        <v>2.1756635950000001</v>
      </c>
    </row>
    <row r="6" spans="1:7" x14ac:dyDescent="0.25">
      <c r="A6">
        <v>74</v>
      </c>
      <c r="B6" s="1">
        <v>44777.084108796298</v>
      </c>
      <c r="C6" s="2">
        <f t="shared" si="0"/>
        <v>12</v>
      </c>
      <c r="D6">
        <v>10.092000000000001</v>
      </c>
      <c r="E6">
        <v>31.924724860000001</v>
      </c>
      <c r="F6">
        <v>3.0539999999999998</v>
      </c>
    </row>
    <row r="7" spans="1:7" x14ac:dyDescent="0.25">
      <c r="A7">
        <v>75</v>
      </c>
      <c r="B7" s="1">
        <v>44777.084143518521</v>
      </c>
      <c r="C7" s="2">
        <f t="shared" si="0"/>
        <v>15</v>
      </c>
      <c r="D7">
        <v>10.442</v>
      </c>
      <c r="E7">
        <v>41.421588929999999</v>
      </c>
      <c r="F7">
        <v>3.0379999999999998</v>
      </c>
    </row>
    <row r="8" spans="1:7" x14ac:dyDescent="0.25">
      <c r="A8">
        <v>76</v>
      </c>
      <c r="B8" s="1">
        <v>44777.084178240744</v>
      </c>
      <c r="C8" s="2">
        <f t="shared" si="0"/>
        <v>18</v>
      </c>
      <c r="D8">
        <v>10.617000000000001</v>
      </c>
      <c r="E8">
        <v>44.890630100000003</v>
      </c>
      <c r="F8">
        <v>3.5790000000000002</v>
      </c>
      <c r="G8">
        <v>4.7777531050000004</v>
      </c>
    </row>
    <row r="9" spans="1:7" x14ac:dyDescent="0.25">
      <c r="A9">
        <v>77</v>
      </c>
      <c r="B9" s="1">
        <v>44777.08421296296</v>
      </c>
      <c r="C9" s="2">
        <f t="shared" si="0"/>
        <v>21</v>
      </c>
      <c r="D9">
        <v>10.442</v>
      </c>
      <c r="E9">
        <v>33.184005310000003</v>
      </c>
      <c r="F9">
        <v>3.1509999999999998</v>
      </c>
    </row>
    <row r="10" spans="1:7" x14ac:dyDescent="0.25">
      <c r="A10">
        <v>78</v>
      </c>
      <c r="B10" s="1">
        <v>44777.084247685183</v>
      </c>
      <c r="C10" s="2">
        <f t="shared" si="0"/>
        <v>24</v>
      </c>
      <c r="D10">
        <v>10.092000000000001</v>
      </c>
      <c r="E10">
        <v>25.368248770000001</v>
      </c>
      <c r="F10">
        <v>3.0059999999999998</v>
      </c>
      <c r="G10">
        <v>4.9322235059999997</v>
      </c>
    </row>
    <row r="11" spans="1:7" x14ac:dyDescent="0.25">
      <c r="A11">
        <v>79</v>
      </c>
      <c r="B11" s="1">
        <v>44777.084282407406</v>
      </c>
      <c r="C11" s="2">
        <f t="shared" si="0"/>
        <v>27</v>
      </c>
      <c r="D11">
        <v>9.9169999999999998</v>
      </c>
      <c r="E11">
        <v>6.5455735559999999</v>
      </c>
      <c r="F11">
        <v>3.5510000000000002</v>
      </c>
    </row>
    <row r="13" spans="1:7" x14ac:dyDescent="0.25">
      <c r="C13" t="s">
        <v>6</v>
      </c>
      <c r="E13">
        <f>MAX(E2:E11)</f>
        <v>44.890630100000003</v>
      </c>
      <c r="F13">
        <f t="shared" ref="F13:G13" si="1">MAX(F2:F11)</f>
        <v>3.641</v>
      </c>
      <c r="G13">
        <f>MAX(G2:G11)</f>
        <v>4.9322235059999997</v>
      </c>
    </row>
    <row r="14" spans="1:7" x14ac:dyDescent="0.25">
      <c r="C14" t="s">
        <v>7</v>
      </c>
      <c r="E14">
        <f>E13/E2</f>
        <v>4.9849004244182371</v>
      </c>
      <c r="F14">
        <f t="shared" ref="F14:G14" si="2">F13/F2</f>
        <v>1.2020468801584683</v>
      </c>
      <c r="G14">
        <f>G13/G3</f>
        <v>2.0693920662172096</v>
      </c>
    </row>
    <row r="16" spans="1:7" x14ac:dyDescent="0.25">
      <c r="A16" t="s">
        <v>0</v>
      </c>
      <c r="B16" t="s">
        <v>1</v>
      </c>
      <c r="D16" t="s">
        <v>2</v>
      </c>
      <c r="E16" t="s">
        <v>3</v>
      </c>
      <c r="F16" t="s">
        <v>4</v>
      </c>
      <c r="G16" t="s">
        <v>5</v>
      </c>
    </row>
    <row r="17" spans="1:7" x14ac:dyDescent="0.25">
      <c r="A17">
        <v>85</v>
      </c>
      <c r="B17" s="1">
        <v>44778.468946759262</v>
      </c>
      <c r="C17">
        <v>0</v>
      </c>
      <c r="D17">
        <v>7.2329999999999997</v>
      </c>
      <c r="E17">
        <v>46.45476773</v>
      </c>
      <c r="F17">
        <v>3.0339999999999998</v>
      </c>
      <c r="G17">
        <v>5.5154976969999998</v>
      </c>
    </row>
    <row r="18" spans="1:7" x14ac:dyDescent="0.25">
      <c r="A18">
        <v>86</v>
      </c>
      <c r="B18" s="1">
        <v>44778.468981481485</v>
      </c>
      <c r="C18">
        <f>C17+3</f>
        <v>3</v>
      </c>
      <c r="D18">
        <v>7.2329999999999997</v>
      </c>
      <c r="E18">
        <v>42.016806719999998</v>
      </c>
      <c r="F18">
        <v>3.0539999999999998</v>
      </c>
    </row>
    <row r="19" spans="1:7" x14ac:dyDescent="0.25">
      <c r="A19">
        <v>87</v>
      </c>
      <c r="B19" s="1">
        <v>44778.4690162037</v>
      </c>
      <c r="C19">
        <f t="shared" ref="C19:C26" si="3">C18+3</f>
        <v>6</v>
      </c>
      <c r="D19">
        <v>7.9329999999999998</v>
      </c>
      <c r="E19">
        <v>43.243243239999998</v>
      </c>
      <c r="F19">
        <v>2.4729999999999999</v>
      </c>
      <c r="G19">
        <v>3.927531906</v>
      </c>
    </row>
    <row r="20" spans="1:7" x14ac:dyDescent="0.25">
      <c r="A20">
        <v>88</v>
      </c>
      <c r="B20" s="1">
        <v>44778.469050925924</v>
      </c>
      <c r="C20">
        <f t="shared" si="3"/>
        <v>9</v>
      </c>
      <c r="D20">
        <v>9.3770000000000007</v>
      </c>
      <c r="E20">
        <v>144.48979589999999</v>
      </c>
      <c r="F20">
        <v>2.6160000000000001</v>
      </c>
    </row>
    <row r="21" spans="1:7" x14ac:dyDescent="0.25">
      <c r="A21">
        <v>89</v>
      </c>
      <c r="B21" s="1">
        <v>44778.469085648147</v>
      </c>
      <c r="C21">
        <f t="shared" si="3"/>
        <v>12</v>
      </c>
      <c r="D21">
        <v>9.3919999999999995</v>
      </c>
      <c r="E21">
        <v>240.01979539999999</v>
      </c>
      <c r="F21">
        <v>3.1349999999999998</v>
      </c>
      <c r="G21">
        <v>15.122709800000001</v>
      </c>
    </row>
    <row r="22" spans="1:7" x14ac:dyDescent="0.25">
      <c r="A22">
        <v>90</v>
      </c>
      <c r="B22" s="1">
        <v>44778.46912037037</v>
      </c>
      <c r="C22">
        <f t="shared" si="3"/>
        <v>15</v>
      </c>
      <c r="D22">
        <v>9.4009999999999998</v>
      </c>
      <c r="E22">
        <v>191.19209090000001</v>
      </c>
      <c r="F22">
        <v>2.9359999999999999</v>
      </c>
    </row>
    <row r="23" spans="1:7" x14ac:dyDescent="0.25">
      <c r="A23">
        <v>91</v>
      </c>
      <c r="B23" s="1">
        <v>44778.469155092593</v>
      </c>
      <c r="C23">
        <f t="shared" si="3"/>
        <v>18</v>
      </c>
      <c r="D23">
        <v>9.3550000000000004</v>
      </c>
      <c r="E23">
        <v>164.10842589999999</v>
      </c>
      <c r="F23">
        <v>2.9329999999999998</v>
      </c>
      <c r="G23">
        <v>17.196570690000001</v>
      </c>
    </row>
    <row r="24" spans="1:7" x14ac:dyDescent="0.25">
      <c r="A24">
        <v>92</v>
      </c>
      <c r="B24" s="1">
        <v>44778.469189814816</v>
      </c>
      <c r="C24">
        <f t="shared" si="3"/>
        <v>21</v>
      </c>
      <c r="D24">
        <v>9.0419999999999998</v>
      </c>
      <c r="E24">
        <v>119.19751530000001</v>
      </c>
      <c r="F24">
        <v>2.6339999999999999</v>
      </c>
      <c r="G24">
        <v>9.5060401779999992</v>
      </c>
    </row>
    <row r="25" spans="1:7" x14ac:dyDescent="0.25">
      <c r="A25">
        <v>93</v>
      </c>
      <c r="B25" s="1">
        <v>44778.469259259262</v>
      </c>
      <c r="C25">
        <f t="shared" si="3"/>
        <v>24</v>
      </c>
      <c r="D25">
        <v>8.4580000000000002</v>
      </c>
      <c r="E25">
        <v>96.298777419999993</v>
      </c>
      <c r="F25">
        <v>2.97</v>
      </c>
      <c r="G25">
        <v>6.3675166709999997</v>
      </c>
    </row>
    <row r="26" spans="1:7" x14ac:dyDescent="0.25">
      <c r="A26">
        <v>94</v>
      </c>
      <c r="B26" s="1">
        <v>44778.469293981485</v>
      </c>
      <c r="C26">
        <f t="shared" si="3"/>
        <v>27</v>
      </c>
      <c r="D26">
        <v>8.2829999999999995</v>
      </c>
      <c r="E26">
        <v>96.842105259999997</v>
      </c>
      <c r="F26">
        <v>2.4969999999999999</v>
      </c>
    </row>
    <row r="28" spans="1:7" x14ac:dyDescent="0.25">
      <c r="C28" t="s">
        <v>6</v>
      </c>
      <c r="E28">
        <f>MAX(E17:E26)</f>
        <v>240.01979539999999</v>
      </c>
      <c r="F28">
        <f>MAX(F17:F26)</f>
        <v>3.1349999999999998</v>
      </c>
      <c r="G28">
        <f>MAX(G17:G26)</f>
        <v>17.196570690000001</v>
      </c>
    </row>
    <row r="29" spans="1:7" x14ac:dyDescent="0.25">
      <c r="C29" t="s">
        <v>7</v>
      </c>
      <c r="E29">
        <f>E28/E17</f>
        <v>5.1667419110783266</v>
      </c>
      <c r="F29">
        <f t="shared" ref="F29:G29" si="4">F28/F17</f>
        <v>1.0332893869479236</v>
      </c>
      <c r="G29">
        <f t="shared" si="4"/>
        <v>3.117863814783858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Hucke, Nicole (huck4481@vandals.uidaho.edu)</cp:lastModifiedBy>
  <dcterms:created xsi:type="dcterms:W3CDTF">2026-07-29T15:21:07Z</dcterms:created>
  <dcterms:modified xsi:type="dcterms:W3CDTF">2026-07-29T15:21:08Z</dcterms:modified>
</cp:coreProperties>
</file>