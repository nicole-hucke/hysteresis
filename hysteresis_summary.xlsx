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hysteresis\"/>
    </mc:Choice>
  </mc:AlternateContent>
  <xr:revisionPtr revIDLastSave="0" documentId="13_ncr:1_{6BE9DD82-26B6-4723-AC3E-E1EEED0DD595}" xr6:coauthVersionLast="47" xr6:coauthVersionMax="47" xr10:uidLastSave="{00000000-0000-0000-0000-000000000000}"/>
  <bookViews>
    <workbookView xWindow="-25320" yWindow="360" windowWidth="25440" windowHeight="15270" xr2:uid="{867610DC-2157-4A8B-BAD4-C3624B9432BC}"/>
  </bookViews>
  <sheets>
    <sheet name="HI analysis paper" sheetId="3" r:id="rId1"/>
    <sheet name="All " sheetId="1" r:id="rId2"/>
    <sheet name="SSC - Turbidity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<sst xmlns="http://schemas.openxmlformats.org/spreadsheetml/2006/main" count="299" uniqueCount="73">
  <si>
    <t>Storm</t>
  </si>
  <si>
    <t xml:space="preserve">Aich (2014) </t>
  </si>
  <si>
    <t>st1_down</t>
  </si>
  <si>
    <t>st1_up</t>
  </si>
  <si>
    <t>st2_down</t>
  </si>
  <si>
    <t>st3_down</t>
  </si>
  <si>
    <t>st4_down</t>
  </si>
  <si>
    <t>st4_up</t>
  </si>
  <si>
    <t>st5_up</t>
  </si>
  <si>
    <t>st6_up</t>
  </si>
  <si>
    <t>st7_down</t>
  </si>
  <si>
    <t>st7_up</t>
  </si>
  <si>
    <t>SSC (mg/L)</t>
  </si>
  <si>
    <t>SRP (mg/L)</t>
  </si>
  <si>
    <t>TP (mg/L)</t>
  </si>
  <si>
    <t>PP (mg/L)</t>
  </si>
  <si>
    <t>POC (mg/L)</t>
  </si>
  <si>
    <t>DOC (mg/L)</t>
  </si>
  <si>
    <t>Lawler Adapted</t>
  </si>
  <si>
    <t>fDOM RFU</t>
  </si>
  <si>
    <t>st5_down</t>
  </si>
  <si>
    <t>st6_down</t>
  </si>
  <si>
    <t>Turnidity FNU</t>
  </si>
  <si>
    <t>Langlois (2005)</t>
  </si>
  <si>
    <t>Lawler (2006)</t>
  </si>
  <si>
    <t>Lloyd (2016)</t>
  </si>
  <si>
    <t>Clockwise</t>
  </si>
  <si>
    <t>Counter-Clockwise</t>
  </si>
  <si>
    <t>*</t>
  </si>
  <si>
    <t>* Extrapolated for Lawler</t>
  </si>
  <si>
    <t>D</t>
  </si>
  <si>
    <t>Event_1</t>
  </si>
  <si>
    <t>Event_2</t>
  </si>
  <si>
    <t>Event_3</t>
  </si>
  <si>
    <t>Event_6</t>
  </si>
  <si>
    <t>Event_7</t>
  </si>
  <si>
    <t>Event_8</t>
  </si>
  <si>
    <t>Event_9</t>
  </si>
  <si>
    <t>Event_10</t>
  </si>
  <si>
    <t>Event_12</t>
  </si>
  <si>
    <t>Event_13</t>
  </si>
  <si>
    <t>Event_14</t>
  </si>
  <si>
    <t>U</t>
  </si>
  <si>
    <t>HI</t>
  </si>
  <si>
    <t>Drise</t>
  </si>
  <si>
    <t>Dfall</t>
  </si>
  <si>
    <t>storm</t>
  </si>
  <si>
    <t>st1</t>
  </si>
  <si>
    <t>st2</t>
  </si>
  <si>
    <t>st3</t>
  </si>
  <si>
    <t>st4</t>
  </si>
  <si>
    <t>st5</t>
  </si>
  <si>
    <t>st6</t>
  </si>
  <si>
    <t>SSC</t>
  </si>
  <si>
    <t>POC</t>
  </si>
  <si>
    <t>DOC</t>
  </si>
  <si>
    <t>SRP</t>
  </si>
  <si>
    <t>PP</t>
  </si>
  <si>
    <t>TP</t>
  </si>
  <si>
    <t xml:space="preserve">Aich HI </t>
  </si>
  <si>
    <t>Turbidity</t>
  </si>
  <si>
    <t>fDOM</t>
  </si>
  <si>
    <t>Summer Storms</t>
  </si>
  <si>
    <t>event 1</t>
  </si>
  <si>
    <t>event2</t>
  </si>
  <si>
    <t>event3</t>
  </si>
  <si>
    <t>event4</t>
  </si>
  <si>
    <t>event5</t>
  </si>
  <si>
    <t>event6</t>
  </si>
  <si>
    <t>event7</t>
  </si>
  <si>
    <t>event8</t>
  </si>
  <si>
    <t>event9</t>
  </si>
  <si>
    <t>event10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</si>
</sst>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"/>
    <numFmt numFmtId="166" formatCode="0.00000"/>
    <numFmt numFmtId="167" formatCode="0.0000"/>
    <numFmt numFmtId="168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66" fontId="0" fillId="4" borderId="0" xfId="0" applyNumberFormat="1" applyFill="1" applyAlignment="1">
      <alignment horizontal="center"/>
    </xf>
    <xf numFmtId="167" fontId="0" fillId="4" borderId="0" xfId="0" applyNumberForma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7" fontId="0" fillId="2" borderId="0" xfId="0" applyNumberFormat="1" applyFill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0" fillId="0" borderId="19" xfId="0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0" borderId="3" xfId="0" applyBorder="1"/>
    <xf numFmtId="0" fontId="0" fillId="0" borderId="13" xfId="0" applyBorder="1"/>
    <xf numFmtId="168" fontId="0" fillId="0" borderId="1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12" xfId="0" applyNumberFormat="1" applyBorder="1" applyAlignment="1">
      <alignment horizontal="center"/>
    </xf>
    <xf numFmtId="168" fontId="0" fillId="2" borderId="7" xfId="0" applyNumberFormat="1" applyFill="1" applyBorder="1" applyAlignment="1">
      <alignment horizontal="center"/>
    </xf>
    <xf numFmtId="168" fontId="0" fillId="2" borderId="9" xfId="0" applyNumberFormat="1" applyFill="1" applyBorder="1" applyAlignment="1">
      <alignment horizontal="center"/>
    </xf>
    <xf numFmtId="168" fontId="0" fillId="3" borderId="7" xfId="0" applyNumberFormat="1" applyFill="1" applyBorder="1" applyAlignment="1">
      <alignment horizontal="center"/>
    </xf>
    <xf numFmtId="168" fontId="0" fillId="3" borderId="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SS</a:t>
            </a:r>
            <a:r>
              <a:rPr lang="en-US" baseline="0"/>
              <a:t> HI to Others HI</a:t>
            </a:r>
            <a:endParaRPr lang="en-US"/>
          </a:p>
        </c:rich>
      </c:tx>
      <c:layout>
        <c:manualLayout>
          <c:xMode val="edge"/>
          <c:yMode val="edge"/>
          <c:x val="0.23566897203542989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 analysis paper'!$Q$2:$S$2</c:f>
              <c:strCache>
                <c:ptCount val="1"/>
                <c:pt idx="0">
                  <c:v>POC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282261592300961"/>
                  <c:y val="-4.5585812190142898E-2"/>
                </c:manualLayout>
              </c:layout>
              <c:numFmt formatCode="General" sourceLinked="0"/>
              <c:spPr>
                <a:solidFill>
                  <a:schemeClr val="tx2">
                    <a:lumMod val="25000"/>
                    <a:lumOff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 analysis paper'!$C$4:$C$9</c:f>
              <c:numCache>
                <c:formatCode>0.00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'HI analysis paper'!$Q$4:$Q$9</c:f>
              <c:numCache>
                <c:formatCode>0.00</c:formatCode>
                <c:ptCount val="6"/>
                <c:pt idx="0">
                  <c:v>0.735611704001494</c:v>
                </c:pt>
                <c:pt idx="1">
                  <c:v>0.199680501000808</c:v>
                </c:pt>
                <c:pt idx="2">
                  <c:v>0.12535086320927399</c:v>
                </c:pt>
                <c:pt idx="3">
                  <c:v>0.42964915677977999</c:v>
                </c:pt>
                <c:pt idx="4">
                  <c:v>4.3375577562074601E-2</c:v>
                </c:pt>
                <c:pt idx="5">
                  <c:v>4.5262412029273197E-2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1-4C90-93D8-FD403BC9B80C}"/>
            </c:ext>
          </c:extLst>
        </c:ser>
        <c:ser>
          <c:idx val="1"/>
          <c:order val="1"/>
          <c:tx>
            <c:strRef>
              <c:f>'HI analysis paper'!$F$2:$H$2</c:f>
              <c:strCache>
                <c:ptCount val="1"/>
                <c:pt idx="0">
                  <c:v>DOC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073720711918311"/>
                  <c:y val="-0.5008705161854768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 analysis paper'!$C$4:$C$9</c:f>
              <c:numCache>
                <c:formatCode>0.00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'HI analysis paper'!$F$4:$F$9</c:f>
              <c:numCache>
                <c:formatCode>0.00</c:formatCode>
                <c:ptCount val="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61-4C90-93D8-FD403BC9B80C}"/>
            </c:ext>
          </c:extLst>
        </c:ser>
        <c:ser>
          <c:idx val="2"/>
          <c:order val="2"/>
          <c:tx>
            <c:strRef>
              <c:f>'HI analysis paper'!$T$2:$V$2</c:f>
              <c:strCache>
                <c:ptCount val="1"/>
                <c:pt idx="0">
                  <c:v>PP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341360614594711"/>
                  <c:y val="-0.1186938611840186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 analysis paper'!$C$4:$C$6</c:f>
              <c:numCache>
                <c:formatCode>0.00</c:formatCode>
                <c:ptCount val="3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</c:numCache>
            </c:numRef>
          </c:xVal>
          <c:yVal>
            <c:numRef>
              <c:f>'HI analysis paper'!$T$4:$T$6</c:f>
              <c:numCache>
                <c:formatCode>0.00</c:formatCode>
                <c:ptCount val="3"/>
                <c:pt idx="0">
                  <c:v>0.45797375947830898</c:v>
                </c:pt>
                <c:pt idx="1">
                  <c:v>0.14905336293267299</c:v>
                </c:pt>
                <c:pt idx="2">
                  <c:v>-1.08380665362574E-2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61-4C90-93D8-FD403BC9B80C}"/>
            </c:ext>
          </c:extLst>
        </c:ser>
        <c:ser>
          <c:idx val="3"/>
          <c:order val="3"/>
          <c:tx>
            <c:strRef>
              <c:f>'HI analysis paper'!$W$2:$Y$2</c:f>
              <c:strCache>
                <c:ptCount val="1"/>
                <c:pt idx="0">
                  <c:v>SRP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364880484829908"/>
                  <c:y val="-0.3186391805191017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 analysis paper'!$C$4:$C$9</c:f>
              <c:numCache>
                <c:formatCode>0.00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'HI analysis paper'!$W$4:$W$9</c:f>
              <c:numCache>
                <c:formatCode>0.00</c:formatCode>
                <c:ptCount val="6"/>
                <c:pt idx="0">
                  <c:v>-4.4193639828931201E-2</c:v>
                </c:pt>
                <c:pt idx="1">
                  <c:v>6.6875193364792196E-2</c:v>
                </c:pt>
                <c:pt idx="2">
                  <c:v>-8.6669485065099E-2</c:v>
                </c:pt>
                <c:pt idx="3">
                  <c:v>3.59517217205262E-2</c:v>
                </c:pt>
                <c:pt idx="4">
                  <c:v>0.155085326236896</c:v>
                </c:pt>
                <c:pt idx="5">
                  <c:v>-0.49269779802698299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61-4C90-93D8-FD403BC9B80C}"/>
            </c:ext>
          </c:extLst>
        </c:ser>
        <c:ser>
          <c:idx val="4"/>
          <c:order val="4"/>
          <c:tx>
            <c:strRef>
              <c:f>'HI analysis paper'!$Z$2:$AB$2</c:f>
              <c:strCache>
                <c:ptCount val="1"/>
                <c:pt idx="0">
                  <c:v>TP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9836963810180663E-2"/>
                  <c:y val="-0.1506915281423155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 analysis paper'!$C$4:$C$6</c:f>
              <c:numCache>
                <c:formatCode>0.00</c:formatCode>
                <c:ptCount val="3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</c:numCache>
            </c:numRef>
          </c:xVal>
          <c:yVal>
            <c:numRef>
              <c:f>'HI analysis paper'!$Z$4:$Z$6</c:f>
              <c:numCache>
                <c:formatCode>0.00</c:formatCode>
                <c:ptCount val="3"/>
                <c:pt idx="0">
                  <c:v>0.37069968925848601</c:v>
                </c:pt>
                <c:pt idx="1">
                  <c:v>0.10077650528672399</c:v>
                </c:pt>
                <c:pt idx="2">
                  <c:v>6.3493902184217604E-2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61-4C90-93D8-FD403BC9B80C}"/>
            </c:ext>
          </c:extLst>
        </c:ser>
        <c:ser>
          <c:idx val="5"/>
          <c:order val="5"/>
          <c:tx>
            <c:strRef>
              <c:f>'HI analysis paper'!$I$2:$K$2</c:f>
              <c:strCache>
                <c:ptCount val="1"/>
                <c:pt idx="0">
                  <c:v>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806182986250802E-2"/>
                  <c:y val="-0.1728729221347331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 analysis paper'!$C$4:$C$9</c:f>
              <c:numCache>
                <c:formatCode>0.00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'HI analysis paper'!$I$4:$I$9</c:f>
              <c:numCache>
                <c:formatCode>0.00</c:formatCode>
                <c:ptCount val="6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4.6283799610675601E-2</c:v>
                </c:pt>
                <c:pt idx="4">
                  <c:v>0.164262280281398</c:v>
                </c:pt>
                <c:pt idx="5">
                  <c:v>-4.45444212598241E-2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61-4C90-93D8-FD403BC9B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023904"/>
        <c:axId val="663387696"/>
      </c:scatterChart>
      <c:valAx>
        <c:axId val="44202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387696"/>
        <c:crosses val="autoZero"/>
        <c:crossBetween val="midCat"/>
      </c:valAx>
      <c:valAx>
        <c:axId val="6633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02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Constituent</a:t>
            </a:r>
            <a:r>
              <a:rPr lang="en-US" baseline="0"/>
              <a:t> vs Sonde HI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SSC-Turbidity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341863517060365"/>
                  <c:y val="3.3238553514144489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 analysis paper'!$C$4:$C$19</c:f>
              <c:numCache>
                <c:formatCode>0.00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'HI analysis paper'!$I$4:$I$19</c:f>
              <c:numCache>
                <c:formatCode>0.00</c:formatCode>
                <c:ptCount val="16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4.6283799610675601E-2</c:v>
                </c:pt>
                <c:pt idx="4">
                  <c:v>0.164262280281398</c:v>
                </c:pt>
                <c:pt idx="5">
                  <c:v>-4.45444212598241E-2</c:v>
                </c:pt>
                <c:pt idx="6" formatCode="0.000">
                  <c:v>5.1856335362832198E-2</c:v>
                </c:pt>
                <c:pt idx="7" formatCode="0.000">
                  <c:v>0.103368750113241</c:v>
                </c:pt>
                <c:pt idx="8" formatCode="0.000">
                  <c:v>0.15621819275209001</c:v>
                </c:pt>
                <c:pt idx="9" formatCode="0.000">
                  <c:v>0.15071577677020101</c:v>
                </c:pt>
                <c:pt idx="10" formatCode="0.000">
                  <c:v>5.5397551503622099E-2</c:v>
                </c:pt>
                <c:pt idx="11" formatCode="0.000">
                  <c:v>6.9883057908481996E-2</c:v>
                </c:pt>
                <c:pt idx="12" formatCode="0.000">
                  <c:v>7.8645648239850305E-2</c:v>
                </c:pt>
                <c:pt idx="13" formatCode="0.000">
                  <c:v>2.1496979213356301E-3</c:v>
                </c:pt>
                <c:pt idx="14" formatCode="0.000">
                  <c:v>0.101236914763633</c:v>
                </c:pt>
                <c:pt idx="15" formatCode="0.000">
                  <c:v>0.107400232693555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A-4711-81C7-DABCF8E72C8C}"/>
            </c:ext>
          </c:extLst>
        </c:ser>
        <c:ser>
          <c:idx val="1"/>
          <c:order val="1"/>
          <c:tx>
            <c:v>DOC-fDOM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1900043744531933E-2"/>
                  <c:y val="0.2908205745115193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 analysis paper'!$F$4:$F$19</c:f>
              <c:numCache>
                <c:formatCode>0.00</c:formatCode>
                <c:ptCount val="1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  <c:pt idx="6">
                  <c:v>3.4332675043980999E-2</c:v>
                </c:pt>
                <c:pt idx="7">
                  <c:v>2.8668980226143202E-2</c:v>
                </c:pt>
                <c:pt idx="8">
                  <c:v>1.20306787922476E-2</c:v>
                </c:pt>
                <c:pt idx="9">
                  <c:v>2.7386597361713599E-2</c:v>
                </c:pt>
                <c:pt idx="10">
                  <c:v>2.8615745110634201E-2</c:v>
                </c:pt>
                <c:pt idx="11">
                  <c:v>4.4113621235337297E-2</c:v>
                </c:pt>
                <c:pt idx="12">
                  <c:v>-8.0536265843332393E-3</c:v>
                </c:pt>
                <c:pt idx="13">
                  <c:v>-2.13677287576714E-2</c:v>
                </c:pt>
                <c:pt idx="14">
                  <c:v>2.7450804091866201E-2</c:v>
                </c:pt>
                <c:pt idx="15">
                  <c:v>-4.0077224600602597E-2</c:v>
                </c:pt>
              </c:numCache>
            </c:numRef>
          </c:xVal>
          <c:yVal>
            <c:numRef>
              <c:f>'HI analysis paper'!$L$4:$L$19</c:f>
              <c:numCache>
                <c:formatCode>0.00</c:formatCode>
                <c:ptCount val="16"/>
                <c:pt idx="0">
                  <c:v>-0.62489073949006502</c:v>
                </c:pt>
                <c:pt idx="1">
                  <c:v>-0.64117535564386996</c:v>
                </c:pt>
                <c:pt idx="2">
                  <c:v>-0.511670862423525</c:v>
                </c:pt>
                <c:pt idx="3">
                  <c:v>-0.22155858359451899</c:v>
                </c:pt>
                <c:pt idx="4">
                  <c:v>9.6450074853088597E-2</c:v>
                </c:pt>
                <c:pt idx="5">
                  <c:v>-0.24313716774511701</c:v>
                </c:pt>
                <c:pt idx="6" formatCode="0.000">
                  <c:v>1.3430417175947699E-2</c:v>
                </c:pt>
                <c:pt idx="7" formatCode="0.000">
                  <c:v>-1.61778645652975E-2</c:v>
                </c:pt>
                <c:pt idx="8" formatCode="0.000">
                  <c:v>2.95836818188689E-2</c:v>
                </c:pt>
                <c:pt idx="9" formatCode="0.000">
                  <c:v>-5.4892758010415703E-2</c:v>
                </c:pt>
                <c:pt idx="10" formatCode="0.000">
                  <c:v>8.8641812543785899E-3</c:v>
                </c:pt>
                <c:pt idx="11" formatCode="0.000">
                  <c:v>1.32778322661357E-2</c:v>
                </c:pt>
                <c:pt idx="12" formatCode="0.000">
                  <c:v>-6.0975544853349099E-2</c:v>
                </c:pt>
                <c:pt idx="13" formatCode="0.000">
                  <c:v>-1.77749404385871E-2</c:v>
                </c:pt>
                <c:pt idx="14" formatCode="0.000">
                  <c:v>3.08855730575289E-3</c:v>
                </c:pt>
                <c:pt idx="15" formatCode="0.000">
                  <c:v>-5.3081166180475401E-3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7A-4711-81C7-DABCF8E72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648112"/>
        <c:axId val="663504336"/>
      </c:scatterChart>
      <c:valAx>
        <c:axId val="90464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04336"/>
        <c:crosses val="autoZero"/>
        <c:crossBetween val="midCat"/>
      </c:valAx>
      <c:valAx>
        <c:axId val="6635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648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121097987751531"/>
          <c:y val="0.89698964712744245"/>
          <c:w val="0.4130900917637353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SSC HI to Turbidity HI  </a:t>
            </a:r>
          </a:p>
        </c:rich>
      </c:tx>
      <c:layout>
        <c:manualLayout>
          <c:xMode val="edge"/>
          <c:yMode val="edge"/>
          <c:x val="0.13638095238095238"/>
          <c:y val="4.8096202503948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'SSC - Turbidity '!$C$3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146544181977253"/>
                  <c:y val="-3.679133858267712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'SSC - Turbidity '!$C$4:$C$10</c:f>
              <c:numCache>
                <c:formatCode>0.00000</c:formatCode>
                <c:ptCount val="7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  <c:pt idx="6">
                  <c:v>0.84619083652769</c:v>
                </c:pt>
              </c:numCache>
            </c:numRef>
          </c:xVal>
          <c:yVal>
            <c:numRef>
              <c:f>'SSC - Turbidity '!$H$4:$H$10</c:f>
              <c:numCache>
                <c:formatCode>0.00000</c:formatCode>
                <c:ptCount val="7"/>
                <c:pt idx="0">
                  <c:v>1.7878260187067601</c:v>
                </c:pt>
                <c:pt idx="1">
                  <c:v>2.8770644107042802</c:v>
                </c:pt>
                <c:pt idx="2">
                  <c:v>1.2050076272027901</c:v>
                </c:pt>
                <c:pt idx="3">
                  <c:v>1.11910970408747</c:v>
                </c:pt>
                <c:pt idx="4">
                  <c:v>1.4074954172257299</c:v>
                </c:pt>
                <c:pt idx="5">
                  <c:v>1.41606982531736</c:v>
                </c:pt>
                <c:pt idx="6">
                  <c:v>1.1637562782531401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F-419F-90AF-03E9982671F9}"/>
            </c:ext>
          </c:extLst>
        </c:ser>
        <c:ser>
          <c:idx val="1"/>
          <c:order val="1"/>
          <c:tx>
            <c:strRef>
              <c:f>'SSC - Turbidity '!$D$3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9012790067908178E-2"/>
                  <c:y val="-0.1714711673154534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'SSC - Turbidity '!$D$4:$D$10</c:f>
              <c:numCache>
                <c:formatCode>0.00000</c:formatCode>
                <c:ptCount val="7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6">
                  <c:v>-0.57708462423306806</c:v>
                </c:pt>
              </c:numCache>
            </c:numRef>
          </c:xVal>
          <c:yVal>
            <c:numRef>
              <c:f>'SSC - Turbidity '!$I$4:$I$10</c:f>
              <c:numCache>
                <c:formatCode>0.00000</c:formatCode>
                <c:ptCount val="7"/>
                <c:pt idx="0">
                  <c:v>0.26654667808256899</c:v>
                </c:pt>
                <c:pt idx="1">
                  <c:v>0.541500872594741</c:v>
                </c:pt>
                <c:pt idx="2">
                  <c:v>0.92674759673055396</c:v>
                </c:pt>
                <c:pt idx="3">
                  <c:v>0.156816283020727</c:v>
                </c:pt>
                <c:pt idx="4">
                  <c:v>0.25880560171696498</c:v>
                </c:pt>
                <c:pt idx="5">
                  <c:v>0.52921681534296305</c:v>
                </c:pt>
                <c:pt idx="6">
                  <c:v>0.401331670241585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F-419F-90AF-03E9982671F9}"/>
            </c:ext>
          </c:extLst>
        </c:ser>
        <c:ser>
          <c:idx val="2"/>
          <c:order val="2"/>
          <c:tx>
            <c:strRef>
              <c:f>'SSC - Turbidity '!$E$3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97300337457817E-3"/>
                  <c:y val="-0.378543202634813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'SSC - Turbidity '!$E$4:$E$10</c:f>
              <c:numCache>
                <c:formatCode>0.00000</c:formatCode>
                <c:ptCount val="7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6">
                  <c:v>-7.8588218215967606E-2</c:v>
                </c:pt>
              </c:numCache>
            </c:numRef>
          </c:xVal>
          <c:yVal>
            <c:numRef>
              <c:f>'SSC - Turbidity '!$J$4:$J$10</c:f>
              <c:numCache>
                <c:formatCode>0.00000</c:formatCode>
                <c:ptCount val="7"/>
                <c:pt idx="0">
                  <c:v>0.57681691180727601</c:v>
                </c:pt>
                <c:pt idx="1">
                  <c:v>0.54443871754473905</c:v>
                </c:pt>
                <c:pt idx="2">
                  <c:v>0.13984116014494999</c:v>
                </c:pt>
                <c:pt idx="3">
                  <c:v>8.9326261366187695E-2</c:v>
                </c:pt>
                <c:pt idx="4">
                  <c:v>4.6283799610675601E-2</c:v>
                </c:pt>
                <c:pt idx="5">
                  <c:v>3.0850994672477702E-2</c:v>
                </c:pt>
                <c:pt idx="6">
                  <c:v>6.7271555006068101E-2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9F-419F-90AF-03E998267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81823"/>
        <c:axId val="1738693935"/>
      </c:scatterChart>
      <c:valAx>
        <c:axId val="203008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93935"/>
        <c:crosses val="autoZero"/>
        <c:crossBetween val="midCat"/>
      </c:valAx>
      <c:valAx>
        <c:axId val="173869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8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 SSC HI to Turbidity HI  </a:t>
            </a:r>
          </a:p>
        </c:rich>
      </c:tx>
      <c:layout>
        <c:manualLayout>
          <c:xMode val="edge"/>
          <c:yMode val="edge"/>
          <c:x val="0.13638095238095238"/>
          <c:y val="4.8096202503948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'SSC - Turbidity '!$C$3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146544181977253"/>
                  <c:y val="-3.679133858267712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'SSC - Turbidity '!$C$11:$C$29</c:f>
              <c:numCache>
                <c:formatCode>0.0000</c:formatCode>
                <c:ptCount val="19"/>
                <c:pt idx="0">
                  <c:v>1.86943505833322</c:v>
                </c:pt>
                <c:pt idx="1">
                  <c:v>1.3545954270153699</c:v>
                </c:pt>
                <c:pt idx="2">
                  <c:v>1.31746197777344</c:v>
                </c:pt>
                <c:pt idx="3">
                  <c:v>0.89735303995633098</c:v>
                </c:pt>
                <c:pt idx="4">
                  <c:v>1.39880081037808</c:v>
                </c:pt>
                <c:pt idx="5">
                  <c:v>1.2210038373368299</c:v>
                </c:pt>
                <c:pt idx="6">
                  <c:v>1.5249018262283101</c:v>
                </c:pt>
                <c:pt idx="7">
                  <c:v>1.36678278361715</c:v>
                </c:pt>
                <c:pt idx="8">
                  <c:v>1.8695993339197901</c:v>
                </c:pt>
                <c:pt idx="9">
                  <c:v>1.21795864622288</c:v>
                </c:pt>
                <c:pt idx="10">
                  <c:v>1.0299659938988901</c:v>
                </c:pt>
                <c:pt idx="11">
                  <c:v>1.1534447144942801</c:v>
                </c:pt>
                <c:pt idx="12">
                  <c:v>1.6625275928143599</c:v>
                </c:pt>
                <c:pt idx="13">
                  <c:v>0.83858009935182098</c:v>
                </c:pt>
                <c:pt idx="14">
                  <c:v>2.31938512736013</c:v>
                </c:pt>
                <c:pt idx="15">
                  <c:v>1.66955637894203</c:v>
                </c:pt>
                <c:pt idx="16">
                  <c:v>0.90805045415642205</c:v>
                </c:pt>
                <c:pt idx="17">
                  <c:v>1.0862889042163599</c:v>
                </c:pt>
                <c:pt idx="18">
                  <c:v>0.39254775269290398</c:v>
                </c:pt>
              </c:numCache>
            </c:numRef>
          </c:xVal>
          <c:yVal>
            <c:numRef>
              <c:f>'SSC - Turbidity '!$H$11:$H$29</c:f>
              <c:numCache>
                <c:formatCode>0.0000</c:formatCode>
                <c:ptCount val="19"/>
                <c:pt idx="1">
                  <c:v>1.39679058575205</c:v>
                </c:pt>
                <c:pt idx="2">
                  <c:v>1.2576523908335999</c:v>
                </c:pt>
                <c:pt idx="3">
                  <c:v>1.24807759229999</c:v>
                </c:pt>
                <c:pt idx="4">
                  <c:v>1.42877693896201</c:v>
                </c:pt>
                <c:pt idx="5">
                  <c:v>1.33941755807892</c:v>
                </c:pt>
                <c:pt idx="6">
                  <c:v>1.3769164984553499</c:v>
                </c:pt>
                <c:pt idx="7">
                  <c:v>1.5749763159783401</c:v>
                </c:pt>
                <c:pt idx="8">
                  <c:v>1.05849048577709</c:v>
                </c:pt>
                <c:pt idx="9">
                  <c:v>1.4368219825375701</c:v>
                </c:pt>
                <c:pt idx="10">
                  <c:v>1.1632876834321</c:v>
                </c:pt>
                <c:pt idx="11">
                  <c:v>1.2283054504143001</c:v>
                </c:pt>
                <c:pt idx="12">
                  <c:v>1.2985932043400299</c:v>
                </c:pt>
                <c:pt idx="13">
                  <c:v>1.25880991704892</c:v>
                </c:pt>
                <c:pt idx="14">
                  <c:v>1.2914529576795399</c:v>
                </c:pt>
                <c:pt idx="15">
                  <c:v>1.2886907903199001</c:v>
                </c:pt>
                <c:pt idx="16">
                  <c:v>1.15490049713987</c:v>
                </c:pt>
                <c:pt idx="17">
                  <c:v>1.6223687074200499</c:v>
                </c:pt>
                <c:pt idx="18">
                  <c:v>1.4572146309152101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15-4953-9F5C-AF57A8B15178}"/>
            </c:ext>
          </c:extLst>
        </c:ser>
        <c:ser>
          <c:idx val="1"/>
          <c:order val="1"/>
          <c:tx>
            <c:strRef>
              <c:f>'SSC - Turbidity '!$D$3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9012790067908178E-2"/>
                  <c:y val="-0.1714711673154534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'SSC - Turbidity '!$D$11:$D$29</c:f>
              <c:numCache>
                <c:formatCode>0.0000</c:formatCode>
                <c:ptCount val="19"/>
                <c:pt idx="0">
                  <c:v>1.9314296164550899</c:v>
                </c:pt>
                <c:pt idx="1">
                  <c:v>1.0089470650494099</c:v>
                </c:pt>
                <c:pt idx="2">
                  <c:v>0.66698565105034602</c:v>
                </c:pt>
                <c:pt idx="3">
                  <c:v>0.19762137224995299</c:v>
                </c:pt>
                <c:pt idx="4">
                  <c:v>0.54807771119966198</c:v>
                </c:pt>
                <c:pt idx="5">
                  <c:v>0.10106112243990099</c:v>
                </c:pt>
                <c:pt idx="6">
                  <c:v>0.50902572287082404</c:v>
                </c:pt>
                <c:pt idx="7">
                  <c:v>0.463447965306029</c:v>
                </c:pt>
                <c:pt idx="8">
                  <c:v>0.44896728093636801</c:v>
                </c:pt>
                <c:pt idx="9">
                  <c:v>1.5264059910121399</c:v>
                </c:pt>
                <c:pt idx="10">
                  <c:v>0.71671353985517805</c:v>
                </c:pt>
                <c:pt idx="11">
                  <c:v>0.678678630991426</c:v>
                </c:pt>
                <c:pt idx="12">
                  <c:v>0.81343884511072295</c:v>
                </c:pt>
                <c:pt idx="13">
                  <c:v>-1.07855599689062</c:v>
                </c:pt>
                <c:pt idx="14">
                  <c:v>1.34776836410395</c:v>
                </c:pt>
                <c:pt idx="15">
                  <c:v>0.55456789410428697</c:v>
                </c:pt>
                <c:pt idx="16">
                  <c:v>-0.373253605455523</c:v>
                </c:pt>
                <c:pt idx="17">
                  <c:v>0.63056904760694898</c:v>
                </c:pt>
                <c:pt idx="18">
                  <c:v>-0.623899602892661</c:v>
                </c:pt>
              </c:numCache>
            </c:numRef>
          </c:xVal>
          <c:yVal>
            <c:numRef>
              <c:f>'SSC - Turbidity '!$I$11:$I$29</c:f>
              <c:numCache>
                <c:formatCode>0.0000</c:formatCode>
                <c:ptCount val="19"/>
                <c:pt idx="0">
                  <c:v>0.178366367675658</c:v>
                </c:pt>
                <c:pt idx="1">
                  <c:v>0.88641107886014003</c:v>
                </c:pt>
                <c:pt idx="2">
                  <c:v>0.77855192606860901</c:v>
                </c:pt>
                <c:pt idx="3">
                  <c:v>0.55577143716833499</c:v>
                </c:pt>
                <c:pt idx="4">
                  <c:v>0.33551375674123601</c:v>
                </c:pt>
                <c:pt idx="5">
                  <c:v>0.63731372986403501</c:v>
                </c:pt>
                <c:pt idx="6">
                  <c:v>-0.44248745305980902</c:v>
                </c:pt>
                <c:pt idx="7">
                  <c:v>0.78100360785877099</c:v>
                </c:pt>
                <c:pt idx="8">
                  <c:v>-0.73582121336391904</c:v>
                </c:pt>
                <c:pt idx="9">
                  <c:v>0.96854380596042999</c:v>
                </c:pt>
                <c:pt idx="10">
                  <c:v>0.91285830032378401</c:v>
                </c:pt>
                <c:pt idx="11">
                  <c:v>0.33582626900186402</c:v>
                </c:pt>
                <c:pt idx="12">
                  <c:v>0.52794332050181203</c:v>
                </c:pt>
                <c:pt idx="13">
                  <c:v>0.94081849763111403</c:v>
                </c:pt>
                <c:pt idx="14">
                  <c:v>0.445945938664987</c:v>
                </c:pt>
                <c:pt idx="15">
                  <c:v>-0.136935986249347</c:v>
                </c:pt>
                <c:pt idx="16">
                  <c:v>0.47813963463856402</c:v>
                </c:pt>
                <c:pt idx="17">
                  <c:v>0.74242380847501299</c:v>
                </c:pt>
                <c:pt idx="18">
                  <c:v>0.80433038241724497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15-4953-9F5C-AF57A8B15178}"/>
            </c:ext>
          </c:extLst>
        </c:ser>
        <c:ser>
          <c:idx val="2"/>
          <c:order val="2"/>
          <c:tx>
            <c:strRef>
              <c:f>'SSC - Turbidity '!$E$3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3723897720332128E-2"/>
                  <c:y val="9.2273310555144747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'SSC - Turbidity '!$E$11:$E$29</c:f>
              <c:numCache>
                <c:formatCode>0.0000</c:formatCode>
                <c:ptCount val="19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2.0373962034653699E-2</c:v>
                </c:pt>
                <c:pt idx="8">
                  <c:v>2.4947102971666898E-2</c:v>
                </c:pt>
                <c:pt idx="9">
                  <c:v>9.6293174744729593E-3</c:v>
                </c:pt>
                <c:pt idx="10">
                  <c:v>0.14608753400636901</c:v>
                </c:pt>
                <c:pt idx="11">
                  <c:v>1.27691539373017E-2</c:v>
                </c:pt>
                <c:pt idx="12">
                  <c:v>6.7576112725014403E-2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xVal>
          <c:yVal>
            <c:numRef>
              <c:f>'SSC - Turbidity '!$J$11:$J$29</c:f>
              <c:numCache>
                <c:formatCode>0.0000</c:formatCode>
                <c:ptCount val="19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0.101236914763633</c:v>
                </c:pt>
                <c:pt idx="8">
                  <c:v>8.4573685986466099E-2</c:v>
                </c:pt>
                <c:pt idx="9">
                  <c:v>0.198594884621278</c:v>
                </c:pt>
                <c:pt idx="10">
                  <c:v>6.8212961854365706E-2</c:v>
                </c:pt>
                <c:pt idx="11">
                  <c:v>0.39411883766970102</c:v>
                </c:pt>
                <c:pt idx="12">
                  <c:v>9.0698601563059603E-2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15-4953-9F5C-AF57A8B15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81823"/>
        <c:axId val="1738693935"/>
      </c:scatterChart>
      <c:valAx>
        <c:axId val="203008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93935"/>
        <c:crosses val="autoZero"/>
        <c:crossBetween val="midCat"/>
      </c:valAx>
      <c:valAx>
        <c:axId val="173869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8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213633</xdr:colOff>
      <xdr:row>21</xdr:row>
      <xdr:rowOff>38779</xdr:rowOff>
    </xdr:from>
    <xdr:to>
      <xdr:col>13</xdr:col>
      <xdr:colOff>477611</xdr:colOff>
      <xdr:row>35</xdr:row>
      <xdr:rowOff>132669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C5A4E-6BA1-1B19-D8C6-C4B41177B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490537</xdr:colOff>
      <xdr:row>21</xdr:row>
      <xdr:rowOff>52387</xdr:rowOff>
    </xdr:from>
    <xdr:to>
      <xdr:col>7</xdr:col>
      <xdr:colOff>0</xdr:colOff>
      <xdr:row>35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F5BA9A-42EF-B7C5-6C0D-CA048EFBB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1</xdr:row>
      <xdr:rowOff>123824</xdr:rowOff>
    </xdr:from>
    <xdr:to>
      <xdr:col>14</xdr:col>
      <xdr:colOff>438150</xdr:colOff>
      <xdr:row>14</xdr:row>
      <xdr:rowOff>23811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4854B-2009-B927-5BC6-5A9341DAE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438151</xdr:colOff>
      <xdr:row>14</xdr:row>
      <xdr:rowOff>95250</xdr:rowOff>
    </xdr:from>
    <xdr:to>
      <xdr:col>14</xdr:col>
      <xdr:colOff>504826</xdr:colOff>
      <xdr:row>26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920D4F-927D-42B7-9854-256F1CED8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D224-7274-4735-BBE2-BB79D8865705}">
  <dimension ref="A1:AB33"/>
  <sheetViews>
    <sheetView tabSelected="1" zoomScale="115" zoomScaleNormal="115" workbookViewId="0">
      <selection activeCell="P4" sqref="P4:P9"/>
    </sheetView>
  </sheetViews>
  <sheetFormatPr defaultRowHeight="15" x14ac:dyDescent="0.25"/>
  <cols>
    <col min="2" max="2" width="12.7109375" customWidth="1"/>
    <col min="17" max="17" width="8.42578125" customWidth="1"/>
    <col min="18" max="18" width="14.42578125" customWidth="1"/>
    <col min="20" max="20" width="17" customWidth="1"/>
    <col min="25" max="25" width="14.85546875" customWidth="1"/>
  </cols>
  <sheetData>
    <row r="1" spans="1:28" ht="15.75" thickBot="1" x14ac:dyDescent="0.3">
      <c r="B1" t="s">
        <v>62</v>
      </c>
    </row>
    <row r="2" spans="1:28" x14ac:dyDescent="0.25">
      <c r="B2" s="23" t="s">
        <v>59</v>
      </c>
      <c r="C2" s="26" t="s">
        <v>53</v>
      </c>
      <c r="D2" s="27"/>
      <c r="E2" s="28"/>
      <c r="F2" s="26" t="s">
        <v>55</v>
      </c>
      <c r="G2" s="27"/>
      <c r="H2" s="41"/>
      <c r="I2" s="26" t="s">
        <v>60</v>
      </c>
      <c r="J2" s="27"/>
      <c r="K2" s="41"/>
      <c r="L2" s="26" t="s">
        <v>61</v>
      </c>
      <c r="M2" s="27"/>
      <c r="N2" s="28"/>
      <c r="Q2" s="26" t="s">
        <v>54</v>
      </c>
      <c r="R2" s="27"/>
      <c r="S2" s="28"/>
      <c r="T2" s="42" t="s">
        <v>57</v>
      </c>
      <c r="U2" s="27"/>
      <c r="V2" s="28"/>
      <c r="W2" s="42" t="s">
        <v>56</v>
      </c>
      <c r="X2" s="27"/>
      <c r="Y2" s="28"/>
      <c r="Z2" s="42" t="s">
        <v>58</v>
      </c>
      <c r="AA2" s="27"/>
      <c r="AB2" s="28"/>
    </row>
    <row r="3" spans="1:28" x14ac:dyDescent="0.25">
      <c r="B3" s="23" t="s">
        <v>46</v>
      </c>
      <c r="C3" s="45" t="s">
        <v>43</v>
      </c>
      <c r="D3" s="21" t="s">
        <v>44</v>
      </c>
      <c r="E3" s="30" t="s">
        <v>45</v>
      </c>
      <c r="F3" s="29" t="s">
        <v>43</v>
      </c>
      <c r="G3" s="21" t="s">
        <v>44</v>
      </c>
      <c r="H3" s="23" t="s">
        <v>45</v>
      </c>
      <c r="I3" s="45" t="s">
        <v>43</v>
      </c>
      <c r="J3" s="21" t="s">
        <v>44</v>
      </c>
      <c r="K3" s="23" t="s">
        <v>45</v>
      </c>
      <c r="L3" s="45" t="s">
        <v>43</v>
      </c>
      <c r="M3" s="21" t="s">
        <v>44</v>
      </c>
      <c r="N3" s="30" t="s">
        <v>45</v>
      </c>
      <c r="P3" s="23" t="s">
        <v>46</v>
      </c>
      <c r="Q3" s="45" t="s">
        <v>43</v>
      </c>
      <c r="R3" s="21" t="s">
        <v>44</v>
      </c>
      <c r="S3" s="30" t="s">
        <v>45</v>
      </c>
      <c r="T3" s="24" t="s">
        <v>43</v>
      </c>
      <c r="U3" s="21" t="s">
        <v>44</v>
      </c>
      <c r="V3" s="30" t="s">
        <v>45</v>
      </c>
      <c r="W3" s="24" t="s">
        <v>43</v>
      </c>
      <c r="X3" s="21" t="s">
        <v>44</v>
      </c>
      <c r="Y3" s="30" t="s">
        <v>45</v>
      </c>
      <c r="Z3" s="24" t="s">
        <v>43</v>
      </c>
      <c r="AA3" s="21" t="s">
        <v>44</v>
      </c>
      <c r="AB3" s="30" t="s">
        <v>45</v>
      </c>
    </row>
    <row r="4" spans="1:28" x14ac:dyDescent="0.25">
      <c r="B4" s="23" t="s">
        <v>47</v>
      </c>
      <c r="C4" s="43">
        <v>0.78479742735639801</v>
      </c>
      <c r="D4" s="22">
        <v>0.70362334277140404</v>
      </c>
      <c r="E4" s="31">
        <v>8.1174084584993894E-2</v>
      </c>
      <c r="F4" s="46">
        <v>-0.69015600278604705</v>
      </c>
      <c r="G4" s="22">
        <v>-0.62535269101711499</v>
      </c>
      <c r="H4" s="34">
        <v>-6.4803311768931199E-2</v>
      </c>
      <c r="I4" s="43">
        <v>0.57681691180727601</v>
      </c>
      <c r="J4" s="22">
        <v>0.46622115335576803</v>
      </c>
      <c r="K4" s="34">
        <v>0.110595758451508</v>
      </c>
      <c r="L4" s="46">
        <v>-0.62489073949006502</v>
      </c>
      <c r="M4" s="22">
        <v>-0.150232081100411</v>
      </c>
      <c r="N4" s="31">
        <v>-0.47465865838965399</v>
      </c>
      <c r="P4" s="23" t="s">
        <v>47</v>
      </c>
      <c r="Q4" s="43">
        <v>0.735611704001494</v>
      </c>
      <c r="R4" s="22">
        <v>0.69646761676225899</v>
      </c>
      <c r="S4" s="31">
        <v>3.9144087239235598E-2</v>
      </c>
      <c r="T4" s="50">
        <v>0.45797375947830898</v>
      </c>
      <c r="U4" s="22">
        <v>0.37039120056534902</v>
      </c>
      <c r="V4" s="31">
        <v>8.7582558912959393E-2</v>
      </c>
      <c r="W4" s="48">
        <v>-4.4193639828931201E-2</v>
      </c>
      <c r="X4" s="22">
        <v>-6.3205098425588996E-2</v>
      </c>
      <c r="Y4" s="31">
        <v>1.9011458596657801E-2</v>
      </c>
      <c r="Z4" s="50">
        <v>0.37069968925848601</v>
      </c>
      <c r="AA4" s="22">
        <v>0.33347773016015803</v>
      </c>
      <c r="AB4" s="31">
        <v>3.7221959098327602E-2</v>
      </c>
    </row>
    <row r="5" spans="1:28" x14ac:dyDescent="0.25">
      <c r="B5" s="23" t="s">
        <v>48</v>
      </c>
      <c r="C5" s="43">
        <v>0.17369777575697301</v>
      </c>
      <c r="D5" s="22">
        <v>0.15689425896952999</v>
      </c>
      <c r="E5" s="31">
        <v>1.6803516787443101E-2</v>
      </c>
      <c r="F5" s="43">
        <v>1.7836570943256701E-2</v>
      </c>
      <c r="G5" s="22">
        <v>7.3849978099684202E-2</v>
      </c>
      <c r="H5" s="34">
        <v>-5.60134071564274E-2</v>
      </c>
      <c r="I5" s="43">
        <v>0.13233171245622599</v>
      </c>
      <c r="J5" s="22">
        <v>0.21566765129718499</v>
      </c>
      <c r="K5" s="34">
        <v>-8.3335938840959495E-2</v>
      </c>
      <c r="L5" s="46">
        <v>-0.64117535564386996</v>
      </c>
      <c r="M5" s="22">
        <v>-0.57016699616469202</v>
      </c>
      <c r="N5" s="31">
        <v>-7.1008359479177996E-2</v>
      </c>
      <c r="P5" s="23" t="s">
        <v>48</v>
      </c>
      <c r="Q5" s="43">
        <v>0.199680501000808</v>
      </c>
      <c r="R5" s="22">
        <v>0.16274944235821701</v>
      </c>
      <c r="S5" s="31">
        <v>3.6931058642590602E-2</v>
      </c>
      <c r="T5" s="50">
        <v>0.14905336293267299</v>
      </c>
      <c r="U5" s="22">
        <v>0.13280569924708099</v>
      </c>
      <c r="V5" s="31">
        <v>1.6247663685591999E-2</v>
      </c>
      <c r="W5" s="50">
        <v>6.6875193364792196E-2</v>
      </c>
      <c r="X5" s="22">
        <v>7.4483108383515004E-2</v>
      </c>
      <c r="Y5" s="31">
        <v>-7.6079150187227298E-3</v>
      </c>
      <c r="Z5" s="50">
        <v>0.10077650528672399</v>
      </c>
      <c r="AA5" s="22">
        <v>0.115517525518831</v>
      </c>
      <c r="AB5" s="31">
        <v>-1.47410202321074E-2</v>
      </c>
    </row>
    <row r="6" spans="1:28" x14ac:dyDescent="0.25">
      <c r="B6" s="23" t="s">
        <v>49</v>
      </c>
      <c r="C6" s="43">
        <v>9.9143945152060597E-2</v>
      </c>
      <c r="D6" s="22">
        <v>6.6581899186216403E-2</v>
      </c>
      <c r="E6" s="31">
        <v>3.2562045965844201E-2</v>
      </c>
      <c r="F6" s="46">
        <v>-0.54160608613664096</v>
      </c>
      <c r="G6" s="22">
        <v>-0.48071854313835499</v>
      </c>
      <c r="H6" s="34">
        <v>-6.0887542998285603E-2</v>
      </c>
      <c r="I6" s="43">
        <v>8.9326261366187695E-2</v>
      </c>
      <c r="J6" s="22">
        <v>3.99515326400596E-2</v>
      </c>
      <c r="K6" s="34">
        <v>4.9374728726128102E-2</v>
      </c>
      <c r="L6" s="46">
        <v>-0.511670862423525</v>
      </c>
      <c r="M6" s="22">
        <v>-0.429115164593801</v>
      </c>
      <c r="N6" s="31">
        <v>-8.2555697829723301E-2</v>
      </c>
      <c r="P6" s="23" t="s">
        <v>49</v>
      </c>
      <c r="Q6" s="43">
        <v>0.12535086320927399</v>
      </c>
      <c r="R6" s="22">
        <v>5.74900289420502E-2</v>
      </c>
      <c r="S6" s="31">
        <v>6.7860834267224501E-2</v>
      </c>
      <c r="T6" s="48">
        <v>-1.08380665362574E-2</v>
      </c>
      <c r="U6" s="22">
        <v>-4.0397841472139699E-2</v>
      </c>
      <c r="V6" s="31">
        <v>2.9559774935882299E-2</v>
      </c>
      <c r="W6" s="48">
        <v>-8.6669485065099E-2</v>
      </c>
      <c r="X6" s="22">
        <v>-9.6275824598921797E-2</v>
      </c>
      <c r="Y6" s="31">
        <v>9.6063395338228802E-3</v>
      </c>
      <c r="Z6" s="50">
        <v>6.3493902184217604E-2</v>
      </c>
      <c r="AA6" s="22">
        <v>2.97169838450441E-2</v>
      </c>
      <c r="AB6" s="31">
        <v>3.3776918339173401E-2</v>
      </c>
    </row>
    <row r="7" spans="1:28" x14ac:dyDescent="0.25">
      <c r="B7" s="23" t="s">
        <v>50</v>
      </c>
      <c r="C7" s="43">
        <v>0.21234239309632399</v>
      </c>
      <c r="D7" s="22">
        <v>0.296918924826297</v>
      </c>
      <c r="E7" s="31">
        <v>-8.4576531729973606E-2</v>
      </c>
      <c r="F7" s="46">
        <v>-0.17637365181995501</v>
      </c>
      <c r="G7" s="22">
        <v>-0.201204396110124</v>
      </c>
      <c r="H7" s="34">
        <v>2.4830744290168998E-2</v>
      </c>
      <c r="I7" s="43">
        <v>4.6283799610675601E-2</v>
      </c>
      <c r="J7" s="22">
        <v>9.8947685932445406E-2</v>
      </c>
      <c r="K7" s="34">
        <v>-5.2663886321769798E-2</v>
      </c>
      <c r="L7" s="46">
        <v>-0.22155858359451899</v>
      </c>
      <c r="M7" s="22">
        <v>7.9190642894289398E-2</v>
      </c>
      <c r="N7" s="31">
        <v>-0.30074922648880797</v>
      </c>
      <c r="P7" s="23" t="s">
        <v>50</v>
      </c>
      <c r="Q7" s="43">
        <v>0.42964915677977999</v>
      </c>
      <c r="R7" s="22">
        <v>0.39478228720937197</v>
      </c>
      <c r="S7" s="31">
        <v>3.4866869570408E-2</v>
      </c>
      <c r="T7" s="57"/>
      <c r="U7" s="37"/>
      <c r="V7" s="38"/>
      <c r="W7" s="50">
        <v>3.59517217205262E-2</v>
      </c>
      <c r="X7" s="22">
        <v>4.8333794755950399E-2</v>
      </c>
      <c r="Y7" s="31">
        <v>-1.23820730354241E-2</v>
      </c>
      <c r="Z7" s="25"/>
      <c r="AA7" s="22"/>
      <c r="AB7" s="31"/>
    </row>
    <row r="8" spans="1:28" x14ac:dyDescent="0.25">
      <c r="B8" s="23" t="s">
        <v>51</v>
      </c>
      <c r="C8" s="43">
        <v>0.36516163611226798</v>
      </c>
      <c r="D8" s="22">
        <v>0.28872709507702199</v>
      </c>
      <c r="E8" s="31">
        <v>7.6434541035245399E-2</v>
      </c>
      <c r="F8" s="43">
        <v>0.39449354239977702</v>
      </c>
      <c r="G8" s="22">
        <v>0.37634771546754597</v>
      </c>
      <c r="H8" s="34">
        <v>1.8145826932230699E-2</v>
      </c>
      <c r="I8" s="43">
        <v>0.164262280281398</v>
      </c>
      <c r="J8" s="22">
        <v>0.198038148241589</v>
      </c>
      <c r="K8" s="34">
        <v>-3.37758679601909E-2</v>
      </c>
      <c r="L8" s="43">
        <v>9.6450074853088597E-2</v>
      </c>
      <c r="M8" s="22">
        <v>0.128353231708594</v>
      </c>
      <c r="N8" s="31">
        <v>-3.1903156855505599E-2</v>
      </c>
      <c r="P8" s="23" t="s">
        <v>51</v>
      </c>
      <c r="Q8" s="43">
        <v>4.3375577562074601E-2</v>
      </c>
      <c r="R8" s="22">
        <v>4.3375577562074399E-2</v>
      </c>
      <c r="S8" s="31">
        <v>1.6332722649176301E-16</v>
      </c>
      <c r="T8" s="57"/>
      <c r="U8" s="37"/>
      <c r="V8" s="38"/>
      <c r="W8" s="50">
        <v>0.155085326236896</v>
      </c>
      <c r="X8" s="22">
        <v>0.41456430567006802</v>
      </c>
      <c r="Y8" s="31">
        <v>-0.259478979433171</v>
      </c>
      <c r="Z8" s="25"/>
      <c r="AA8" s="22"/>
      <c r="AB8" s="31"/>
    </row>
    <row r="9" spans="1:28" ht="15.75" thickBot="1" x14ac:dyDescent="0.3">
      <c r="B9" s="51" t="s">
        <v>52</v>
      </c>
      <c r="C9" s="52">
        <v>4.1333778886518201E-2</v>
      </c>
      <c r="D9" s="53">
        <v>4.1365977031752599E-3</v>
      </c>
      <c r="E9" s="54">
        <v>3.7197181183342899E-2</v>
      </c>
      <c r="F9" s="55">
        <v>-0.17371472956907899</v>
      </c>
      <c r="G9" s="53">
        <v>-0.19619634597505001</v>
      </c>
      <c r="H9" s="56">
        <v>2.24816164059711E-2</v>
      </c>
      <c r="I9" s="55">
        <v>-4.45444212598241E-2</v>
      </c>
      <c r="J9" s="53">
        <v>5.30727244505E-2</v>
      </c>
      <c r="K9" s="56">
        <v>-9.7617145710324205E-2</v>
      </c>
      <c r="L9" s="55">
        <v>-0.24313716774511701</v>
      </c>
      <c r="M9" s="53">
        <v>-0.15475673171724699</v>
      </c>
      <c r="N9" s="54">
        <v>-8.8380436027870005E-2</v>
      </c>
      <c r="P9" s="23" t="s">
        <v>52</v>
      </c>
      <c r="Q9" s="44">
        <v>4.5262412029273197E-2</v>
      </c>
      <c r="R9" s="32">
        <v>5.4155752333750098E-2</v>
      </c>
      <c r="S9" s="33">
        <v>-8.8933403044769502E-3</v>
      </c>
      <c r="T9" s="58"/>
      <c r="U9" s="39"/>
      <c r="V9" s="40"/>
      <c r="W9" s="49">
        <v>-0.49269779802698299</v>
      </c>
      <c r="X9" s="32">
        <v>-0.22452001643226499</v>
      </c>
      <c r="Y9" s="33">
        <v>-0.268177781594718</v>
      </c>
      <c r="Z9" s="36"/>
      <c r="AA9" s="32"/>
      <c r="AB9" s="33"/>
    </row>
    <row r="10" spans="1:28" x14ac:dyDescent="0.25">
      <c r="A10">
        <v>1</v>
      </c>
      <c r="B10" s="23" t="s">
        <v>63</v>
      </c>
      <c r="C10" s="43">
        <v>9.4513218106104094E-2</v>
      </c>
      <c r="D10" s="22">
        <v>8.7712025060473403E-2</v>
      </c>
      <c r="E10" s="31">
        <v>6.8011930456306499E-3</v>
      </c>
      <c r="F10" s="43">
        <v>3.4332675043980999E-2</v>
      </c>
      <c r="G10" s="22">
        <v>5.8887610419738098E-2</v>
      </c>
      <c r="H10" s="34">
        <v>-2.4554935375756998E-2</v>
      </c>
      <c r="I10" s="67">
        <v>5.1856335362832198E-2</v>
      </c>
      <c r="J10" s="59">
        <v>2.0423537450667899E-16</v>
      </c>
      <c r="K10" s="65">
        <v>5.1856335362831997E-2</v>
      </c>
      <c r="L10" s="67">
        <v>1.3430417175947699E-2</v>
      </c>
      <c r="M10" s="59">
        <v>2.1489651185547499E-16</v>
      </c>
      <c r="N10" s="60">
        <v>1.34304171759475E-2</v>
      </c>
      <c r="T10" s="19"/>
      <c r="U10" s="19"/>
      <c r="V10" s="19"/>
      <c r="W10" s="19"/>
    </row>
    <row r="11" spans="1:28" x14ac:dyDescent="0.25">
      <c r="A11">
        <v>2</v>
      </c>
      <c r="B11" s="23" t="s">
        <v>64</v>
      </c>
      <c r="C11" s="43">
        <v>4.2663094228711902E-2</v>
      </c>
      <c r="D11" s="22">
        <v>3.7485481862699399E-2</v>
      </c>
      <c r="E11" s="31">
        <v>5.1776123660124398E-3</v>
      </c>
      <c r="F11" s="43">
        <v>2.8668980226143202E-2</v>
      </c>
      <c r="G11" s="22">
        <v>3.7753099339109197E-2</v>
      </c>
      <c r="H11" s="34">
        <v>-9.0841191129659698E-3</v>
      </c>
      <c r="I11" s="67">
        <v>0.103368750113241</v>
      </c>
      <c r="J11" s="59">
        <v>6.9658615157810203E-2</v>
      </c>
      <c r="K11" s="65">
        <v>3.3710134955431098E-2</v>
      </c>
      <c r="L11" s="69">
        <v>-1.61778645652975E-2</v>
      </c>
      <c r="M11" s="59">
        <v>-3.8003477513916299E-2</v>
      </c>
      <c r="N11" s="60">
        <v>2.1825612948618799E-2</v>
      </c>
    </row>
    <row r="12" spans="1:28" x14ac:dyDescent="0.25">
      <c r="A12">
        <v>6</v>
      </c>
      <c r="B12" s="23" t="s">
        <v>65</v>
      </c>
      <c r="C12" s="43">
        <v>8.8732929175135894E-2</v>
      </c>
      <c r="D12" s="22">
        <v>0.103305632900852</v>
      </c>
      <c r="E12" s="31">
        <v>-1.4572703725716901E-2</v>
      </c>
      <c r="F12" s="43">
        <v>1.20306787922476E-2</v>
      </c>
      <c r="G12" s="22">
        <v>1.1397484018407599E-2</v>
      </c>
      <c r="H12" s="34">
        <v>6.3319477383991295E-4</v>
      </c>
      <c r="I12" s="67">
        <v>0.15621819275209001</v>
      </c>
      <c r="J12" s="59">
        <v>9.0213507091575995E-2</v>
      </c>
      <c r="K12" s="65">
        <v>6.6004685660513998E-2</v>
      </c>
      <c r="L12" s="67">
        <v>2.95836818188689E-2</v>
      </c>
      <c r="M12" s="59">
        <v>1.7189262626372999E-2</v>
      </c>
      <c r="N12" s="60">
        <v>1.2394419192495801E-2</v>
      </c>
    </row>
    <row r="13" spans="1:28" x14ac:dyDescent="0.25">
      <c r="A13">
        <v>7</v>
      </c>
      <c r="B13" s="23" t="s">
        <v>66</v>
      </c>
      <c r="C13" s="46">
        <v>-1.9463558010346702E-2</v>
      </c>
      <c r="D13" s="22">
        <v>7.55871132982361E-2</v>
      </c>
      <c r="E13" s="31">
        <v>-9.5050671308582801E-2</v>
      </c>
      <c r="F13" s="43">
        <v>2.7386597361713599E-2</v>
      </c>
      <c r="G13" s="22">
        <v>4.9178342388593199E-2</v>
      </c>
      <c r="H13" s="34">
        <v>-2.17917450268795E-2</v>
      </c>
      <c r="I13" s="67">
        <v>0.15071577677020101</v>
      </c>
      <c r="J13" s="59">
        <v>7.6140386526944506E-2</v>
      </c>
      <c r="K13" s="65">
        <v>7.4575390243256504E-2</v>
      </c>
      <c r="L13" s="69">
        <v>-5.4892758010415703E-2</v>
      </c>
      <c r="M13" s="59">
        <v>-3.1613025723716201E-2</v>
      </c>
      <c r="N13" s="60">
        <v>-2.3279732286699498E-2</v>
      </c>
    </row>
    <row r="14" spans="1:28" x14ac:dyDescent="0.25">
      <c r="A14">
        <v>8</v>
      </c>
      <c r="B14" s="23" t="s">
        <v>67</v>
      </c>
      <c r="C14" s="43">
        <v>0.10415722716452799</v>
      </c>
      <c r="D14" s="22">
        <v>3.9550625241660302E-2</v>
      </c>
      <c r="E14" s="31">
        <v>6.4606601922867601E-2</v>
      </c>
      <c r="F14" s="43">
        <v>2.8615745110634201E-2</v>
      </c>
      <c r="G14" s="22">
        <v>1.5655706339127499E-2</v>
      </c>
      <c r="H14" s="34">
        <v>1.29600387715066E-2</v>
      </c>
      <c r="I14" s="67">
        <v>5.5397551503622099E-2</v>
      </c>
      <c r="J14" s="59">
        <v>3.4974445332344298E-2</v>
      </c>
      <c r="K14" s="65">
        <v>2.04231061712777E-2</v>
      </c>
      <c r="L14" s="67">
        <v>8.8641812543785899E-3</v>
      </c>
      <c r="M14" s="59">
        <v>2.1843256898497299E-2</v>
      </c>
      <c r="N14" s="60">
        <v>-1.2979075644118701E-2</v>
      </c>
      <c r="O14" s="63"/>
    </row>
    <row r="15" spans="1:28" x14ac:dyDescent="0.25">
      <c r="A15">
        <v>9</v>
      </c>
      <c r="B15" s="23" t="s">
        <v>68</v>
      </c>
      <c r="C15" s="43">
        <v>4.66251429291673E-2</v>
      </c>
      <c r="D15" s="22">
        <v>2.7724941830519399E-2</v>
      </c>
      <c r="E15" s="31">
        <v>1.8900201098647901E-2</v>
      </c>
      <c r="F15" s="43">
        <v>4.4113621235337297E-2</v>
      </c>
      <c r="G15" s="22">
        <v>3.4295159201567497E-2</v>
      </c>
      <c r="H15" s="34">
        <v>9.8184620337697492E-3</v>
      </c>
      <c r="I15" s="67">
        <v>6.9883057908481996E-2</v>
      </c>
      <c r="J15" s="59">
        <v>2.1045770316228E-2</v>
      </c>
      <c r="K15" s="65">
        <v>4.8837287592253899E-2</v>
      </c>
      <c r="L15" s="67">
        <v>1.32778322661357E-2</v>
      </c>
      <c r="M15" s="59">
        <v>2.92159140129164E-2</v>
      </c>
      <c r="N15" s="60">
        <v>-1.59380817467807E-2</v>
      </c>
      <c r="O15" s="63"/>
    </row>
    <row r="16" spans="1:28" x14ac:dyDescent="0.25">
      <c r="A16">
        <v>10</v>
      </c>
      <c r="B16" s="23" t="s">
        <v>69</v>
      </c>
      <c r="C16" s="43">
        <v>9.0894558490112708E-3</v>
      </c>
      <c r="D16" s="22">
        <v>-3.3760512516220801E-3</v>
      </c>
      <c r="E16" s="31">
        <v>1.2465507100633299E-2</v>
      </c>
      <c r="F16" s="46">
        <v>-8.0536265843332393E-3</v>
      </c>
      <c r="G16" s="22">
        <v>-1.2558539350255599E-2</v>
      </c>
      <c r="H16" s="34">
        <v>4.5049127659223904E-3</v>
      </c>
      <c r="I16" s="67">
        <v>7.8645648239850305E-2</v>
      </c>
      <c r="J16" s="59">
        <v>4.7078314101478502E-2</v>
      </c>
      <c r="K16" s="65">
        <v>3.1567334138371698E-2</v>
      </c>
      <c r="L16" s="69">
        <v>-6.0975544853349099E-2</v>
      </c>
      <c r="M16" s="59">
        <v>-4.2184853948021302E-2</v>
      </c>
      <c r="N16" s="60">
        <v>-1.8790690905327801E-2</v>
      </c>
      <c r="O16" s="63"/>
    </row>
    <row r="17" spans="1:15" x14ac:dyDescent="0.25">
      <c r="A17">
        <v>12</v>
      </c>
      <c r="B17" s="23" t="s">
        <v>70</v>
      </c>
      <c r="C17" s="46">
        <v>-1.7278096303121701E-2</v>
      </c>
      <c r="D17" s="22">
        <v>-1.6265992924389699E-16</v>
      </c>
      <c r="E17" s="31">
        <v>-1.72780963031216E-2</v>
      </c>
      <c r="F17" s="46">
        <v>-2.13677287576714E-2</v>
      </c>
      <c r="G17" s="22">
        <v>2.16339597252613E-16</v>
      </c>
      <c r="H17" s="34">
        <v>-2.1367728757671602E-2</v>
      </c>
      <c r="I17" s="67">
        <v>2.1496979213356301E-3</v>
      </c>
      <c r="J17" s="59">
        <v>6.03514533009855E-2</v>
      </c>
      <c r="K17" s="65">
        <v>-5.8201755379649903E-2</v>
      </c>
      <c r="L17" s="69">
        <v>-1.77749404385871E-2</v>
      </c>
      <c r="M17" s="59">
        <v>2.3297171947637099E-2</v>
      </c>
      <c r="N17" s="60">
        <v>-4.1072112386224303E-2</v>
      </c>
      <c r="O17" s="63"/>
    </row>
    <row r="18" spans="1:15" x14ac:dyDescent="0.25">
      <c r="A18">
        <v>13</v>
      </c>
      <c r="B18" s="23" t="s">
        <v>71</v>
      </c>
      <c r="C18" s="43">
        <v>2.0373962034653699E-2</v>
      </c>
      <c r="D18" s="22">
        <v>1.2046196031845801E-2</v>
      </c>
      <c r="E18" s="31">
        <v>8.3277660028078706E-3</v>
      </c>
      <c r="F18" s="43">
        <v>2.7450804091866201E-2</v>
      </c>
      <c r="G18" s="22">
        <v>1.45293942449428E-2</v>
      </c>
      <c r="H18" s="34">
        <v>1.2921409846923399E-2</v>
      </c>
      <c r="I18" s="67">
        <v>0.101236914763633</v>
      </c>
      <c r="J18" s="59">
        <v>7.1143773259400994E-2</v>
      </c>
      <c r="K18" s="65">
        <v>3.0093141504232802E-2</v>
      </c>
      <c r="L18" s="67">
        <v>3.08855730575289E-3</v>
      </c>
      <c r="M18" s="59">
        <v>3.05061931580645E-2</v>
      </c>
      <c r="N18" s="60">
        <v>-2.7417635852311599E-2</v>
      </c>
      <c r="O18" s="63"/>
    </row>
    <row r="19" spans="1:15" ht="15.75" thickBot="1" x14ac:dyDescent="0.3">
      <c r="A19">
        <v>14</v>
      </c>
      <c r="B19" s="23" t="s">
        <v>72</v>
      </c>
      <c r="C19" s="47">
        <v>-2.50118292734785E-2</v>
      </c>
      <c r="D19" s="32">
        <v>0</v>
      </c>
      <c r="E19" s="33">
        <v>-2.50118292734785E-2</v>
      </c>
      <c r="F19" s="47">
        <v>-4.0077224600602597E-2</v>
      </c>
      <c r="G19" s="32">
        <v>-7.53555113400115E-16</v>
      </c>
      <c r="H19" s="35">
        <v>-4.0077224600601903E-2</v>
      </c>
      <c r="I19" s="68">
        <v>0.107400232693555</v>
      </c>
      <c r="J19" s="61">
        <v>6.9966396060748406E-2</v>
      </c>
      <c r="K19" s="66">
        <v>3.7433836632807402E-2</v>
      </c>
      <c r="L19" s="70">
        <v>-5.3081166180475401E-3</v>
      </c>
      <c r="M19" s="61">
        <v>2.2918752207305201E-2</v>
      </c>
      <c r="N19" s="62">
        <v>-2.8226868825352799E-2</v>
      </c>
      <c r="O19" s="63"/>
    </row>
    <row r="20" spans="1:15" x14ac:dyDescent="0.25">
      <c r="M20" s="64"/>
      <c r="N20" s="63"/>
      <c r="O20" s="63"/>
    </row>
    <row r="21" spans="1:15" x14ac:dyDescent="0.25">
      <c r="M21" s="64"/>
      <c r="N21" s="63"/>
      <c r="O21" s="63"/>
    </row>
    <row r="22" spans="1:15" x14ac:dyDescent="0.25">
      <c r="I22" s="20"/>
      <c r="M22" s="64"/>
      <c r="N22" s="63"/>
      <c r="O22" s="63"/>
    </row>
    <row r="23" spans="1:15" x14ac:dyDescent="0.25">
      <c r="I23" s="20"/>
      <c r="M23" s="64"/>
      <c r="N23" s="63"/>
      <c r="O23" s="63"/>
    </row>
    <row r="24" spans="1:15" x14ac:dyDescent="0.25">
      <c r="I24" s="20"/>
      <c r="M24" s="64"/>
      <c r="N24" s="63"/>
      <c r="O24" s="63"/>
    </row>
    <row r="25" spans="1:15" x14ac:dyDescent="0.25">
      <c r="I25" s="20"/>
      <c r="J25" s="20"/>
      <c r="K25" s="20"/>
      <c r="M25" s="63"/>
      <c r="N25" s="63"/>
      <c r="O25" s="63"/>
    </row>
    <row r="26" spans="1:15" x14ac:dyDescent="0.25">
      <c r="I26" s="20"/>
      <c r="M26" s="63"/>
      <c r="N26" s="63"/>
      <c r="O26" s="63"/>
    </row>
    <row r="27" spans="1:15" x14ac:dyDescent="0.25">
      <c r="I27" s="20"/>
      <c r="M27" s="63"/>
      <c r="N27" s="63"/>
      <c r="O27" s="63"/>
    </row>
    <row r="28" spans="1:15" x14ac:dyDescent="0.25">
      <c r="I28" s="20"/>
    </row>
    <row r="29" spans="1:15" x14ac:dyDescent="0.25">
      <c r="I29" s="20"/>
    </row>
    <row r="30" spans="1:15" x14ac:dyDescent="0.25">
      <c r="I30" s="20"/>
    </row>
    <row r="31" spans="1:15" x14ac:dyDescent="0.25">
      <c r="I31" s="20"/>
    </row>
    <row r="32" spans="1:15" x14ac:dyDescent="0.25">
      <c r="I32" s="20"/>
    </row>
    <row r="33" spans="9:9" x14ac:dyDescent="0.25">
      <c r="I33" s="20"/>
    </row>
  </sheetData>
  <mergeCells count="8">
    <mergeCell ref="I2:K2"/>
    <mergeCell ref="L2:N2"/>
    <mergeCell ref="C2:E2"/>
    <mergeCell ref="Q2:S2"/>
    <mergeCell ref="F2:H2"/>
    <mergeCell ref="T2:V2"/>
    <mergeCell ref="W2:Y2"/>
    <mergeCell ref="Z2:A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7869-60E0-43BF-B7FC-18286E7E1076}">
  <dimension ref="A1:O55"/>
  <sheetViews>
    <sheetView zoomScaleNormal="100" workbookViewId="0">
      <selection activeCell="E60" sqref="E60"/>
    </sheetView>
  </sheetViews>
  <sheetFormatPr defaultRowHeight="15" x14ac:dyDescent="0.25"/>
  <cols>
    <col min="1" max="1" width="3" style="1" customWidth="1"/>
    <col min="2" max="3" width="19.140625" customWidth="1"/>
    <col min="4" max="4" width="18.42578125" customWidth="1"/>
    <col min="5" max="5" width="18.7109375" customWidth="1"/>
    <col min="6" max="6" width="15.5703125" customWidth="1"/>
    <col min="7" max="7" width="23.7109375" customWidth="1"/>
    <col min="8" max="8" width="3.85546875" customWidth="1"/>
    <col min="9" max="10" width="16" customWidth="1"/>
    <col min="11" max="11" width="13" customWidth="1"/>
    <col min="12" max="12" width="16.28515625" customWidth="1"/>
    <col min="13" max="13" width="17.7109375" customWidth="1"/>
    <col min="14" max="14" width="18.7109375" customWidth="1"/>
    <col min="16" max="16" width="14.85546875" customWidth="1"/>
    <col min="17" max="17" width="9.7109375" customWidth="1"/>
  </cols>
  <sheetData>
    <row r="1" spans="1:15" x14ac:dyDescent="0.25">
      <c r="G1" s="6" t="s">
        <v>26</v>
      </c>
    </row>
    <row r="2" spans="1:15" x14ac:dyDescent="0.25">
      <c r="G2" s="7" t="s">
        <v>27</v>
      </c>
    </row>
    <row r="3" spans="1:15" x14ac:dyDescent="0.25">
      <c r="B3" s="1" t="s">
        <v>12</v>
      </c>
      <c r="C3" s="1"/>
      <c r="D3" s="1"/>
      <c r="E3" s="1"/>
      <c r="F3" s="1"/>
      <c r="G3" s="5" t="s">
        <v>29</v>
      </c>
      <c r="H3" s="1"/>
      <c r="I3" s="1" t="s">
        <v>15</v>
      </c>
      <c r="J3" s="1"/>
      <c r="K3" s="1"/>
      <c r="L3" s="1"/>
      <c r="M3" s="1"/>
      <c r="N3" s="1"/>
      <c r="O3" s="1"/>
    </row>
    <row r="4" spans="1:15" x14ac:dyDescent="0.25">
      <c r="B4" s="1" t="s">
        <v>0</v>
      </c>
      <c r="C4" s="1" t="s">
        <v>23</v>
      </c>
      <c r="D4" s="1" t="s">
        <v>24</v>
      </c>
      <c r="E4" s="1" t="s">
        <v>1</v>
      </c>
      <c r="F4" s="1"/>
      <c r="G4" s="1"/>
      <c r="H4" s="1"/>
      <c r="I4" s="1" t="s">
        <v>0</v>
      </c>
      <c r="J4" s="1" t="s">
        <v>23</v>
      </c>
      <c r="K4" s="1" t="s">
        <v>24</v>
      </c>
      <c r="L4" s="1" t="s">
        <v>1</v>
      </c>
      <c r="M4" s="1"/>
      <c r="N4" s="1"/>
      <c r="O4" s="1"/>
    </row>
    <row r="5" spans="1:15" x14ac:dyDescent="0.25">
      <c r="B5" s="1" t="s">
        <v>2</v>
      </c>
      <c r="C5" s="8">
        <v>5.5990042925280497</v>
      </c>
      <c r="D5" s="8">
        <v>0.90356607367203301</v>
      </c>
      <c r="E5" s="8">
        <v>0.78479742735639801</v>
      </c>
      <c r="F5" s="1"/>
      <c r="G5" s="1"/>
      <c r="H5" s="1"/>
      <c r="I5" s="1" t="s">
        <v>2</v>
      </c>
      <c r="J5" s="8">
        <v>4.1991467023786697</v>
      </c>
      <c r="K5" s="8">
        <v>0.82610521045310603</v>
      </c>
      <c r="L5" s="8">
        <v>0.45842139345314697</v>
      </c>
      <c r="M5" s="1"/>
      <c r="N5" s="1"/>
      <c r="O5" s="1"/>
    </row>
    <row r="6" spans="1:15" x14ac:dyDescent="0.25">
      <c r="B6" s="1" t="s">
        <v>3</v>
      </c>
      <c r="C6" s="8">
        <v>3.6150481998819401</v>
      </c>
      <c r="D6" s="8">
        <v>0.84393866538764695</v>
      </c>
      <c r="E6" s="8">
        <v>0.73975142372925395</v>
      </c>
      <c r="F6" s="1"/>
      <c r="G6" s="1"/>
      <c r="H6" s="1"/>
      <c r="I6" s="1" t="s">
        <v>3</v>
      </c>
      <c r="J6" s="8">
        <v>4.2426276126814999</v>
      </c>
      <c r="K6" s="8">
        <v>0.86475068984277004</v>
      </c>
      <c r="L6" s="8">
        <v>0.70887717949694296</v>
      </c>
      <c r="M6" s="1"/>
      <c r="N6" s="1"/>
      <c r="O6" s="1"/>
    </row>
    <row r="7" spans="1:15" x14ac:dyDescent="0.25">
      <c r="B7" s="1" t="s">
        <v>4</v>
      </c>
      <c r="C7" s="8">
        <v>2.1746388039620901</v>
      </c>
      <c r="D7" s="8">
        <v>0.90358482744648005</v>
      </c>
      <c r="E7" s="8">
        <v>0.17369777575697301</v>
      </c>
      <c r="F7" s="1"/>
      <c r="G7" s="1"/>
      <c r="H7" s="1" t="s">
        <v>28</v>
      </c>
      <c r="I7" s="1" t="s">
        <v>4</v>
      </c>
      <c r="J7" s="8">
        <v>2.2885725031264901</v>
      </c>
      <c r="K7" s="8">
        <v>0.86069377106338596</v>
      </c>
      <c r="L7" s="8">
        <v>0.14822690674265199</v>
      </c>
      <c r="M7" s="1"/>
      <c r="N7" s="1"/>
      <c r="O7" s="1"/>
    </row>
    <row r="8" spans="1:15" x14ac:dyDescent="0.25">
      <c r="B8" s="1" t="s">
        <v>5</v>
      </c>
      <c r="C8" s="8">
        <v>2.2792285281778502</v>
      </c>
      <c r="D8" s="8">
        <v>0.663434225775831</v>
      </c>
      <c r="E8" s="8">
        <v>9.9143945152060597E-2</v>
      </c>
      <c r="F8" s="1"/>
      <c r="G8" s="1"/>
      <c r="H8" s="1"/>
      <c r="I8" s="1" t="s">
        <v>5</v>
      </c>
      <c r="J8" s="9">
        <v>0.65629846710779305</v>
      </c>
      <c r="K8" s="9">
        <v>-0.38672859447744201</v>
      </c>
      <c r="L8" s="9">
        <v>-9.02599646039247E-2</v>
      </c>
      <c r="M8" s="1"/>
      <c r="N8" s="1"/>
      <c r="O8" s="1"/>
    </row>
    <row r="9" spans="1:15" x14ac:dyDescent="0.25">
      <c r="A9" s="1" t="s">
        <v>28</v>
      </c>
      <c r="B9" s="1" t="s">
        <v>6</v>
      </c>
      <c r="C9" s="8">
        <v>1.4480475262282899</v>
      </c>
      <c r="D9" s="8">
        <v>0.66475177086608195</v>
      </c>
      <c r="E9" s="8">
        <v>0.21234239309632399</v>
      </c>
      <c r="F9" s="1"/>
      <c r="G9" s="1"/>
      <c r="H9" s="1" t="s">
        <v>28</v>
      </c>
      <c r="I9" s="1" t="s">
        <v>6</v>
      </c>
      <c r="J9" s="9">
        <v>0.92225532580611602</v>
      </c>
      <c r="K9" s="9">
        <v>-0.36586676677487101</v>
      </c>
      <c r="L9" s="8">
        <v>3.59517217205262E-2</v>
      </c>
      <c r="M9" s="1"/>
      <c r="N9" s="1"/>
      <c r="O9" s="1"/>
    </row>
    <row r="10" spans="1:15" x14ac:dyDescent="0.25">
      <c r="B10" s="1" t="s">
        <v>7</v>
      </c>
      <c r="C10" s="8">
        <v>1.45242884682964</v>
      </c>
      <c r="D10" s="8">
        <v>0.238708102284336</v>
      </c>
      <c r="E10" s="8">
        <v>0.14477972148899501</v>
      </c>
      <c r="F10" s="1"/>
      <c r="G10" s="1"/>
      <c r="H10" s="1"/>
      <c r="I10" s="1" t="s">
        <v>7</v>
      </c>
      <c r="J10" s="9">
        <v>0.61809493388466297</v>
      </c>
      <c r="K10" s="9">
        <v>-0.851696935181535</v>
      </c>
      <c r="L10" s="9">
        <v>-0.17562342751062601</v>
      </c>
      <c r="M10" s="1"/>
      <c r="N10" s="1"/>
      <c r="O10" s="1"/>
    </row>
    <row r="11" spans="1:15" x14ac:dyDescent="0.25">
      <c r="B11" s="1" t="s">
        <v>20</v>
      </c>
      <c r="C11" s="4"/>
      <c r="D11" s="4"/>
      <c r="E11" s="4"/>
      <c r="F11" s="1"/>
      <c r="G11" s="1"/>
      <c r="H11" s="1"/>
      <c r="I11" s="1" t="s">
        <v>20</v>
      </c>
      <c r="J11" s="4"/>
      <c r="K11" s="4"/>
      <c r="L11" s="4"/>
      <c r="M11" s="1"/>
      <c r="N11" s="1"/>
      <c r="O11" s="1"/>
    </row>
    <row r="12" spans="1:15" x14ac:dyDescent="0.25">
      <c r="A12" s="1" t="s">
        <v>28</v>
      </c>
      <c r="B12" s="1" t="s">
        <v>8</v>
      </c>
      <c r="C12" s="8">
        <v>1.48474411958353</v>
      </c>
      <c r="D12" s="8">
        <v>0.55431906322617597</v>
      </c>
      <c r="E12" s="8">
        <v>0.36516163611226798</v>
      </c>
      <c r="F12" s="1"/>
      <c r="G12" s="1"/>
      <c r="H12" s="1" t="s">
        <v>28</v>
      </c>
      <c r="I12" s="1" t="s">
        <v>8</v>
      </c>
      <c r="J12" s="8">
        <v>1.0433735492571501</v>
      </c>
      <c r="K12" s="9">
        <v>-0.87727286114650804</v>
      </c>
      <c r="L12" s="8">
        <v>0.155085326236896</v>
      </c>
      <c r="M12" s="1"/>
      <c r="N12" s="1"/>
      <c r="O12" s="1"/>
    </row>
    <row r="13" spans="1:15" x14ac:dyDescent="0.25">
      <c r="B13" s="1" t="s">
        <v>9</v>
      </c>
      <c r="C13" s="8">
        <v>1.6588389001163999</v>
      </c>
      <c r="D13" s="8">
        <v>0.494977856349476</v>
      </c>
      <c r="E13" s="8">
        <v>4.1333778886518201E-2</v>
      </c>
      <c r="F13" s="1"/>
      <c r="G13" s="1"/>
      <c r="H13" s="1" t="s">
        <v>28</v>
      </c>
      <c r="I13" s="1" t="s">
        <v>9</v>
      </c>
      <c r="J13" s="9">
        <v>0.54304497563021803</v>
      </c>
      <c r="K13" s="9">
        <v>-0.79094425276710101</v>
      </c>
      <c r="L13" s="9">
        <v>-0.49269779802698299</v>
      </c>
      <c r="M13" s="1"/>
      <c r="N13" s="1"/>
      <c r="O13" s="1"/>
    </row>
    <row r="14" spans="1:15" x14ac:dyDescent="0.25">
      <c r="B14" s="1" t="s">
        <v>10</v>
      </c>
      <c r="C14" s="9">
        <v>0.665445371933445</v>
      </c>
      <c r="D14" s="9">
        <v>-1.0305451800868599</v>
      </c>
      <c r="E14" s="9">
        <v>-4.1760232547360499E-2</v>
      </c>
      <c r="F14" s="1"/>
      <c r="G14" s="1"/>
      <c r="H14" s="1"/>
      <c r="I14" s="1" t="s">
        <v>10</v>
      </c>
      <c r="J14" s="1"/>
      <c r="K14" s="1"/>
      <c r="L14" s="2"/>
      <c r="M14" s="1"/>
      <c r="N14" s="1"/>
      <c r="O14" s="1"/>
    </row>
    <row r="15" spans="1:15" x14ac:dyDescent="0.25">
      <c r="B15" s="1" t="s">
        <v>11</v>
      </c>
      <c r="C15" s="9">
        <v>0.84619083652769</v>
      </c>
      <c r="D15" s="9">
        <v>-0.57708462423306806</v>
      </c>
      <c r="E15" s="9">
        <v>-7.8588218215967606E-2</v>
      </c>
      <c r="F15" s="1"/>
      <c r="G15" s="1"/>
      <c r="H15" s="1"/>
      <c r="I15" s="1" t="s">
        <v>11</v>
      </c>
      <c r="J15" s="1"/>
      <c r="K15" s="1"/>
      <c r="L15" s="2"/>
      <c r="M15" s="1"/>
      <c r="N15" s="1"/>
      <c r="O15" s="1"/>
    </row>
    <row r="16" spans="1:15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B17" s="1" t="s">
        <v>17</v>
      </c>
      <c r="C17" s="1"/>
      <c r="D17" s="1"/>
      <c r="E17" s="1"/>
      <c r="F17" s="1"/>
      <c r="G17" s="1"/>
      <c r="H17" s="1"/>
      <c r="I17" s="1" t="s">
        <v>14</v>
      </c>
      <c r="J17" s="1"/>
      <c r="K17" s="1"/>
      <c r="L17" s="1"/>
      <c r="M17" s="1"/>
      <c r="N17" s="1"/>
      <c r="O17" s="1"/>
    </row>
    <row r="18" spans="1:15" x14ac:dyDescent="0.25">
      <c r="B18" s="1" t="s">
        <v>0</v>
      </c>
      <c r="C18" s="1" t="s">
        <v>23</v>
      </c>
      <c r="D18" s="1" t="s">
        <v>24</v>
      </c>
      <c r="E18" s="1" t="s">
        <v>1</v>
      </c>
      <c r="F18" s="1"/>
      <c r="G18" s="1"/>
      <c r="H18" s="1"/>
      <c r="I18" s="1" t="s">
        <v>0</v>
      </c>
      <c r="J18" s="1" t="s">
        <v>23</v>
      </c>
      <c r="K18" s="1" t="s">
        <v>24</v>
      </c>
      <c r="L18" s="1" t="s">
        <v>1</v>
      </c>
      <c r="M18" s="1"/>
      <c r="N18" s="1"/>
      <c r="O18" s="1"/>
    </row>
    <row r="19" spans="1:15" x14ac:dyDescent="0.25">
      <c r="B19" s="1" t="s">
        <v>2</v>
      </c>
      <c r="C19" s="9">
        <v>0.72480501026157895</v>
      </c>
      <c r="D19" s="9">
        <v>-0.53321285069034396</v>
      </c>
      <c r="E19" s="9">
        <v>-0.69015600278604705</v>
      </c>
      <c r="F19" s="1"/>
      <c r="G19" s="1"/>
      <c r="H19" s="1"/>
      <c r="I19" s="1" t="s">
        <v>2</v>
      </c>
      <c r="J19" s="8">
        <v>1.9834327913053</v>
      </c>
      <c r="K19" s="8">
        <v>0.65719427140843201</v>
      </c>
      <c r="L19" s="8">
        <v>0.37069968925848601</v>
      </c>
      <c r="M19" s="1"/>
      <c r="N19" s="1"/>
      <c r="O19" s="1"/>
    </row>
    <row r="20" spans="1:15" x14ac:dyDescent="0.25">
      <c r="B20" s="1" t="s">
        <v>3</v>
      </c>
      <c r="C20" s="9">
        <v>0.72236032128579997</v>
      </c>
      <c r="D20" s="9">
        <v>-0.54415401279001296</v>
      </c>
      <c r="E20" s="9">
        <v>-0.77189783394192801</v>
      </c>
      <c r="F20" s="1"/>
      <c r="G20" s="1"/>
      <c r="H20" s="1"/>
      <c r="I20" s="1" t="s">
        <v>3</v>
      </c>
      <c r="J20" s="8">
        <v>1.57221069754844</v>
      </c>
      <c r="K20" s="8">
        <v>0.52379119919397599</v>
      </c>
      <c r="L20" s="8">
        <v>0.32989293329546998</v>
      </c>
      <c r="M20" s="1"/>
      <c r="N20" s="1"/>
      <c r="O20" s="1"/>
    </row>
    <row r="21" spans="1:15" x14ac:dyDescent="0.25">
      <c r="B21" s="1" t="s">
        <v>4</v>
      </c>
      <c r="C21" s="9">
        <v>0.93103098270545204</v>
      </c>
      <c r="D21" s="9">
        <v>0.356634245125801</v>
      </c>
      <c r="E21" s="9">
        <v>1.7836570943256701E-2</v>
      </c>
      <c r="F21" s="1"/>
      <c r="G21" s="1"/>
      <c r="H21" s="1" t="s">
        <v>28</v>
      </c>
      <c r="I21" s="1" t="s">
        <v>4</v>
      </c>
      <c r="J21" s="8">
        <v>1.2975667452931301</v>
      </c>
      <c r="K21" s="8">
        <v>0.86785733003031096</v>
      </c>
      <c r="L21" s="8">
        <v>0.10077650528672399</v>
      </c>
      <c r="M21" s="1"/>
      <c r="N21" s="1"/>
      <c r="O21" s="1"/>
    </row>
    <row r="22" spans="1:15" x14ac:dyDescent="0.25">
      <c r="B22" s="1" t="s">
        <v>5</v>
      </c>
      <c r="C22" s="9">
        <v>0.62021758140125105</v>
      </c>
      <c r="D22" s="9">
        <v>-0.834312574960141</v>
      </c>
      <c r="E22" s="9">
        <v>-0.54160608613664096</v>
      </c>
      <c r="F22" s="1"/>
      <c r="G22" s="1"/>
      <c r="H22" s="1"/>
      <c r="I22" s="1" t="s">
        <v>5</v>
      </c>
      <c r="J22" s="8">
        <v>1.0575708895152101</v>
      </c>
      <c r="K22" s="8">
        <v>0.26292322495904802</v>
      </c>
      <c r="L22" s="8">
        <v>6.3493902184217604E-2</v>
      </c>
      <c r="M22" s="1"/>
      <c r="N22" s="1"/>
      <c r="O22" s="1"/>
    </row>
    <row r="23" spans="1:15" x14ac:dyDescent="0.25">
      <c r="A23" s="1" t="s">
        <v>28</v>
      </c>
      <c r="B23" s="1" t="s">
        <v>6</v>
      </c>
      <c r="C23" s="9">
        <v>0.77501210984665403</v>
      </c>
      <c r="D23" s="9">
        <v>-0.908415578463458</v>
      </c>
      <c r="E23" s="9">
        <v>-0.17637365181995501</v>
      </c>
      <c r="F23" s="1"/>
      <c r="G23" s="1"/>
      <c r="H23" s="1"/>
      <c r="I23" s="1" t="s">
        <v>6</v>
      </c>
      <c r="J23" s="1"/>
      <c r="K23" s="1"/>
      <c r="L23" s="1"/>
      <c r="M23" s="1"/>
      <c r="N23" s="1"/>
      <c r="O23" s="1"/>
    </row>
    <row r="24" spans="1:15" x14ac:dyDescent="0.25">
      <c r="B24" s="1" t="s">
        <v>7</v>
      </c>
      <c r="C24" s="8">
        <v>1.0770799229366299</v>
      </c>
      <c r="D24" s="8">
        <v>0.64255712913469198</v>
      </c>
      <c r="E24" s="8">
        <v>0.41389016217674901</v>
      </c>
      <c r="F24" s="1"/>
      <c r="G24" s="1"/>
      <c r="H24" s="1"/>
      <c r="I24" s="1" t="s">
        <v>7</v>
      </c>
      <c r="J24" s="1"/>
      <c r="K24" s="1"/>
      <c r="L24" s="1"/>
      <c r="M24" s="1"/>
      <c r="N24" s="1"/>
      <c r="O24" s="1"/>
    </row>
    <row r="25" spans="1:15" x14ac:dyDescent="0.25">
      <c r="B25" s="1" t="s">
        <v>20</v>
      </c>
      <c r="C25" s="4"/>
      <c r="D25" s="4"/>
      <c r="E25" s="4"/>
      <c r="F25" s="1"/>
      <c r="G25" s="1"/>
      <c r="H25" s="1"/>
      <c r="I25" s="1" t="s">
        <v>20</v>
      </c>
      <c r="J25" s="1"/>
      <c r="K25" s="1"/>
      <c r="L25" s="1"/>
      <c r="M25" s="1"/>
      <c r="N25" s="1"/>
      <c r="O25" s="1"/>
    </row>
    <row r="26" spans="1:15" x14ac:dyDescent="0.25">
      <c r="A26" s="1" t="s">
        <v>28</v>
      </c>
      <c r="B26" s="1" t="s">
        <v>8</v>
      </c>
      <c r="C26" s="8">
        <v>1.69896635753922</v>
      </c>
      <c r="D26" s="8">
        <v>1.0004694412553801</v>
      </c>
      <c r="E26" s="8">
        <v>0.39449354239977702</v>
      </c>
      <c r="F26" s="1"/>
      <c r="G26" s="1"/>
      <c r="H26" s="1"/>
      <c r="I26" s="1" t="s">
        <v>8</v>
      </c>
      <c r="J26" s="1"/>
      <c r="K26" s="1"/>
      <c r="L26" s="1"/>
      <c r="M26" s="1"/>
      <c r="N26" s="1"/>
      <c r="O26" s="1"/>
    </row>
    <row r="27" spans="1:15" x14ac:dyDescent="0.25">
      <c r="A27" s="1" t="s">
        <v>28</v>
      </c>
      <c r="B27" s="1" t="s">
        <v>9</v>
      </c>
      <c r="C27" s="9">
        <v>0.68980819676752303</v>
      </c>
      <c r="D27" s="9">
        <v>-0.62247408503923796</v>
      </c>
      <c r="E27" s="9">
        <v>-0.17371472956907899</v>
      </c>
      <c r="F27" s="1"/>
      <c r="G27" s="1"/>
      <c r="H27" s="1"/>
      <c r="I27" s="1" t="s">
        <v>9</v>
      </c>
      <c r="J27" s="1"/>
      <c r="K27" s="1"/>
      <c r="L27" s="1"/>
      <c r="M27" s="1"/>
      <c r="N27" s="1"/>
      <c r="O27" s="1"/>
    </row>
    <row r="28" spans="1:15" x14ac:dyDescent="0.25">
      <c r="B28" s="1" t="s">
        <v>10</v>
      </c>
      <c r="C28" s="9">
        <v>0.66267278810022201</v>
      </c>
      <c r="D28" s="9">
        <v>-1.0273129897173701</v>
      </c>
      <c r="E28" s="9">
        <v>-4.74716361793363E-2</v>
      </c>
      <c r="F28" s="1"/>
      <c r="G28" s="1"/>
      <c r="H28" s="1"/>
      <c r="I28" s="1" t="s">
        <v>10</v>
      </c>
      <c r="J28" s="1"/>
      <c r="K28" s="1"/>
      <c r="L28" s="1"/>
      <c r="M28" s="1"/>
      <c r="N28" s="1"/>
      <c r="O28" s="1"/>
    </row>
    <row r="29" spans="1:15" x14ac:dyDescent="0.25">
      <c r="B29" s="1" t="s">
        <v>11</v>
      </c>
      <c r="C29" s="8">
        <v>1.6537701478523501</v>
      </c>
      <c r="D29" s="8">
        <v>0.384403035464087</v>
      </c>
      <c r="E29" s="8">
        <v>5.9760012226563401E-2</v>
      </c>
      <c r="F29" s="1"/>
      <c r="G29" s="1"/>
      <c r="H29" s="1"/>
      <c r="I29" s="1" t="s">
        <v>11</v>
      </c>
      <c r="J29" s="1"/>
      <c r="K29" s="1"/>
      <c r="L29" s="1"/>
      <c r="M29" s="1"/>
      <c r="N29" s="1"/>
      <c r="O29" s="1"/>
    </row>
    <row r="30" spans="1:15" x14ac:dyDescent="0.25">
      <c r="B30" s="1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B31" s="1" t="s">
        <v>16</v>
      </c>
      <c r="C31" s="1"/>
      <c r="D31" s="1"/>
      <c r="E31" s="1"/>
      <c r="F31" s="1"/>
      <c r="G31" s="1"/>
      <c r="H31" s="1"/>
      <c r="I31" s="1" t="s">
        <v>13</v>
      </c>
      <c r="J31" s="1"/>
      <c r="K31" s="1"/>
      <c r="L31" s="1"/>
      <c r="M31" s="1"/>
      <c r="N31" s="1"/>
      <c r="O31" s="1"/>
    </row>
    <row r="32" spans="1:15" x14ac:dyDescent="0.25">
      <c r="B32" s="1" t="s">
        <v>0</v>
      </c>
      <c r="C32" s="1" t="s">
        <v>23</v>
      </c>
      <c r="D32" s="1" t="s">
        <v>24</v>
      </c>
      <c r="E32" s="1" t="s">
        <v>1</v>
      </c>
      <c r="F32" s="1"/>
      <c r="G32" s="1"/>
      <c r="H32" s="1"/>
      <c r="I32" s="1" t="s">
        <v>0</v>
      </c>
      <c r="J32" s="1" t="s">
        <v>23</v>
      </c>
      <c r="K32" s="1" t="s">
        <v>24</v>
      </c>
      <c r="L32" s="1" t="s">
        <v>1</v>
      </c>
      <c r="M32" s="1"/>
      <c r="N32" s="1"/>
      <c r="O32" s="1"/>
    </row>
    <row r="33" spans="1:15" x14ac:dyDescent="0.25">
      <c r="B33" s="1" t="s">
        <v>2</v>
      </c>
      <c r="C33" s="8">
        <v>3.62123713456148</v>
      </c>
      <c r="D33" s="8">
        <v>0.87884003043687597</v>
      </c>
      <c r="E33" s="8">
        <v>0.735611704001494</v>
      </c>
      <c r="F33" s="1"/>
      <c r="G33" s="1"/>
      <c r="H33" s="1"/>
      <c r="I33" s="1" t="s">
        <v>2</v>
      </c>
      <c r="J33" s="9">
        <v>0.95053401724057496</v>
      </c>
      <c r="K33" s="9">
        <v>-0.169259073906213</v>
      </c>
      <c r="L33" s="9">
        <v>-4.4193639828931201E-2</v>
      </c>
      <c r="M33" s="1"/>
      <c r="N33" s="1"/>
      <c r="O33" s="1"/>
    </row>
    <row r="34" spans="1:15" x14ac:dyDescent="0.25">
      <c r="B34" s="1" t="s">
        <v>3</v>
      </c>
      <c r="C34" s="8">
        <v>3.1649110765038402</v>
      </c>
      <c r="D34" s="8">
        <v>0.89370073497006797</v>
      </c>
      <c r="E34" s="8">
        <v>0.76773815613843199</v>
      </c>
      <c r="F34" s="1"/>
      <c r="G34" s="1"/>
      <c r="H34" s="1"/>
      <c r="I34" s="1" t="s">
        <v>3</v>
      </c>
      <c r="J34" s="8">
        <v>1.02292603590652</v>
      </c>
      <c r="K34" s="8">
        <v>4.5964226518538299E-2</v>
      </c>
      <c r="L34" s="8">
        <v>5.6992657113041099E-2</v>
      </c>
      <c r="M34" s="1"/>
      <c r="N34" s="1"/>
      <c r="O34" s="1"/>
    </row>
    <row r="35" spans="1:15" x14ac:dyDescent="0.25">
      <c r="B35" s="1" t="s">
        <v>4</v>
      </c>
      <c r="C35" s="8">
        <v>1.5737102771314899</v>
      </c>
      <c r="D35" s="8">
        <v>0.86635228697468503</v>
      </c>
      <c r="E35" s="8">
        <v>0.199680501000808</v>
      </c>
      <c r="F35" s="1"/>
      <c r="G35" s="1"/>
      <c r="H35" s="1" t="s">
        <v>28</v>
      </c>
      <c r="I35" s="1" t="s">
        <v>4</v>
      </c>
      <c r="J35" s="9">
        <v>0.92254459679364598</v>
      </c>
      <c r="K35" s="8">
        <v>0.385385071473553</v>
      </c>
      <c r="L35" s="8">
        <v>6.6875193364792196E-2</v>
      </c>
      <c r="M35" s="1"/>
      <c r="N35" s="1"/>
      <c r="O35" s="1"/>
    </row>
    <row r="36" spans="1:15" x14ac:dyDescent="0.25">
      <c r="B36" s="1" t="s">
        <v>5</v>
      </c>
      <c r="C36" s="8">
        <v>1.50347635019633</v>
      </c>
      <c r="D36" s="8">
        <v>0.96614890517595997</v>
      </c>
      <c r="E36" s="8">
        <v>0.12535086320927399</v>
      </c>
      <c r="F36" s="1"/>
      <c r="G36" s="1"/>
      <c r="H36" s="1"/>
      <c r="I36" s="1" t="s">
        <v>5</v>
      </c>
      <c r="J36" s="9">
        <v>0.53817423509068496</v>
      </c>
      <c r="K36" s="9">
        <v>-0.51784566087035699</v>
      </c>
      <c r="L36" s="9">
        <v>-8.6669485065099E-2</v>
      </c>
      <c r="M36" s="1"/>
      <c r="N36" s="1"/>
      <c r="O36" s="1"/>
    </row>
    <row r="37" spans="1:15" x14ac:dyDescent="0.25">
      <c r="A37" s="1" t="s">
        <v>28</v>
      </c>
      <c r="B37" s="1" t="s">
        <v>6</v>
      </c>
      <c r="C37" s="8">
        <v>1.46809780024647</v>
      </c>
      <c r="D37" s="8">
        <v>0.61110995616383801</v>
      </c>
      <c r="E37" s="8">
        <v>0.42964915677977999</v>
      </c>
      <c r="F37" s="1"/>
      <c r="G37" s="1"/>
      <c r="H37" s="1"/>
      <c r="I37" s="1" t="s">
        <v>6</v>
      </c>
      <c r="J37" s="1"/>
      <c r="K37" s="1"/>
      <c r="L37" s="1"/>
      <c r="M37" s="1"/>
      <c r="N37" s="1"/>
      <c r="O37" s="1"/>
    </row>
    <row r="38" spans="1:15" x14ac:dyDescent="0.25">
      <c r="B38" s="1" t="s">
        <v>7</v>
      </c>
      <c r="C38" s="8">
        <v>1.29322320004102</v>
      </c>
      <c r="D38" s="8">
        <v>0.43470959470339599</v>
      </c>
      <c r="E38" s="8">
        <v>0.36758406997509402</v>
      </c>
      <c r="F38" s="1"/>
      <c r="G38" s="1"/>
      <c r="H38" s="1"/>
      <c r="I38" s="1" t="s">
        <v>7</v>
      </c>
      <c r="J38" s="1"/>
      <c r="K38" s="1"/>
      <c r="L38" s="1"/>
      <c r="M38" s="1"/>
      <c r="N38" s="1"/>
      <c r="O38" s="1"/>
    </row>
    <row r="39" spans="1:15" x14ac:dyDescent="0.25">
      <c r="B39" s="1" t="s">
        <v>20</v>
      </c>
      <c r="C39" s="4"/>
      <c r="D39" s="4"/>
      <c r="E39" s="4"/>
      <c r="F39" s="1"/>
      <c r="G39" s="1"/>
      <c r="H39" s="1"/>
      <c r="I39" s="1" t="s">
        <v>20</v>
      </c>
      <c r="J39" s="1"/>
      <c r="K39" s="1"/>
      <c r="L39" s="1"/>
      <c r="M39" s="1"/>
      <c r="N39" s="1"/>
      <c r="O39" s="1"/>
    </row>
    <row r="40" spans="1:15" x14ac:dyDescent="0.25">
      <c r="A40" s="1" t="s">
        <v>28</v>
      </c>
      <c r="B40" s="1" t="s">
        <v>8</v>
      </c>
      <c r="C40" s="8">
        <v>1.2870368477726899</v>
      </c>
      <c r="D40" s="8">
        <v>0.29324836284144801</v>
      </c>
      <c r="E40" s="8">
        <v>4.3375577562074601E-2</v>
      </c>
      <c r="F40" s="1"/>
      <c r="G40" s="1"/>
      <c r="H40" s="1"/>
      <c r="I40" s="1" t="s">
        <v>8</v>
      </c>
      <c r="J40" s="1"/>
      <c r="K40" s="1"/>
      <c r="L40" s="1"/>
      <c r="M40" s="1"/>
      <c r="N40" s="1"/>
      <c r="O40" s="1"/>
    </row>
    <row r="41" spans="1:15" x14ac:dyDescent="0.25">
      <c r="B41" s="1" t="s">
        <v>9</v>
      </c>
      <c r="C41" s="8">
        <v>1.3490789487664501</v>
      </c>
      <c r="D41" s="8">
        <v>0.20911471061197601</v>
      </c>
      <c r="E41" s="8">
        <v>4.5262412029273197E-2</v>
      </c>
      <c r="F41" s="1"/>
      <c r="G41" s="1"/>
      <c r="H41" s="1"/>
      <c r="I41" s="1" t="s">
        <v>9</v>
      </c>
      <c r="J41" s="1"/>
      <c r="K41" s="1"/>
      <c r="L41" s="1"/>
      <c r="M41" s="1"/>
      <c r="N41" s="1"/>
      <c r="O41" s="1"/>
    </row>
    <row r="42" spans="1:15" x14ac:dyDescent="0.25">
      <c r="B42" s="1" t="s">
        <v>10</v>
      </c>
      <c r="C42" s="9">
        <v>0.56520265738304298</v>
      </c>
      <c r="D42" s="9">
        <v>-1.0275595596207601</v>
      </c>
      <c r="E42" s="9">
        <v>-6.6277814143714905E-2</v>
      </c>
      <c r="F42" s="1"/>
      <c r="G42" s="1"/>
      <c r="H42" s="1"/>
      <c r="I42" s="1" t="s">
        <v>10</v>
      </c>
      <c r="J42" s="1"/>
      <c r="K42" s="1"/>
      <c r="L42" s="1"/>
      <c r="M42" s="1"/>
      <c r="N42" s="1"/>
      <c r="O42" s="1"/>
    </row>
    <row r="43" spans="1:15" x14ac:dyDescent="0.25">
      <c r="B43" s="1" t="s">
        <v>11</v>
      </c>
      <c r="C43" s="9">
        <v>0.82233612818652901</v>
      </c>
      <c r="D43" s="9">
        <v>-0.50591021290758598</v>
      </c>
      <c r="E43" s="9">
        <v>-0.161754895727207</v>
      </c>
      <c r="F43" s="1"/>
      <c r="G43" s="1"/>
      <c r="H43" s="1"/>
      <c r="I43" s="1" t="s">
        <v>11</v>
      </c>
      <c r="J43" s="1"/>
      <c r="K43" s="1"/>
      <c r="L43" s="1"/>
      <c r="M43" s="1"/>
      <c r="N43" s="1"/>
      <c r="O43" s="1"/>
    </row>
    <row r="44" spans="1: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B45" s="1" t="s">
        <v>22</v>
      </c>
      <c r="C45" s="1" t="s">
        <v>23</v>
      </c>
      <c r="D45" s="1" t="s">
        <v>24</v>
      </c>
      <c r="E45" s="1" t="s">
        <v>1</v>
      </c>
      <c r="F45" s="1" t="s">
        <v>25</v>
      </c>
      <c r="G45" s="1" t="s">
        <v>18</v>
      </c>
      <c r="H45" s="1"/>
      <c r="I45" s="1" t="s">
        <v>19</v>
      </c>
      <c r="J45" s="1" t="s">
        <v>23</v>
      </c>
      <c r="K45" s="1" t="s">
        <v>24</v>
      </c>
      <c r="L45" s="1" t="s">
        <v>1</v>
      </c>
      <c r="M45" s="1" t="s">
        <v>25</v>
      </c>
      <c r="N45" s="1" t="s">
        <v>18</v>
      </c>
      <c r="O45" s="1"/>
    </row>
    <row r="46" spans="1:15" x14ac:dyDescent="0.25">
      <c r="B46" s="1" t="s">
        <v>2</v>
      </c>
      <c r="C46" s="8">
        <v>1.7878260187067601</v>
      </c>
      <c r="D46" s="8">
        <v>0.26654667808256899</v>
      </c>
      <c r="E46" s="8">
        <v>0.57681691180727601</v>
      </c>
      <c r="F46" s="8">
        <v>0.16472908104553</v>
      </c>
      <c r="G46" s="8">
        <v>0.27048577500075</v>
      </c>
      <c r="H46" s="1"/>
      <c r="I46" s="1" t="s">
        <v>2</v>
      </c>
      <c r="J46" s="9">
        <v>0.46925034971041901</v>
      </c>
      <c r="K46" s="9">
        <v>-0.57047580585715596</v>
      </c>
      <c r="L46" s="9">
        <v>-0.62489073949006502</v>
      </c>
      <c r="M46" s="9">
        <v>-0.505884156285488</v>
      </c>
      <c r="N46" s="9">
        <v>-0.62313135244567197</v>
      </c>
      <c r="O46" s="1"/>
    </row>
    <row r="47" spans="1:15" x14ac:dyDescent="0.25">
      <c r="B47" s="1" t="s">
        <v>3</v>
      </c>
      <c r="C47" s="8">
        <v>2.8770644107042802</v>
      </c>
      <c r="D47" s="8">
        <v>0.541500872594741</v>
      </c>
      <c r="E47" s="8">
        <v>0.54443871754473905</v>
      </c>
      <c r="F47" s="8">
        <v>0.24600566680348099</v>
      </c>
      <c r="G47" s="8">
        <v>0.55540922852805497</v>
      </c>
      <c r="H47" s="1"/>
      <c r="I47" s="1" t="s">
        <v>3</v>
      </c>
      <c r="J47" s="9">
        <v>0.52770506265369399</v>
      </c>
      <c r="K47" s="9">
        <v>-0.57441925876348399</v>
      </c>
      <c r="L47" s="9">
        <v>-0.61127875482433702</v>
      </c>
      <c r="M47" s="9">
        <v>-0.50988466103239405</v>
      </c>
      <c r="N47" s="9">
        <v>-0.59410954788831905</v>
      </c>
      <c r="O47" s="1"/>
    </row>
    <row r="48" spans="1:15" x14ac:dyDescent="0.25">
      <c r="B48" s="1" t="s">
        <v>4</v>
      </c>
      <c r="C48" s="8">
        <v>1.2050076272027901</v>
      </c>
      <c r="D48" s="8">
        <v>0.92674759673055396</v>
      </c>
      <c r="E48" s="8">
        <v>0.13984116014494999</v>
      </c>
      <c r="F48" s="8">
        <v>0.58415158227019104</v>
      </c>
      <c r="G48" s="8">
        <v>0.66959836720930499</v>
      </c>
      <c r="H48" s="1"/>
      <c r="I48" s="1" t="s">
        <v>4</v>
      </c>
      <c r="J48" s="9">
        <v>0.76151296818251002</v>
      </c>
      <c r="K48" s="9">
        <v>-0.82455849900808098</v>
      </c>
      <c r="L48" s="9">
        <v>-0.53010922957415696</v>
      </c>
      <c r="M48" s="9">
        <v>-0.67807302432253402</v>
      </c>
      <c r="N48" s="9">
        <v>-0.81917889363282403</v>
      </c>
      <c r="O48" s="1"/>
    </row>
    <row r="49" spans="2:15" x14ac:dyDescent="0.25">
      <c r="B49" s="1" t="s">
        <v>5</v>
      </c>
      <c r="C49" s="8">
        <v>1.11910970408747</v>
      </c>
      <c r="D49" s="8">
        <v>0.156816283020727</v>
      </c>
      <c r="E49" s="8">
        <v>8.9326261366187695E-2</v>
      </c>
      <c r="F49" s="8">
        <v>5.92725219807008E-2</v>
      </c>
      <c r="G49" s="8">
        <v>0.1017952207019</v>
      </c>
      <c r="H49" s="1"/>
      <c r="I49" s="1" t="s">
        <v>5</v>
      </c>
      <c r="J49" s="9">
        <v>0.63241662033349</v>
      </c>
      <c r="K49" s="9">
        <v>-0.77305412456000899</v>
      </c>
      <c r="L49" s="9">
        <v>-0.511670862423525</v>
      </c>
      <c r="M49" s="9">
        <v>-0.62213976025652196</v>
      </c>
      <c r="N49" s="9">
        <v>-0.76662036881149098</v>
      </c>
      <c r="O49" s="1"/>
    </row>
    <row r="50" spans="2:15" x14ac:dyDescent="0.25">
      <c r="B50" s="1" t="s">
        <v>6</v>
      </c>
      <c r="C50" s="8">
        <v>1.4074954172257299</v>
      </c>
      <c r="D50" s="8">
        <v>0.25880560171696498</v>
      </c>
      <c r="E50" s="8">
        <v>4.6283799610675601E-2</v>
      </c>
      <c r="F50" s="8">
        <v>0.10621290455320199</v>
      </c>
      <c r="G50" s="9">
        <v>-0.90837567524790197</v>
      </c>
      <c r="H50" s="1"/>
      <c r="I50" s="1" t="s">
        <v>6</v>
      </c>
      <c r="J50" s="9">
        <v>0.68587815994758305</v>
      </c>
      <c r="K50" s="9">
        <v>-0.74314055155585101</v>
      </c>
      <c r="L50" s="9">
        <v>-0.22155858359451899</v>
      </c>
      <c r="M50" s="9">
        <v>-0.51680913320449795</v>
      </c>
      <c r="N50" s="9">
        <v>-0.79093223163479298</v>
      </c>
      <c r="O50" s="1"/>
    </row>
    <row r="51" spans="2:15" x14ac:dyDescent="0.25">
      <c r="B51" s="1" t="s">
        <v>7</v>
      </c>
      <c r="C51" s="8">
        <v>1.41606982531736</v>
      </c>
      <c r="D51" s="8">
        <v>0.52921681534296305</v>
      </c>
      <c r="E51" s="8">
        <v>3.0850994672477702E-2</v>
      </c>
      <c r="F51" s="8">
        <v>0.17041594173230901</v>
      </c>
      <c r="G51" s="8">
        <v>0.33346513766249403</v>
      </c>
      <c r="H51" s="1"/>
      <c r="I51" s="1" t="s">
        <v>7</v>
      </c>
      <c r="J51" s="9">
        <v>0.64478493475432996</v>
      </c>
      <c r="K51" s="9">
        <v>-0.64445784381595494</v>
      </c>
      <c r="L51" s="9">
        <v>-0.24334139198969101</v>
      </c>
      <c r="M51" s="9">
        <v>-0.34407999236201098</v>
      </c>
      <c r="N51" s="9">
        <v>-0.52379920048275397</v>
      </c>
      <c r="O51" s="1"/>
    </row>
    <row r="52" spans="2:15" x14ac:dyDescent="0.25">
      <c r="B52" s="1" t="s">
        <v>20</v>
      </c>
      <c r="C52" s="8">
        <v>1.5689444337549201</v>
      </c>
      <c r="D52" s="8">
        <v>0.71850105371235795</v>
      </c>
      <c r="E52" s="8">
        <v>0.164262280281398</v>
      </c>
      <c r="F52" s="8">
        <v>0.415644787212891</v>
      </c>
      <c r="G52" s="8">
        <v>0.60238698682230296</v>
      </c>
      <c r="H52" s="1"/>
      <c r="I52" s="1" t="s">
        <v>20</v>
      </c>
      <c r="J52" s="8">
        <v>1.04151195285145</v>
      </c>
      <c r="K52" s="9">
        <v>-0.120988015114778</v>
      </c>
      <c r="L52" s="8">
        <v>9.6450074853088597E-2</v>
      </c>
      <c r="M52" s="9">
        <v>-5.48657708396144E-2</v>
      </c>
      <c r="N52" s="9">
        <v>-0.16320255139754999</v>
      </c>
      <c r="O52" s="1"/>
    </row>
    <row r="53" spans="2:15" x14ac:dyDescent="0.25">
      <c r="B53" s="1" t="s">
        <v>21</v>
      </c>
      <c r="C53" s="8">
        <v>1.15872732148062</v>
      </c>
      <c r="D53" s="8">
        <v>0.40647074977609499</v>
      </c>
      <c r="E53" s="9">
        <v>-4.45444212598241E-2</v>
      </c>
      <c r="F53" s="8">
        <v>5.4008474266980598E-2</v>
      </c>
      <c r="G53" s="8">
        <v>0.21627118090962999</v>
      </c>
      <c r="H53" s="1"/>
      <c r="I53" s="1" t="s">
        <v>21</v>
      </c>
      <c r="J53" s="9">
        <v>0.57916197400143898</v>
      </c>
      <c r="K53" s="9">
        <v>-0.78477741945709301</v>
      </c>
      <c r="L53" s="9">
        <v>-0.24313716774511701</v>
      </c>
      <c r="M53" s="9">
        <v>-0.62437814022779903</v>
      </c>
      <c r="N53" s="9">
        <v>-0.748656600612842</v>
      </c>
      <c r="O53" s="1"/>
    </row>
    <row r="54" spans="2:15" x14ac:dyDescent="0.25">
      <c r="B54" s="1" t="s">
        <v>11</v>
      </c>
      <c r="C54" s="8">
        <v>1.1637562782531401</v>
      </c>
      <c r="D54" s="8">
        <v>0.401331670241585</v>
      </c>
      <c r="E54" s="8">
        <v>6.7271555006068101E-2</v>
      </c>
      <c r="F54" s="8">
        <v>8.1392652419518097E-2</v>
      </c>
      <c r="G54" s="8">
        <v>0.164652348864086</v>
      </c>
      <c r="H54" s="1"/>
      <c r="I54" s="1" t="s">
        <v>11</v>
      </c>
      <c r="J54" s="9">
        <v>0.74506131022172795</v>
      </c>
      <c r="K54" s="9">
        <v>-0.75894808346496501</v>
      </c>
      <c r="L54" s="9">
        <v>-0.37958282657101999</v>
      </c>
      <c r="M54" s="9">
        <v>-0.37092334927613402</v>
      </c>
      <c r="N54" s="9">
        <v>-0.49092006249230202</v>
      </c>
      <c r="O54" s="1"/>
    </row>
    <row r="55" spans="2: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ED23-9972-49B1-A962-184A6795F72B}">
  <dimension ref="A2:L30"/>
  <sheetViews>
    <sheetView workbookViewId="0">
      <selection activeCell="H26" sqref="H26"/>
    </sheetView>
  </sheetViews>
  <sheetFormatPr defaultRowHeight="15" x14ac:dyDescent="0.25"/>
  <cols>
    <col min="2" max="2" width="31.28515625" customWidth="1"/>
    <col min="3" max="3" width="14.42578125" bestFit="1" customWidth="1"/>
    <col min="4" max="4" width="14.85546875" customWidth="1"/>
    <col min="5" max="5" width="15.140625" customWidth="1"/>
    <col min="7" max="7" width="14.140625" customWidth="1"/>
    <col min="8" max="8" width="16.85546875" customWidth="1"/>
    <col min="9" max="9" width="17.7109375" customWidth="1"/>
    <col min="10" max="10" width="16" customWidth="1"/>
    <col min="11" max="11" width="12.7109375" customWidth="1"/>
    <col min="12" max="12" width="13.42578125" customWidth="1"/>
  </cols>
  <sheetData>
    <row r="2" spans="1:12" x14ac:dyDescent="0.25">
      <c r="B2" s="14" t="s">
        <v>12</v>
      </c>
      <c r="C2" s="1"/>
      <c r="D2" s="1"/>
      <c r="E2" s="1"/>
      <c r="G2" s="15" t="s">
        <v>22</v>
      </c>
    </row>
    <row r="3" spans="1:12" x14ac:dyDescent="0.25">
      <c r="B3" s="11" t="s">
        <v>0</v>
      </c>
      <c r="C3" s="11" t="s">
        <v>23</v>
      </c>
      <c r="D3" s="11" t="s">
        <v>24</v>
      </c>
      <c r="E3" s="11" t="s">
        <v>1</v>
      </c>
      <c r="G3" s="16"/>
      <c r="H3" s="17" t="s">
        <v>23</v>
      </c>
      <c r="I3" s="17" t="s">
        <v>24</v>
      </c>
      <c r="J3" s="17" t="s">
        <v>1</v>
      </c>
    </row>
    <row r="4" spans="1:12" x14ac:dyDescent="0.25">
      <c r="B4" s="11" t="s">
        <v>2</v>
      </c>
      <c r="C4" s="12">
        <v>5.5990042925280497</v>
      </c>
      <c r="D4" s="12">
        <v>0.90356607367203301</v>
      </c>
      <c r="E4" s="12">
        <v>0.78479742735639801</v>
      </c>
      <c r="G4" s="17" t="s">
        <v>2</v>
      </c>
      <c r="H4" s="8">
        <v>1.7878260187067601</v>
      </c>
      <c r="I4" s="8">
        <v>0.26654667808256899</v>
      </c>
      <c r="J4" s="8">
        <v>0.57681691180727601</v>
      </c>
    </row>
    <row r="5" spans="1:12" x14ac:dyDescent="0.25">
      <c r="B5" s="11" t="s">
        <v>3</v>
      </c>
      <c r="C5" s="12">
        <v>3.6150481998819401</v>
      </c>
      <c r="D5" s="12">
        <v>0.84393866538764695</v>
      </c>
      <c r="E5" s="12">
        <v>0.73975142372925395</v>
      </c>
      <c r="G5" s="17" t="s">
        <v>3</v>
      </c>
      <c r="H5" s="8">
        <v>2.8770644107042802</v>
      </c>
      <c r="I5" s="8">
        <v>0.541500872594741</v>
      </c>
      <c r="J5" s="8">
        <v>0.54443871754473905</v>
      </c>
    </row>
    <row r="6" spans="1:12" x14ac:dyDescent="0.25">
      <c r="B6" s="11" t="s">
        <v>4</v>
      </c>
      <c r="C6" s="12">
        <v>2.1746388039620901</v>
      </c>
      <c r="D6" s="12">
        <v>0.90358482744648005</v>
      </c>
      <c r="E6" s="12">
        <v>0.17369777575697301</v>
      </c>
      <c r="G6" s="17" t="s">
        <v>4</v>
      </c>
      <c r="H6" s="8">
        <v>1.2050076272027901</v>
      </c>
      <c r="I6" s="8">
        <v>0.92674759673055396</v>
      </c>
      <c r="J6" s="8">
        <v>0.13984116014494999</v>
      </c>
    </row>
    <row r="7" spans="1:12" x14ac:dyDescent="0.25">
      <c r="B7" s="11" t="s">
        <v>5</v>
      </c>
      <c r="C7" s="12">
        <v>2.2792285281778502</v>
      </c>
      <c r="D7" s="12">
        <v>0.663434225775831</v>
      </c>
      <c r="E7" s="12">
        <v>9.9143945152060597E-2</v>
      </c>
      <c r="G7" s="17" t="s">
        <v>5</v>
      </c>
      <c r="H7" s="8">
        <v>1.11910970408747</v>
      </c>
      <c r="I7" s="8">
        <v>0.156816283020727</v>
      </c>
      <c r="J7" s="8">
        <v>8.9326261366187695E-2</v>
      </c>
    </row>
    <row r="8" spans="1:12" x14ac:dyDescent="0.25">
      <c r="B8" s="11" t="s">
        <v>6</v>
      </c>
      <c r="C8" s="12">
        <v>1.4480475262282899</v>
      </c>
      <c r="D8" s="12">
        <v>0.66475177086608195</v>
      </c>
      <c r="E8" s="12">
        <v>0.21234239309632399</v>
      </c>
      <c r="G8" s="17" t="s">
        <v>6</v>
      </c>
      <c r="H8" s="8">
        <v>1.4074954172257299</v>
      </c>
      <c r="I8" s="8">
        <v>0.25880560171696498</v>
      </c>
      <c r="J8" s="8">
        <v>4.6283799610675601E-2</v>
      </c>
    </row>
    <row r="9" spans="1:12" x14ac:dyDescent="0.25">
      <c r="B9" s="11" t="s">
        <v>7</v>
      </c>
      <c r="C9" s="12">
        <v>1.45242884682964</v>
      </c>
      <c r="D9" s="12">
        <v>0.238708102284336</v>
      </c>
      <c r="E9" s="12">
        <v>0.14477972148899501</v>
      </c>
      <c r="G9" s="17" t="s">
        <v>7</v>
      </c>
      <c r="H9" s="8">
        <v>1.41606982531736</v>
      </c>
      <c r="I9" s="8">
        <v>0.52921681534296305</v>
      </c>
      <c r="J9" s="8">
        <v>3.0850994672477702E-2</v>
      </c>
    </row>
    <row r="10" spans="1:12" x14ac:dyDescent="0.25">
      <c r="B10" s="11" t="s">
        <v>11</v>
      </c>
      <c r="C10" s="12">
        <v>0.84619083652769</v>
      </c>
      <c r="D10" s="12">
        <v>-0.57708462423306806</v>
      </c>
      <c r="E10" s="12">
        <v>-7.8588218215967606E-2</v>
      </c>
      <c r="G10" s="17" t="s">
        <v>11</v>
      </c>
      <c r="H10" s="8">
        <v>1.1637562782531401</v>
      </c>
      <c r="I10" s="8">
        <v>0.401331670241585</v>
      </c>
      <c r="J10" s="8">
        <v>6.7271555006068101E-2</v>
      </c>
      <c r="K10" s="4"/>
      <c r="L10" s="4"/>
    </row>
    <row r="11" spans="1:12" x14ac:dyDescent="0.25">
      <c r="A11" s="1" t="s">
        <v>30</v>
      </c>
      <c r="B11" s="11" t="s">
        <v>31</v>
      </c>
      <c r="C11" s="13">
        <v>1.86943505833322</v>
      </c>
      <c r="D11" s="13">
        <v>1.9314296164550899</v>
      </c>
      <c r="E11" s="13">
        <v>9.4513218106104094E-2</v>
      </c>
      <c r="F11" s="1" t="s">
        <v>30</v>
      </c>
      <c r="G11" s="17" t="s">
        <v>31</v>
      </c>
      <c r="H11" s="17"/>
      <c r="I11" s="18">
        <v>0.178366367675658</v>
      </c>
      <c r="J11" s="18">
        <v>5.1856335362832198E-2</v>
      </c>
      <c r="K11" s="4"/>
      <c r="L11" s="4"/>
    </row>
    <row r="12" spans="1:12" x14ac:dyDescent="0.25">
      <c r="A12" s="1" t="s">
        <v>30</v>
      </c>
      <c r="B12" s="11" t="s">
        <v>32</v>
      </c>
      <c r="C12" s="13">
        <v>1.3545954270153699</v>
      </c>
      <c r="D12" s="13">
        <v>1.0089470650494099</v>
      </c>
      <c r="E12" s="13">
        <v>4.2663094228711902E-2</v>
      </c>
      <c r="F12" s="1" t="s">
        <v>30</v>
      </c>
      <c r="G12" s="17" t="s">
        <v>32</v>
      </c>
      <c r="H12" s="18">
        <v>1.39679058575205</v>
      </c>
      <c r="I12" s="18">
        <v>0.88641107886014003</v>
      </c>
      <c r="J12" s="18">
        <v>0.103368750113241</v>
      </c>
    </row>
    <row r="13" spans="1:12" x14ac:dyDescent="0.25">
      <c r="A13" s="1" t="s">
        <v>30</v>
      </c>
      <c r="B13" s="11" t="s">
        <v>34</v>
      </c>
      <c r="C13" s="13">
        <v>1.31746197777344</v>
      </c>
      <c r="D13" s="13">
        <v>0.66698565105034602</v>
      </c>
      <c r="E13" s="13">
        <v>8.8732929175135894E-2</v>
      </c>
      <c r="F13" s="1" t="s">
        <v>30</v>
      </c>
      <c r="G13" s="17" t="s">
        <v>34</v>
      </c>
      <c r="H13" s="18">
        <v>1.2576523908335999</v>
      </c>
      <c r="I13" s="18">
        <v>0.77855192606860901</v>
      </c>
      <c r="J13" s="18">
        <v>0.15621819275209001</v>
      </c>
    </row>
    <row r="14" spans="1:12" x14ac:dyDescent="0.25">
      <c r="A14" s="1" t="s">
        <v>30</v>
      </c>
      <c r="B14" s="11" t="s">
        <v>35</v>
      </c>
      <c r="C14" s="13">
        <v>0.89735303995633098</v>
      </c>
      <c r="D14" s="13">
        <v>0.19762137224995299</v>
      </c>
      <c r="E14" s="13">
        <v>-1.9463558010346702E-2</v>
      </c>
      <c r="F14" s="1" t="s">
        <v>30</v>
      </c>
      <c r="G14" s="17" t="s">
        <v>35</v>
      </c>
      <c r="H14" s="18">
        <v>1.24807759229999</v>
      </c>
      <c r="I14" s="18">
        <v>0.55577143716833499</v>
      </c>
      <c r="J14" s="18">
        <v>0.15071577677020101</v>
      </c>
    </row>
    <row r="15" spans="1:12" x14ac:dyDescent="0.25">
      <c r="A15" s="1" t="s">
        <v>30</v>
      </c>
      <c r="B15" s="11" t="s">
        <v>36</v>
      </c>
      <c r="C15" s="13">
        <v>1.39880081037808</v>
      </c>
      <c r="D15" s="13">
        <v>0.54807771119966198</v>
      </c>
      <c r="E15" s="13">
        <v>0.10415722716452799</v>
      </c>
      <c r="F15" s="1" t="s">
        <v>30</v>
      </c>
      <c r="G15" s="17" t="s">
        <v>36</v>
      </c>
      <c r="H15" s="18">
        <v>1.42877693896201</v>
      </c>
      <c r="I15" s="18">
        <v>0.33551375674123601</v>
      </c>
      <c r="J15" s="18">
        <v>5.5397551503622099E-2</v>
      </c>
    </row>
    <row r="16" spans="1:12" x14ac:dyDescent="0.25">
      <c r="A16" s="1" t="s">
        <v>30</v>
      </c>
      <c r="B16" s="11" t="s">
        <v>37</v>
      </c>
      <c r="C16" s="13">
        <v>1.2210038373368299</v>
      </c>
      <c r="D16" s="13">
        <v>0.10106112243990099</v>
      </c>
      <c r="E16" s="13">
        <v>4.66251429291673E-2</v>
      </c>
      <c r="F16" s="1" t="s">
        <v>30</v>
      </c>
      <c r="G16" s="17" t="s">
        <v>37</v>
      </c>
      <c r="H16" s="18">
        <v>1.33941755807892</v>
      </c>
      <c r="I16" s="18">
        <v>0.63731372986403501</v>
      </c>
      <c r="J16" s="18">
        <v>6.9883057908481996E-2</v>
      </c>
    </row>
    <row r="17" spans="1:10" x14ac:dyDescent="0.25">
      <c r="A17" s="1" t="s">
        <v>30</v>
      </c>
      <c r="B17" s="11" t="s">
        <v>38</v>
      </c>
      <c r="C17" s="13">
        <v>1.5249018262283101</v>
      </c>
      <c r="D17" s="13">
        <v>0.50902572287082404</v>
      </c>
      <c r="E17" s="13">
        <v>9.0894558490112708E-3</v>
      </c>
      <c r="F17" s="1" t="s">
        <v>30</v>
      </c>
      <c r="G17" s="17" t="s">
        <v>38</v>
      </c>
      <c r="H17" s="18">
        <v>1.3769164984553499</v>
      </c>
      <c r="I17" s="18">
        <v>-0.44248745305980902</v>
      </c>
      <c r="J17" s="18">
        <v>7.8645648239850305E-2</v>
      </c>
    </row>
    <row r="18" spans="1:10" x14ac:dyDescent="0.25">
      <c r="A18" s="1" t="s">
        <v>30</v>
      </c>
      <c r="B18" s="11" t="s">
        <v>40</v>
      </c>
      <c r="C18" s="13">
        <v>1.36678278361715</v>
      </c>
      <c r="D18" s="13">
        <v>0.463447965306029</v>
      </c>
      <c r="E18" s="13">
        <v>2.0373962034653699E-2</v>
      </c>
      <c r="F18" s="1" t="s">
        <v>30</v>
      </c>
      <c r="G18" s="17" t="s">
        <v>40</v>
      </c>
      <c r="H18" s="18">
        <v>1.5749763159783401</v>
      </c>
      <c r="I18" s="18">
        <v>0.78100360785877099</v>
      </c>
      <c r="J18" s="18">
        <v>0.101236914763633</v>
      </c>
    </row>
    <row r="19" spans="1:10" x14ac:dyDescent="0.25">
      <c r="A19" s="1" t="s">
        <v>42</v>
      </c>
      <c r="B19" s="11" t="s">
        <v>31</v>
      </c>
      <c r="C19" s="13">
        <v>1.8695993339197901</v>
      </c>
      <c r="D19" s="13">
        <v>0.44896728093636801</v>
      </c>
      <c r="E19" s="13">
        <v>2.4947102971666898E-2</v>
      </c>
      <c r="F19" s="1" t="s">
        <v>42</v>
      </c>
      <c r="G19" s="17" t="s">
        <v>31</v>
      </c>
      <c r="H19" s="18">
        <v>1.05849048577709</v>
      </c>
      <c r="I19" s="18">
        <v>-0.73582121336391904</v>
      </c>
      <c r="J19" s="18">
        <v>8.4573685986466099E-2</v>
      </c>
    </row>
    <row r="20" spans="1:10" x14ac:dyDescent="0.25">
      <c r="A20" s="1" t="s">
        <v>42</v>
      </c>
      <c r="B20" s="11" t="s">
        <v>32</v>
      </c>
      <c r="C20" s="13">
        <v>1.21795864622288</v>
      </c>
      <c r="D20" s="13">
        <v>1.5264059910121399</v>
      </c>
      <c r="E20" s="13">
        <v>9.6293174744729593E-3</v>
      </c>
      <c r="F20" s="1" t="s">
        <v>42</v>
      </c>
      <c r="G20" s="17" t="s">
        <v>32</v>
      </c>
      <c r="H20" s="18">
        <v>1.4368219825375701</v>
      </c>
      <c r="I20" s="18">
        <v>0.96854380596042999</v>
      </c>
      <c r="J20" s="18">
        <v>0.198594884621278</v>
      </c>
    </row>
    <row r="21" spans="1:10" x14ac:dyDescent="0.25">
      <c r="A21" s="1" t="s">
        <v>42</v>
      </c>
      <c r="B21" s="11" t="s">
        <v>33</v>
      </c>
      <c r="C21" s="13">
        <v>1.0299659938988901</v>
      </c>
      <c r="D21" s="13">
        <v>0.71671353985517805</v>
      </c>
      <c r="E21" s="13">
        <v>0.14608753400636901</v>
      </c>
      <c r="F21" s="1" t="s">
        <v>42</v>
      </c>
      <c r="G21" s="17" t="s">
        <v>33</v>
      </c>
      <c r="H21" s="18">
        <v>1.1632876834321</v>
      </c>
      <c r="I21" s="18">
        <v>0.91285830032378401</v>
      </c>
      <c r="J21" s="18">
        <v>6.8212961854365706E-2</v>
      </c>
    </row>
    <row r="22" spans="1:10" x14ac:dyDescent="0.25">
      <c r="A22" s="1" t="s">
        <v>42</v>
      </c>
      <c r="B22" s="11" t="s">
        <v>34</v>
      </c>
      <c r="C22" s="13">
        <v>1.1534447144942801</v>
      </c>
      <c r="D22" s="13">
        <v>0.678678630991426</v>
      </c>
      <c r="E22" s="13">
        <v>1.27691539373017E-2</v>
      </c>
      <c r="F22" s="1" t="s">
        <v>42</v>
      </c>
      <c r="G22" s="17" t="s">
        <v>34</v>
      </c>
      <c r="H22" s="18">
        <v>1.2283054504143001</v>
      </c>
      <c r="I22" s="18">
        <v>0.33582626900186402</v>
      </c>
      <c r="J22" s="18">
        <v>0.39411883766970102</v>
      </c>
    </row>
    <row r="23" spans="1:10" x14ac:dyDescent="0.25">
      <c r="A23" s="1" t="s">
        <v>42</v>
      </c>
      <c r="B23" s="11" t="s">
        <v>35</v>
      </c>
      <c r="C23" s="13">
        <v>1.6625275928143599</v>
      </c>
      <c r="D23" s="13">
        <v>0.81343884511072295</v>
      </c>
      <c r="E23" s="13">
        <v>6.7576112725014403E-2</v>
      </c>
      <c r="F23" s="1" t="s">
        <v>42</v>
      </c>
      <c r="G23" s="17" t="s">
        <v>35</v>
      </c>
      <c r="H23" s="18">
        <v>1.2985932043400299</v>
      </c>
      <c r="I23" s="18">
        <v>0.52794332050181203</v>
      </c>
      <c r="J23" s="18">
        <v>9.0698601563059603E-2</v>
      </c>
    </row>
    <row r="24" spans="1:10" x14ac:dyDescent="0.25">
      <c r="A24" s="1" t="s">
        <v>42</v>
      </c>
      <c r="B24" s="11" t="s">
        <v>36</v>
      </c>
      <c r="C24" s="13">
        <v>0.83858009935182098</v>
      </c>
      <c r="D24" s="13">
        <v>-1.07855599689062</v>
      </c>
      <c r="E24" s="13">
        <v>1.0119527368219401E-2</v>
      </c>
      <c r="F24" s="1" t="s">
        <v>42</v>
      </c>
      <c r="G24" s="17" t="s">
        <v>36</v>
      </c>
      <c r="H24" s="18">
        <v>1.25880991704892</v>
      </c>
      <c r="I24" s="18">
        <v>0.94081849763111403</v>
      </c>
      <c r="J24" s="18">
        <v>9.9852529707758195E-2</v>
      </c>
    </row>
    <row r="25" spans="1:10" x14ac:dyDescent="0.25">
      <c r="A25" s="1" t="s">
        <v>42</v>
      </c>
      <c r="B25" s="11" t="s">
        <v>37</v>
      </c>
      <c r="C25" s="13">
        <v>2.31938512736013</v>
      </c>
      <c r="D25" s="13">
        <v>1.34776836410395</v>
      </c>
      <c r="E25" s="13">
        <v>4.5646344187588998E-2</v>
      </c>
      <c r="F25" s="1" t="s">
        <v>42</v>
      </c>
      <c r="G25" s="17" t="s">
        <v>37</v>
      </c>
      <c r="H25" s="18">
        <v>1.2914529576795399</v>
      </c>
      <c r="I25" s="18">
        <v>0.445945938664987</v>
      </c>
      <c r="J25" s="18">
        <v>5.5815481283492403E-2</v>
      </c>
    </row>
    <row r="26" spans="1:10" x14ac:dyDescent="0.25">
      <c r="A26" s="1" t="s">
        <v>42</v>
      </c>
      <c r="B26" s="11" t="s">
        <v>38</v>
      </c>
      <c r="C26" s="13">
        <v>1.66955637894203</v>
      </c>
      <c r="D26" s="13">
        <v>0.55456789410428697</v>
      </c>
      <c r="E26" s="13">
        <v>1.47909285306715E-2</v>
      </c>
      <c r="F26" s="1" t="s">
        <v>42</v>
      </c>
      <c r="G26" s="17" t="s">
        <v>38</v>
      </c>
      <c r="H26" s="18">
        <v>1.2886907903199001</v>
      </c>
      <c r="I26" s="18">
        <v>-0.136935986249347</v>
      </c>
      <c r="J26" s="18">
        <v>9.5391388976058394E-2</v>
      </c>
    </row>
    <row r="27" spans="1:10" x14ac:dyDescent="0.25">
      <c r="A27" s="1" t="s">
        <v>42</v>
      </c>
      <c r="B27" s="11" t="s">
        <v>39</v>
      </c>
      <c r="C27" s="13">
        <v>0.90805045415642205</v>
      </c>
      <c r="D27" s="13">
        <v>-0.373253605455523</v>
      </c>
      <c r="E27" s="13">
        <v>2.0282132481243099E-2</v>
      </c>
      <c r="F27" s="1" t="s">
        <v>42</v>
      </c>
      <c r="G27" s="17" t="s">
        <v>39</v>
      </c>
      <c r="H27" s="18">
        <v>1.15490049713987</v>
      </c>
      <c r="I27" s="18">
        <v>0.47813963463856402</v>
      </c>
      <c r="J27" s="18">
        <v>0.115227328160236</v>
      </c>
    </row>
    <row r="28" spans="1:10" x14ac:dyDescent="0.25">
      <c r="A28" s="1" t="s">
        <v>42</v>
      </c>
      <c r="B28" s="11" t="s">
        <v>40</v>
      </c>
      <c r="C28" s="13">
        <v>1.0862889042163599</v>
      </c>
      <c r="D28" s="13">
        <v>0.63056904760694898</v>
      </c>
      <c r="E28" s="13">
        <v>3.6679485231980898E-2</v>
      </c>
      <c r="F28" s="1" t="s">
        <v>42</v>
      </c>
      <c r="G28" s="17" t="s">
        <v>40</v>
      </c>
      <c r="H28" s="18">
        <v>1.6223687074200499</v>
      </c>
      <c r="I28" s="18">
        <v>0.74242380847501299</v>
      </c>
      <c r="J28" s="18">
        <v>0.157732693122626</v>
      </c>
    </row>
    <row r="29" spans="1:10" x14ac:dyDescent="0.25">
      <c r="A29" s="1" t="s">
        <v>42</v>
      </c>
      <c r="B29" s="11" t="s">
        <v>41</v>
      </c>
      <c r="C29" s="13">
        <v>0.39254775269290398</v>
      </c>
      <c r="D29" s="13">
        <v>-0.623899602892661</v>
      </c>
      <c r="E29" s="13">
        <v>7.7980025652416296E-2</v>
      </c>
      <c r="F29" s="1" t="s">
        <v>42</v>
      </c>
      <c r="G29" s="17" t="s">
        <v>41</v>
      </c>
      <c r="H29" s="18">
        <v>1.4572146309152101</v>
      </c>
      <c r="I29" s="18">
        <v>0.80433038241724497</v>
      </c>
      <c r="J29" s="18">
        <v>0.121156039239802</v>
      </c>
    </row>
    <row r="30" spans="1:10" x14ac:dyDescent="0.25">
      <c r="A30" s="1"/>
      <c r="F30" s="1"/>
      <c r="G30" s="1"/>
      <c r="H30" s="10"/>
      <c r="I30" s="10"/>
      <c r="J3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 analysis paper</vt:lpstr>
      <vt:lpstr>All </vt:lpstr>
      <vt:lpstr>SSC - Turbidity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2026-05-27T03:14:16Z</dcterms:created>
  <dcterms:modified xsi:type="dcterms:W3CDTF">2026-07-07T00:07:50Z</dcterms:modified>
</cp:coreProperties>
</file>